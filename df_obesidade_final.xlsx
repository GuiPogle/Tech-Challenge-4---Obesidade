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D054A4D647DEA9/Documentos/"/>
    </mc:Choice>
  </mc:AlternateContent>
  <xr:revisionPtr revIDLastSave="406" documentId="8_{6D3C1949-271E-446C-9F18-0D36CE823004}" xr6:coauthVersionLast="47" xr6:coauthVersionMax="47" xr10:uidLastSave="{5CB0EBDD-94C3-4517-9C68-20C7AA17D14B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82" i="1" l="1"/>
  <c r="S2" i="1"/>
  <c r="S2110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R2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S1336" i="1" s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4" i="1"/>
  <c r="S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 s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S1396" i="1" s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S1429" i="1" s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R1447" i="1"/>
  <c r="S1447" i="1" s="1"/>
  <c r="R1448" i="1"/>
  <c r="S1448" i="1" s="1"/>
  <c r="R1449" i="1"/>
  <c r="S1449" i="1" s="1"/>
  <c r="R1450" i="1"/>
  <c r="S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R1457" i="1"/>
  <c r="S1457" i="1" s="1"/>
  <c r="R1458" i="1"/>
  <c r="S1458" i="1" s="1"/>
  <c r="R1459" i="1"/>
  <c r="S1459" i="1" s="1"/>
  <c r="R1460" i="1"/>
  <c r="S1460" i="1" s="1"/>
  <c r="R1461" i="1"/>
  <c r="S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R1467" i="1"/>
  <c r="S1467" i="1" s="1"/>
  <c r="R1468" i="1"/>
  <c r="S1468" i="1" s="1"/>
  <c r="R1469" i="1"/>
  <c r="S1469" i="1" s="1"/>
  <c r="R1470" i="1"/>
  <c r="S1470" i="1" s="1"/>
  <c r="R1471" i="1"/>
  <c r="S1471" i="1" s="1"/>
  <c r="R1472" i="1"/>
  <c r="S1472" i="1" s="1"/>
  <c r="R1473" i="1"/>
  <c r="S1473" i="1" s="1"/>
  <c r="R1474" i="1"/>
  <c r="S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 s="1"/>
  <c r="R1492" i="1"/>
  <c r="S1492" i="1" s="1"/>
  <c r="R1493" i="1"/>
  <c r="S1493" i="1" s="1"/>
  <c r="R1494" i="1"/>
  <c r="S1494" i="1" s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 s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 s="1"/>
  <c r="R1523" i="1"/>
  <c r="S1523" i="1" s="1"/>
  <c r="R1524" i="1"/>
  <c r="S1524" i="1" s="1"/>
  <c r="R1525" i="1"/>
  <c r="S1525" i="1" s="1"/>
  <c r="R1526" i="1"/>
  <c r="S1526" i="1" s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 s="1"/>
  <c r="R1539" i="1"/>
  <c r="S1539" i="1" s="1"/>
  <c r="R1540" i="1"/>
  <c r="S1540" i="1" s="1"/>
  <c r="R1541" i="1"/>
  <c r="S1541" i="1" s="1"/>
  <c r="R1542" i="1"/>
  <c r="S1542" i="1" s="1"/>
  <c r="R1543" i="1"/>
  <c r="S1543" i="1" s="1"/>
  <c r="R1544" i="1"/>
  <c r="S1544" i="1" s="1"/>
  <c r="R1545" i="1"/>
  <c r="S1545" i="1" s="1"/>
  <c r="R1546" i="1"/>
  <c r="S1546" i="1" s="1"/>
  <c r="R1547" i="1"/>
  <c r="S1547" i="1" s="1"/>
  <c r="R1548" i="1"/>
  <c r="S1548" i="1" s="1"/>
  <c r="R1549" i="1"/>
  <c r="S1549" i="1" s="1"/>
  <c r="R1550" i="1"/>
  <c r="S1550" i="1" s="1"/>
  <c r="R1551" i="1"/>
  <c r="S1551" i="1" s="1"/>
  <c r="R1552" i="1"/>
  <c r="S1552" i="1" s="1"/>
  <c r="R1553" i="1"/>
  <c r="S1553" i="1" s="1"/>
  <c r="R1554" i="1"/>
  <c r="S1554" i="1" s="1"/>
  <c r="R1555" i="1"/>
  <c r="S1555" i="1" s="1"/>
  <c r="R1556" i="1"/>
  <c r="S1556" i="1" s="1"/>
  <c r="R1557" i="1"/>
  <c r="S1557" i="1" s="1"/>
  <c r="R1558" i="1"/>
  <c r="S1558" i="1" s="1"/>
  <c r="R1559" i="1"/>
  <c r="S1559" i="1" s="1"/>
  <c r="R1560" i="1"/>
  <c r="S1560" i="1" s="1"/>
  <c r="R1561" i="1"/>
  <c r="S1561" i="1" s="1"/>
  <c r="R1562" i="1"/>
  <c r="S1562" i="1" s="1"/>
  <c r="R1563" i="1"/>
  <c r="S1563" i="1" s="1"/>
  <c r="R1564" i="1"/>
  <c r="S1564" i="1" s="1"/>
  <c r="R1565" i="1"/>
  <c r="S1565" i="1" s="1"/>
  <c r="R1566" i="1"/>
  <c r="S1566" i="1" s="1"/>
  <c r="R1567" i="1"/>
  <c r="S1567" i="1" s="1"/>
  <c r="R1568" i="1"/>
  <c r="S1568" i="1" s="1"/>
  <c r="R1569" i="1"/>
  <c r="S1569" i="1" s="1"/>
  <c r="R1570" i="1"/>
  <c r="S1570" i="1" s="1"/>
  <c r="R1571" i="1"/>
  <c r="S1571" i="1" s="1"/>
  <c r="R1572" i="1"/>
  <c r="S1572" i="1" s="1"/>
  <c r="R1573" i="1"/>
  <c r="S1573" i="1" s="1"/>
  <c r="R1574" i="1"/>
  <c r="S1574" i="1" s="1"/>
  <c r="R1575" i="1"/>
  <c r="S1575" i="1" s="1"/>
  <c r="R1576" i="1"/>
  <c r="S1576" i="1" s="1"/>
  <c r="R1577" i="1"/>
  <c r="S1577" i="1" s="1"/>
  <c r="R1578" i="1"/>
  <c r="S1578" i="1" s="1"/>
  <c r="R1579" i="1"/>
  <c r="S1579" i="1" s="1"/>
  <c r="R1580" i="1"/>
  <c r="S1580" i="1" s="1"/>
  <c r="R1581" i="1"/>
  <c r="S1581" i="1" s="1"/>
  <c r="R1582" i="1"/>
  <c r="S1582" i="1" s="1"/>
  <c r="R1583" i="1"/>
  <c r="S1583" i="1" s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 s="1"/>
  <c r="R1592" i="1"/>
  <c r="S1592" i="1" s="1"/>
  <c r="R1593" i="1"/>
  <c r="S1593" i="1" s="1"/>
  <c r="R1594" i="1"/>
  <c r="S1594" i="1" s="1"/>
  <c r="R1595" i="1"/>
  <c r="S1595" i="1" s="1"/>
  <c r="R1596" i="1"/>
  <c r="S1596" i="1" s="1"/>
  <c r="R1597" i="1"/>
  <c r="S1597" i="1" s="1"/>
  <c r="R1598" i="1"/>
  <c r="S1598" i="1" s="1"/>
  <c r="R1599" i="1"/>
  <c r="S1599" i="1" s="1"/>
  <c r="R1600" i="1"/>
  <c r="S1600" i="1" s="1"/>
  <c r="R1601" i="1"/>
  <c r="S1601" i="1" s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 s="1"/>
  <c r="R1608" i="1"/>
  <c r="S1608" i="1" s="1"/>
  <c r="R1609" i="1"/>
  <c r="S1609" i="1" s="1"/>
  <c r="R1610" i="1"/>
  <c r="S1610" i="1" s="1"/>
  <c r="R1611" i="1"/>
  <c r="S1611" i="1" s="1"/>
  <c r="R1612" i="1"/>
  <c r="S1612" i="1" s="1"/>
  <c r="R1613" i="1"/>
  <c r="S1613" i="1" s="1"/>
  <c r="R1614" i="1"/>
  <c r="S1614" i="1" s="1"/>
  <c r="R1615" i="1"/>
  <c r="S1615" i="1" s="1"/>
  <c r="R1616" i="1"/>
  <c r="S1616" i="1" s="1"/>
  <c r="R1617" i="1"/>
  <c r="S1617" i="1" s="1"/>
  <c r="R1618" i="1"/>
  <c r="S1618" i="1" s="1"/>
  <c r="R1619" i="1"/>
  <c r="S1619" i="1" s="1"/>
  <c r="R1620" i="1"/>
  <c r="S1620" i="1" s="1"/>
  <c r="R1621" i="1"/>
  <c r="S1621" i="1" s="1"/>
  <c r="R1622" i="1"/>
  <c r="S1622" i="1" s="1"/>
  <c r="R1623" i="1"/>
  <c r="S1623" i="1" s="1"/>
  <c r="R1624" i="1"/>
  <c r="S1624" i="1" s="1"/>
  <c r="R1625" i="1"/>
  <c r="S1625" i="1" s="1"/>
  <c r="R1626" i="1"/>
  <c r="S1626" i="1" s="1"/>
  <c r="R1627" i="1"/>
  <c r="S1627" i="1" s="1"/>
  <c r="R1628" i="1"/>
  <c r="S1628" i="1" s="1"/>
  <c r="R1629" i="1"/>
  <c r="S1629" i="1" s="1"/>
  <c r="R1630" i="1"/>
  <c r="S1630" i="1" s="1"/>
  <c r="R1631" i="1"/>
  <c r="S1631" i="1" s="1"/>
  <c r="R1632" i="1"/>
  <c r="S1632" i="1" s="1"/>
  <c r="R1633" i="1"/>
  <c r="S1633" i="1" s="1"/>
  <c r="R1634" i="1"/>
  <c r="S1634" i="1" s="1"/>
  <c r="R1635" i="1"/>
  <c r="S1635" i="1" s="1"/>
  <c r="R1636" i="1"/>
  <c r="S1636" i="1" s="1"/>
  <c r="R1637" i="1"/>
  <c r="S1637" i="1" s="1"/>
  <c r="R1638" i="1"/>
  <c r="S1638" i="1" s="1"/>
  <c r="R1639" i="1"/>
  <c r="S1639" i="1" s="1"/>
  <c r="R1640" i="1"/>
  <c r="S1640" i="1" s="1"/>
  <c r="R1641" i="1"/>
  <c r="S1641" i="1" s="1"/>
  <c r="R1642" i="1"/>
  <c r="S1642" i="1" s="1"/>
  <c r="R1643" i="1"/>
  <c r="S1643" i="1" s="1"/>
  <c r="R1644" i="1"/>
  <c r="S1644" i="1" s="1"/>
  <c r="R1645" i="1"/>
  <c r="S1645" i="1" s="1"/>
  <c r="R1646" i="1"/>
  <c r="S1646" i="1" s="1"/>
  <c r="R1647" i="1"/>
  <c r="S1647" i="1" s="1"/>
  <c r="R1648" i="1"/>
  <c r="S1648" i="1" s="1"/>
  <c r="R1649" i="1"/>
  <c r="S1649" i="1" s="1"/>
  <c r="R1650" i="1"/>
  <c r="S1650" i="1" s="1"/>
  <c r="R1651" i="1"/>
  <c r="S1651" i="1" s="1"/>
  <c r="R1652" i="1"/>
  <c r="S1652" i="1" s="1"/>
  <c r="R1653" i="1"/>
  <c r="S1653" i="1" s="1"/>
  <c r="R1654" i="1"/>
  <c r="S1654" i="1" s="1"/>
  <c r="R1655" i="1"/>
  <c r="S1655" i="1" s="1"/>
  <c r="R1656" i="1"/>
  <c r="S1656" i="1" s="1"/>
  <c r="R1657" i="1"/>
  <c r="S1657" i="1" s="1"/>
  <c r="R1658" i="1"/>
  <c r="S1658" i="1" s="1"/>
  <c r="R1659" i="1"/>
  <c r="S1659" i="1" s="1"/>
  <c r="R1660" i="1"/>
  <c r="S1660" i="1" s="1"/>
  <c r="R1661" i="1"/>
  <c r="S1661" i="1" s="1"/>
  <c r="R1662" i="1"/>
  <c r="S1662" i="1" s="1"/>
  <c r="R1663" i="1"/>
  <c r="S1663" i="1" s="1"/>
  <c r="R1664" i="1"/>
  <c r="S1664" i="1" s="1"/>
  <c r="R1665" i="1"/>
  <c r="S1665" i="1" s="1"/>
  <c r="R1666" i="1"/>
  <c r="S1666" i="1" s="1"/>
  <c r="R1667" i="1"/>
  <c r="S1667" i="1" s="1"/>
  <c r="R1668" i="1"/>
  <c r="S1668" i="1" s="1"/>
  <c r="R1669" i="1"/>
  <c r="S1669" i="1" s="1"/>
  <c r="R1670" i="1"/>
  <c r="S1670" i="1" s="1"/>
  <c r="R1671" i="1"/>
  <c r="S1671" i="1" s="1"/>
  <c r="R1672" i="1"/>
  <c r="S1672" i="1" s="1"/>
  <c r="R1673" i="1"/>
  <c r="S1673" i="1" s="1"/>
  <c r="R1674" i="1"/>
  <c r="S1674" i="1" s="1"/>
  <c r="R1675" i="1"/>
  <c r="S1675" i="1" s="1"/>
  <c r="R1676" i="1"/>
  <c r="S1676" i="1" s="1"/>
  <c r="R1677" i="1"/>
  <c r="S1677" i="1" s="1"/>
  <c r="R1678" i="1"/>
  <c r="S1678" i="1" s="1"/>
  <c r="R1679" i="1"/>
  <c r="S1679" i="1" s="1"/>
  <c r="R1680" i="1"/>
  <c r="S1680" i="1" s="1"/>
  <c r="R1681" i="1"/>
  <c r="S1681" i="1" s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 s="1"/>
  <c r="R1688" i="1"/>
  <c r="S1688" i="1" s="1"/>
  <c r="R1689" i="1"/>
  <c r="S1689" i="1" s="1"/>
  <c r="R1690" i="1"/>
  <c r="S1690" i="1" s="1"/>
  <c r="R1691" i="1"/>
  <c r="S1691" i="1" s="1"/>
  <c r="R1692" i="1"/>
  <c r="S1692" i="1" s="1"/>
  <c r="R1693" i="1"/>
  <c r="S1693" i="1" s="1"/>
  <c r="R1694" i="1"/>
  <c r="S1694" i="1" s="1"/>
  <c r="R1695" i="1"/>
  <c r="S1695" i="1" s="1"/>
  <c r="R1696" i="1"/>
  <c r="S1696" i="1" s="1"/>
  <c r="R1697" i="1"/>
  <c r="S1697" i="1" s="1"/>
  <c r="R1698" i="1"/>
  <c r="S1698" i="1" s="1"/>
  <c r="R1699" i="1"/>
  <c r="S1699" i="1" s="1"/>
  <c r="R1700" i="1"/>
  <c r="S1700" i="1" s="1"/>
  <c r="R1701" i="1"/>
  <c r="S1701" i="1" s="1"/>
  <c r="R1702" i="1"/>
  <c r="S1702" i="1" s="1"/>
  <c r="R1703" i="1"/>
  <c r="S1703" i="1" s="1"/>
  <c r="R1704" i="1"/>
  <c r="S1704" i="1" s="1"/>
  <c r="R1705" i="1"/>
  <c r="S1705" i="1" s="1"/>
  <c r="R1706" i="1"/>
  <c r="S1706" i="1" s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 s="1"/>
  <c r="R1715" i="1"/>
  <c r="S1715" i="1" s="1"/>
  <c r="R1716" i="1"/>
  <c r="S1716" i="1" s="1"/>
  <c r="R1717" i="1"/>
  <c r="S1717" i="1" s="1"/>
  <c r="R1718" i="1"/>
  <c r="S1718" i="1" s="1"/>
  <c r="R1719" i="1"/>
  <c r="S1719" i="1" s="1"/>
  <c r="R1720" i="1"/>
  <c r="S1720" i="1" s="1"/>
  <c r="R1721" i="1"/>
  <c r="S1721" i="1" s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 s="1"/>
  <c r="R1730" i="1"/>
  <c r="S1730" i="1" s="1"/>
  <c r="R1731" i="1"/>
  <c r="S1731" i="1" s="1"/>
  <c r="R1732" i="1"/>
  <c r="S1732" i="1" s="1"/>
  <c r="R1733" i="1"/>
  <c r="S1733" i="1" s="1"/>
  <c r="R1734" i="1"/>
  <c r="S1734" i="1" s="1"/>
  <c r="R1735" i="1"/>
  <c r="S1735" i="1" s="1"/>
  <c r="R1736" i="1"/>
  <c r="S1736" i="1" s="1"/>
  <c r="R1737" i="1"/>
  <c r="S1737" i="1" s="1"/>
  <c r="R1738" i="1"/>
  <c r="S1738" i="1" s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 s="1"/>
  <c r="R1746" i="1"/>
  <c r="S1746" i="1" s="1"/>
  <c r="R1747" i="1"/>
  <c r="S1747" i="1" s="1"/>
  <c r="R1748" i="1"/>
  <c r="S1748" i="1" s="1"/>
  <c r="R1749" i="1"/>
  <c r="S1749" i="1" s="1"/>
  <c r="R1750" i="1"/>
  <c r="S1750" i="1" s="1"/>
  <c r="R1751" i="1"/>
  <c r="S1751" i="1" s="1"/>
  <c r="R1752" i="1"/>
  <c r="S1752" i="1" s="1"/>
  <c r="R1753" i="1"/>
  <c r="S1753" i="1" s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 s="1"/>
  <c r="R1762" i="1"/>
  <c r="S1762" i="1" s="1"/>
  <c r="R1763" i="1"/>
  <c r="S1763" i="1" s="1"/>
  <c r="R1764" i="1"/>
  <c r="S1764" i="1" s="1"/>
  <c r="R1765" i="1"/>
  <c r="S1765" i="1" s="1"/>
  <c r="R1766" i="1"/>
  <c r="S1766" i="1" s="1"/>
  <c r="R1767" i="1"/>
  <c r="S1767" i="1" s="1"/>
  <c r="R1768" i="1"/>
  <c r="S1768" i="1" s="1"/>
  <c r="R1769" i="1"/>
  <c r="S1769" i="1" s="1"/>
  <c r="R1770" i="1"/>
  <c r="S1770" i="1" s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 s="1"/>
  <c r="R1778" i="1"/>
  <c r="S1778" i="1" s="1"/>
  <c r="R1779" i="1"/>
  <c r="S1779" i="1" s="1"/>
  <c r="R1780" i="1"/>
  <c r="S1780" i="1" s="1"/>
  <c r="R1781" i="1"/>
  <c r="S1781" i="1" s="1"/>
  <c r="R1782" i="1"/>
  <c r="S1782" i="1" s="1"/>
  <c r="R1783" i="1"/>
  <c r="S1783" i="1" s="1"/>
  <c r="R1784" i="1"/>
  <c r="S1784" i="1" s="1"/>
  <c r="R1785" i="1"/>
  <c r="S1785" i="1" s="1"/>
  <c r="R1786" i="1"/>
  <c r="S1786" i="1" s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S1792" i="1" s="1"/>
  <c r="R1793" i="1"/>
  <c r="S1793" i="1" s="1"/>
  <c r="R1794" i="1"/>
  <c r="S1794" i="1" s="1"/>
  <c r="R1795" i="1"/>
  <c r="S1795" i="1" s="1"/>
  <c r="R1796" i="1"/>
  <c r="S1796" i="1" s="1"/>
  <c r="R1797" i="1"/>
  <c r="S1797" i="1" s="1"/>
  <c r="R1798" i="1"/>
  <c r="S1798" i="1" s="1"/>
  <c r="R1799" i="1"/>
  <c r="S1799" i="1" s="1"/>
  <c r="R1800" i="1"/>
  <c r="S1800" i="1" s="1"/>
  <c r="R1801" i="1"/>
  <c r="S1801" i="1" s="1"/>
  <c r="R1802" i="1"/>
  <c r="S1802" i="1" s="1"/>
  <c r="R1803" i="1"/>
  <c r="S1803" i="1" s="1"/>
  <c r="R1804" i="1"/>
  <c r="S1804" i="1" s="1"/>
  <c r="R1805" i="1"/>
  <c r="S1805" i="1" s="1"/>
  <c r="R1806" i="1"/>
  <c r="S1806" i="1" s="1"/>
  <c r="R1807" i="1"/>
  <c r="S1807" i="1" s="1"/>
  <c r="R1808" i="1"/>
  <c r="S1808" i="1" s="1"/>
  <c r="R1809" i="1"/>
  <c r="S1809" i="1" s="1"/>
  <c r="R1810" i="1"/>
  <c r="S1810" i="1" s="1"/>
  <c r="R1811" i="1"/>
  <c r="S1811" i="1" s="1"/>
  <c r="R1812" i="1"/>
  <c r="S1812" i="1" s="1"/>
  <c r="R1813" i="1"/>
  <c r="S1813" i="1" s="1"/>
  <c r="R1814" i="1"/>
  <c r="S1814" i="1" s="1"/>
  <c r="R1815" i="1"/>
  <c r="S1815" i="1" s="1"/>
  <c r="R1816" i="1"/>
  <c r="S1816" i="1" s="1"/>
  <c r="R1817" i="1"/>
  <c r="S1817" i="1" s="1"/>
  <c r="R1818" i="1"/>
  <c r="S1818" i="1" s="1"/>
  <c r="R1819" i="1"/>
  <c r="S1819" i="1" s="1"/>
  <c r="R1820" i="1"/>
  <c r="S1820" i="1" s="1"/>
  <c r="R1821" i="1"/>
  <c r="S1821" i="1" s="1"/>
  <c r="R1822" i="1"/>
  <c r="S1822" i="1" s="1"/>
  <c r="R1823" i="1"/>
  <c r="S1823" i="1" s="1"/>
  <c r="R1824" i="1"/>
  <c r="S1824" i="1" s="1"/>
  <c r="R1825" i="1"/>
  <c r="S1825" i="1" s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 s="1"/>
  <c r="R1832" i="1"/>
  <c r="S1832" i="1" s="1"/>
  <c r="R1833" i="1"/>
  <c r="S1833" i="1" s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 s="1"/>
  <c r="R1841" i="1"/>
  <c r="S1841" i="1" s="1"/>
  <c r="R1842" i="1"/>
  <c r="S1842" i="1" s="1"/>
  <c r="R1843" i="1"/>
  <c r="S1843" i="1" s="1"/>
  <c r="R1844" i="1"/>
  <c r="S1844" i="1" s="1"/>
  <c r="R1845" i="1"/>
  <c r="S1845" i="1" s="1"/>
  <c r="R1846" i="1"/>
  <c r="S1846" i="1" s="1"/>
  <c r="R1847" i="1"/>
  <c r="S1847" i="1" s="1"/>
  <c r="R1848" i="1"/>
  <c r="S1848" i="1" s="1"/>
  <c r="R1849" i="1"/>
  <c r="S1849" i="1" s="1"/>
  <c r="R1850" i="1"/>
  <c r="S1850" i="1" s="1"/>
  <c r="R1851" i="1"/>
  <c r="S1851" i="1" s="1"/>
  <c r="R1852" i="1"/>
  <c r="S1852" i="1" s="1"/>
  <c r="R1853" i="1"/>
  <c r="S1853" i="1" s="1"/>
  <c r="R1854" i="1"/>
  <c r="S1854" i="1" s="1"/>
  <c r="R1855" i="1"/>
  <c r="S1855" i="1" s="1"/>
  <c r="R1856" i="1"/>
  <c r="S1856" i="1" s="1"/>
  <c r="R1857" i="1"/>
  <c r="S1857" i="1" s="1"/>
  <c r="R1858" i="1"/>
  <c r="S1858" i="1" s="1"/>
  <c r="R1859" i="1"/>
  <c r="S1859" i="1" s="1"/>
  <c r="R1860" i="1"/>
  <c r="S1860" i="1" s="1"/>
  <c r="R1861" i="1"/>
  <c r="S1861" i="1" s="1"/>
  <c r="R1862" i="1"/>
  <c r="S1862" i="1" s="1"/>
  <c r="R1863" i="1"/>
  <c r="S1863" i="1" s="1"/>
  <c r="R1864" i="1"/>
  <c r="S1864" i="1" s="1"/>
  <c r="R1865" i="1"/>
  <c r="S1865" i="1" s="1"/>
  <c r="R1866" i="1"/>
  <c r="S1866" i="1" s="1"/>
  <c r="R1867" i="1"/>
  <c r="S1867" i="1" s="1"/>
  <c r="R1868" i="1"/>
  <c r="S1868" i="1" s="1"/>
  <c r="R1869" i="1"/>
  <c r="S1869" i="1" s="1"/>
  <c r="R1870" i="1"/>
  <c r="S1870" i="1" s="1"/>
  <c r="R1871" i="1"/>
  <c r="S1871" i="1" s="1"/>
  <c r="R1872" i="1"/>
  <c r="S1872" i="1" s="1"/>
  <c r="R1873" i="1"/>
  <c r="S1873" i="1" s="1"/>
  <c r="R1874" i="1"/>
  <c r="S1874" i="1" s="1"/>
  <c r="R1875" i="1"/>
  <c r="S1875" i="1" s="1"/>
  <c r="R1876" i="1"/>
  <c r="S1876" i="1" s="1"/>
  <c r="R1877" i="1"/>
  <c r="S1877" i="1" s="1"/>
  <c r="R1878" i="1"/>
  <c r="S1878" i="1" s="1"/>
  <c r="R1879" i="1"/>
  <c r="S1879" i="1" s="1"/>
  <c r="R1880" i="1"/>
  <c r="S1880" i="1" s="1"/>
  <c r="R1881" i="1"/>
  <c r="S1881" i="1" s="1"/>
  <c r="R1882" i="1"/>
  <c r="S1882" i="1" s="1"/>
  <c r="R1883" i="1"/>
  <c r="S1883" i="1" s="1"/>
  <c r="R1884" i="1"/>
  <c r="S1884" i="1" s="1"/>
  <c r="R1885" i="1"/>
  <c r="S1885" i="1" s="1"/>
  <c r="R1886" i="1"/>
  <c r="S1886" i="1" s="1"/>
  <c r="R1887" i="1"/>
  <c r="S1887" i="1" s="1"/>
  <c r="R1888" i="1"/>
  <c r="S1888" i="1" s="1"/>
  <c r="R1889" i="1"/>
  <c r="S1889" i="1" s="1"/>
  <c r="R1890" i="1"/>
  <c r="S1890" i="1" s="1"/>
  <c r="R1891" i="1"/>
  <c r="S1891" i="1" s="1"/>
  <c r="R1892" i="1"/>
  <c r="S1892" i="1" s="1"/>
  <c r="R1893" i="1"/>
  <c r="S1893" i="1" s="1"/>
  <c r="R1894" i="1"/>
  <c r="S1894" i="1" s="1"/>
  <c r="R1895" i="1"/>
  <c r="S1895" i="1" s="1"/>
  <c r="R1896" i="1"/>
  <c r="S1896" i="1" s="1"/>
  <c r="R1897" i="1"/>
  <c r="S1897" i="1" s="1"/>
  <c r="R1898" i="1"/>
  <c r="S1898" i="1" s="1"/>
  <c r="R1899" i="1"/>
  <c r="S1899" i="1" s="1"/>
  <c r="R1900" i="1"/>
  <c r="S1900" i="1" s="1"/>
  <c r="R1901" i="1"/>
  <c r="S1901" i="1" s="1"/>
  <c r="R1902" i="1"/>
  <c r="S1902" i="1" s="1"/>
  <c r="R1903" i="1"/>
  <c r="S1903" i="1" s="1"/>
  <c r="R1904" i="1"/>
  <c r="S1904" i="1" s="1"/>
  <c r="R1905" i="1"/>
  <c r="S1905" i="1" s="1"/>
  <c r="R1906" i="1"/>
  <c r="S1906" i="1" s="1"/>
  <c r="R1907" i="1"/>
  <c r="S1907" i="1" s="1"/>
  <c r="R1908" i="1"/>
  <c r="S1908" i="1" s="1"/>
  <c r="R1909" i="1"/>
  <c r="S1909" i="1" s="1"/>
  <c r="R1910" i="1"/>
  <c r="S1910" i="1" s="1"/>
  <c r="R1911" i="1"/>
  <c r="S1911" i="1" s="1"/>
  <c r="R1912" i="1"/>
  <c r="S1912" i="1" s="1"/>
  <c r="R1913" i="1"/>
  <c r="S1913" i="1" s="1"/>
  <c r="R1914" i="1"/>
  <c r="S1914" i="1" s="1"/>
  <c r="R1915" i="1"/>
  <c r="S1915" i="1" s="1"/>
  <c r="R1916" i="1"/>
  <c r="S1916" i="1" s="1"/>
  <c r="R1917" i="1"/>
  <c r="S1917" i="1" s="1"/>
  <c r="R1918" i="1"/>
  <c r="S1918" i="1" s="1"/>
  <c r="R1919" i="1"/>
  <c r="S1919" i="1" s="1"/>
  <c r="R1920" i="1"/>
  <c r="S1920" i="1" s="1"/>
  <c r="R1921" i="1"/>
  <c r="S1921" i="1" s="1"/>
  <c r="R1922" i="1"/>
  <c r="S1922" i="1" s="1"/>
  <c r="R1923" i="1"/>
  <c r="S1923" i="1" s="1"/>
  <c r="R1924" i="1"/>
  <c r="S1924" i="1" s="1"/>
  <c r="R1925" i="1"/>
  <c r="S1925" i="1" s="1"/>
  <c r="R1926" i="1"/>
  <c r="S1926" i="1" s="1"/>
  <c r="R1927" i="1"/>
  <c r="S1927" i="1" s="1"/>
  <c r="R1928" i="1"/>
  <c r="S1928" i="1" s="1"/>
  <c r="R1929" i="1"/>
  <c r="S1929" i="1" s="1"/>
  <c r="R1930" i="1"/>
  <c r="S1930" i="1" s="1"/>
  <c r="R1931" i="1"/>
  <c r="S1931" i="1" s="1"/>
  <c r="R1932" i="1"/>
  <c r="S1932" i="1" s="1"/>
  <c r="R1933" i="1"/>
  <c r="S1933" i="1" s="1"/>
  <c r="R1934" i="1"/>
  <c r="S1934" i="1" s="1"/>
  <c r="R1935" i="1"/>
  <c r="S1935" i="1" s="1"/>
  <c r="R1936" i="1"/>
  <c r="S1936" i="1" s="1"/>
  <c r="R1937" i="1"/>
  <c r="S1937" i="1" s="1"/>
  <c r="R1938" i="1"/>
  <c r="S1938" i="1" s="1"/>
  <c r="R1939" i="1"/>
  <c r="S1939" i="1" s="1"/>
  <c r="R1940" i="1"/>
  <c r="S1940" i="1" s="1"/>
  <c r="R1941" i="1"/>
  <c r="S1941" i="1" s="1"/>
  <c r="R1942" i="1"/>
  <c r="S1942" i="1" s="1"/>
  <c r="R1943" i="1"/>
  <c r="S1943" i="1" s="1"/>
  <c r="R1944" i="1"/>
  <c r="S1944" i="1" s="1"/>
  <c r="R1945" i="1"/>
  <c r="S1945" i="1" s="1"/>
  <c r="R1946" i="1"/>
  <c r="S1946" i="1" s="1"/>
  <c r="R1947" i="1"/>
  <c r="S1947" i="1" s="1"/>
  <c r="R1948" i="1"/>
  <c r="S1948" i="1" s="1"/>
  <c r="R1949" i="1"/>
  <c r="S1949" i="1" s="1"/>
  <c r="R1950" i="1"/>
  <c r="S1950" i="1" s="1"/>
  <c r="R1951" i="1"/>
  <c r="S1951" i="1" s="1"/>
  <c r="R1952" i="1"/>
  <c r="S1952" i="1" s="1"/>
  <c r="R1953" i="1"/>
  <c r="S1953" i="1" s="1"/>
  <c r="R1954" i="1"/>
  <c r="S1954" i="1" s="1"/>
  <c r="R1955" i="1"/>
  <c r="S1955" i="1" s="1"/>
  <c r="R1956" i="1"/>
  <c r="S1956" i="1" s="1"/>
  <c r="R1957" i="1"/>
  <c r="S1957" i="1" s="1"/>
  <c r="R1958" i="1"/>
  <c r="S1958" i="1" s="1"/>
  <c r="R1959" i="1"/>
  <c r="S1959" i="1" s="1"/>
  <c r="R1960" i="1"/>
  <c r="S1960" i="1" s="1"/>
  <c r="R1961" i="1"/>
  <c r="S1961" i="1" s="1"/>
  <c r="R1962" i="1"/>
  <c r="S1962" i="1" s="1"/>
  <c r="R1963" i="1"/>
  <c r="S1963" i="1" s="1"/>
  <c r="R1964" i="1"/>
  <c r="S1964" i="1" s="1"/>
  <c r="R1965" i="1"/>
  <c r="S1965" i="1" s="1"/>
  <c r="R1966" i="1"/>
  <c r="S1966" i="1" s="1"/>
  <c r="R1967" i="1"/>
  <c r="S1967" i="1" s="1"/>
  <c r="R1968" i="1"/>
  <c r="S1968" i="1" s="1"/>
  <c r="R1969" i="1"/>
  <c r="S1969" i="1" s="1"/>
  <c r="R1970" i="1"/>
  <c r="S1970" i="1" s="1"/>
  <c r="R1971" i="1"/>
  <c r="S1971" i="1" s="1"/>
  <c r="R1972" i="1"/>
  <c r="S1972" i="1" s="1"/>
  <c r="R1973" i="1"/>
  <c r="S1973" i="1" s="1"/>
  <c r="R1974" i="1"/>
  <c r="S1974" i="1" s="1"/>
  <c r="R1975" i="1"/>
  <c r="S1975" i="1" s="1"/>
  <c r="R1976" i="1"/>
  <c r="S1976" i="1" s="1"/>
  <c r="R1977" i="1"/>
  <c r="S1977" i="1" s="1"/>
  <c r="R1978" i="1"/>
  <c r="S1978" i="1" s="1"/>
  <c r="R1979" i="1"/>
  <c r="S1979" i="1" s="1"/>
  <c r="R1980" i="1"/>
  <c r="S1980" i="1" s="1"/>
  <c r="R1981" i="1"/>
  <c r="S1981" i="1" s="1"/>
  <c r="R1982" i="1"/>
  <c r="S1982" i="1" s="1"/>
  <c r="R1983" i="1"/>
  <c r="S1983" i="1" s="1"/>
  <c r="R1984" i="1"/>
  <c r="S1984" i="1" s="1"/>
  <c r="R1985" i="1"/>
  <c r="S1985" i="1" s="1"/>
  <c r="R1986" i="1"/>
  <c r="S1986" i="1" s="1"/>
  <c r="R1987" i="1"/>
  <c r="S1987" i="1" s="1"/>
  <c r="R1988" i="1"/>
  <c r="S1988" i="1" s="1"/>
  <c r="R1989" i="1"/>
  <c r="S1989" i="1" s="1"/>
  <c r="R1990" i="1"/>
  <c r="S1990" i="1" s="1"/>
  <c r="R1991" i="1"/>
  <c r="S1991" i="1" s="1"/>
  <c r="R1992" i="1"/>
  <c r="S1992" i="1" s="1"/>
  <c r="R1993" i="1"/>
  <c r="S1993" i="1" s="1"/>
  <c r="R1994" i="1"/>
  <c r="S1994" i="1" s="1"/>
  <c r="R1995" i="1"/>
  <c r="S1995" i="1" s="1"/>
  <c r="R1996" i="1"/>
  <c r="S1996" i="1" s="1"/>
  <c r="R1997" i="1"/>
  <c r="S1997" i="1" s="1"/>
  <c r="R1998" i="1"/>
  <c r="S1998" i="1" s="1"/>
  <c r="R1999" i="1"/>
  <c r="S1999" i="1" s="1"/>
  <c r="R2000" i="1"/>
  <c r="S2000" i="1" s="1"/>
  <c r="R2001" i="1"/>
  <c r="S2001" i="1" s="1"/>
  <c r="R2002" i="1"/>
  <c r="S2002" i="1" s="1"/>
  <c r="R2003" i="1"/>
  <c r="S2003" i="1" s="1"/>
  <c r="R2004" i="1"/>
  <c r="S2004" i="1" s="1"/>
  <c r="R2005" i="1"/>
  <c r="S2005" i="1" s="1"/>
  <c r="R2006" i="1"/>
  <c r="S2006" i="1" s="1"/>
  <c r="R2007" i="1"/>
  <c r="S2007" i="1" s="1"/>
  <c r="R2008" i="1"/>
  <c r="S2008" i="1" s="1"/>
  <c r="R2009" i="1"/>
  <c r="S2009" i="1" s="1"/>
  <c r="R2010" i="1"/>
  <c r="S2010" i="1" s="1"/>
  <c r="R2011" i="1"/>
  <c r="S2011" i="1" s="1"/>
  <c r="R2012" i="1"/>
  <c r="S2012" i="1" s="1"/>
  <c r="R2013" i="1"/>
  <c r="S2013" i="1" s="1"/>
  <c r="R2014" i="1"/>
  <c r="S2014" i="1" s="1"/>
  <c r="R2015" i="1"/>
  <c r="S2015" i="1" s="1"/>
  <c r="R2016" i="1"/>
  <c r="S2016" i="1" s="1"/>
  <c r="R2017" i="1"/>
  <c r="S2017" i="1" s="1"/>
  <c r="R2018" i="1"/>
  <c r="S2018" i="1" s="1"/>
  <c r="R2019" i="1"/>
  <c r="S2019" i="1" s="1"/>
  <c r="R2020" i="1"/>
  <c r="S2020" i="1" s="1"/>
  <c r="R2021" i="1"/>
  <c r="S2021" i="1" s="1"/>
  <c r="R2022" i="1"/>
  <c r="S2022" i="1" s="1"/>
  <c r="R2023" i="1"/>
  <c r="S2023" i="1" s="1"/>
  <c r="R2024" i="1"/>
  <c r="S2024" i="1" s="1"/>
  <c r="R2025" i="1"/>
  <c r="S2025" i="1" s="1"/>
  <c r="R2026" i="1"/>
  <c r="S2026" i="1" s="1"/>
  <c r="R2027" i="1"/>
  <c r="S2027" i="1" s="1"/>
  <c r="R2028" i="1"/>
  <c r="S2028" i="1" s="1"/>
  <c r="R2029" i="1"/>
  <c r="S2029" i="1" s="1"/>
  <c r="R2030" i="1"/>
  <c r="S2030" i="1" s="1"/>
  <c r="R2031" i="1"/>
  <c r="S2031" i="1" s="1"/>
  <c r="R2032" i="1"/>
  <c r="S2032" i="1" s="1"/>
  <c r="R2033" i="1"/>
  <c r="S2033" i="1" s="1"/>
  <c r="R2034" i="1"/>
  <c r="S2034" i="1" s="1"/>
  <c r="R2035" i="1"/>
  <c r="S2035" i="1" s="1"/>
  <c r="R2036" i="1"/>
  <c r="S2036" i="1" s="1"/>
  <c r="R2037" i="1"/>
  <c r="S2037" i="1" s="1"/>
  <c r="R2038" i="1"/>
  <c r="S2038" i="1" s="1"/>
  <c r="R2039" i="1"/>
  <c r="S2039" i="1" s="1"/>
  <c r="R2040" i="1"/>
  <c r="S2040" i="1" s="1"/>
  <c r="R2041" i="1"/>
  <c r="S2041" i="1" s="1"/>
  <c r="R2042" i="1"/>
  <c r="S2042" i="1" s="1"/>
  <c r="R2043" i="1"/>
  <c r="S2043" i="1" s="1"/>
  <c r="R2044" i="1"/>
  <c r="S2044" i="1" s="1"/>
  <c r="R2045" i="1"/>
  <c r="S2045" i="1" s="1"/>
  <c r="R2046" i="1"/>
  <c r="S2046" i="1" s="1"/>
  <c r="R2047" i="1"/>
  <c r="S2047" i="1" s="1"/>
  <c r="R2048" i="1"/>
  <c r="S2048" i="1" s="1"/>
  <c r="R2049" i="1"/>
  <c r="S2049" i="1" s="1"/>
  <c r="R2050" i="1"/>
  <c r="S2050" i="1" s="1"/>
  <c r="R2051" i="1"/>
  <c r="S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R2057" i="1"/>
  <c r="S2057" i="1" s="1"/>
  <c r="R2058" i="1"/>
  <c r="S2058" i="1" s="1"/>
  <c r="R2059" i="1"/>
  <c r="S2059" i="1" s="1"/>
  <c r="R2060" i="1"/>
  <c r="S2060" i="1" s="1"/>
  <c r="R2061" i="1"/>
  <c r="S2061" i="1" s="1"/>
  <c r="R2062" i="1"/>
  <c r="S2062" i="1" s="1"/>
  <c r="R2063" i="1"/>
  <c r="S2063" i="1" s="1"/>
  <c r="R2064" i="1"/>
  <c r="S2064" i="1" s="1"/>
  <c r="R2065" i="1"/>
  <c r="S2065" i="1" s="1"/>
  <c r="R2066" i="1"/>
  <c r="S2066" i="1" s="1"/>
  <c r="R2067" i="1"/>
  <c r="S2067" i="1" s="1"/>
  <c r="R2068" i="1"/>
  <c r="S2068" i="1" s="1"/>
  <c r="R2069" i="1"/>
  <c r="S2069" i="1" s="1"/>
  <c r="R2070" i="1"/>
  <c r="S2070" i="1" s="1"/>
  <c r="R2071" i="1"/>
  <c r="S2071" i="1" s="1"/>
  <c r="R2072" i="1"/>
  <c r="S2072" i="1" s="1"/>
  <c r="R2073" i="1"/>
  <c r="S2073" i="1" s="1"/>
  <c r="R2074" i="1"/>
  <c r="S2074" i="1" s="1"/>
  <c r="R2075" i="1"/>
  <c r="S2075" i="1" s="1"/>
  <c r="R2076" i="1"/>
  <c r="S2076" i="1" s="1"/>
  <c r="R2077" i="1"/>
  <c r="S2077" i="1" s="1"/>
  <c r="R2078" i="1"/>
  <c r="S2078" i="1" s="1"/>
  <c r="R2079" i="1"/>
  <c r="S2079" i="1" s="1"/>
  <c r="R2080" i="1"/>
  <c r="S2080" i="1" s="1"/>
  <c r="R2081" i="1"/>
  <c r="S2081" i="1" s="1"/>
  <c r="R2082" i="1"/>
  <c r="S2082" i="1" s="1"/>
  <c r="R2083" i="1"/>
  <c r="S2083" i="1" s="1"/>
  <c r="R2084" i="1"/>
  <c r="S2084" i="1" s="1"/>
  <c r="R2085" i="1"/>
  <c r="S2085" i="1" s="1"/>
  <c r="R2086" i="1"/>
  <c r="S2086" i="1" s="1"/>
  <c r="R2087" i="1"/>
  <c r="S2087" i="1" s="1"/>
  <c r="R2088" i="1"/>
  <c r="S2088" i="1" s="1"/>
  <c r="R2089" i="1"/>
  <c r="S2089" i="1" s="1"/>
  <c r="R2090" i="1"/>
  <c r="S2090" i="1" s="1"/>
  <c r="R2091" i="1"/>
  <c r="S2091" i="1" s="1"/>
  <c r="R2092" i="1"/>
  <c r="S2092" i="1" s="1"/>
  <c r="R2093" i="1"/>
  <c r="S2093" i="1" s="1"/>
  <c r="R2094" i="1"/>
  <c r="S2094" i="1" s="1"/>
  <c r="R2095" i="1"/>
  <c r="S2095" i="1" s="1"/>
  <c r="R2096" i="1"/>
  <c r="S2096" i="1" s="1"/>
  <c r="R2097" i="1"/>
  <c r="S2097" i="1" s="1"/>
  <c r="R2098" i="1"/>
  <c r="S2098" i="1" s="1"/>
  <c r="R2099" i="1"/>
  <c r="S2099" i="1" s="1"/>
  <c r="R2100" i="1"/>
  <c r="S2100" i="1" s="1"/>
  <c r="R2101" i="1"/>
  <c r="S2101" i="1" s="1"/>
  <c r="R2102" i="1"/>
  <c r="S2102" i="1" s="1"/>
  <c r="R2103" i="1"/>
  <c r="S2103" i="1" s="1"/>
  <c r="R2104" i="1"/>
  <c r="S2104" i="1" s="1"/>
  <c r="R2105" i="1"/>
  <c r="S2105" i="1" s="1"/>
  <c r="R2106" i="1"/>
  <c r="S2106" i="1" s="1"/>
  <c r="R2107" i="1"/>
  <c r="S2107" i="1" s="1"/>
  <c r="R2108" i="1"/>
  <c r="S2108" i="1" s="1"/>
  <c r="R2109" i="1"/>
  <c r="S2109" i="1" s="1"/>
  <c r="R2110" i="1"/>
  <c r="R2111" i="1"/>
  <c r="S2111" i="1" s="1"/>
  <c r="R2112" i="1"/>
  <c r="S2112" i="1" s="1"/>
</calcChain>
</file>

<file path=xl/sharedStrings.xml><?xml version="1.0" encoding="utf-8"?>
<sst xmlns="http://schemas.openxmlformats.org/spreadsheetml/2006/main" count="4245" uniqueCount="30">
  <si>
    <t>NCP_refeicoes_principais_diarias</t>
  </si>
  <si>
    <t>CAEC_lanche_entre_refeicoes</t>
  </si>
  <si>
    <t>SCC_monitora_calorias_diarias</t>
  </si>
  <si>
    <t>TUE_tempo_uso_aparelhos_em_horas</t>
  </si>
  <si>
    <t>CALC_bebe_alcool_frequentemente</t>
  </si>
  <si>
    <t>MTRANS</t>
  </si>
  <si>
    <t>Obesity</t>
  </si>
  <si>
    <t>FAF_Var</t>
  </si>
  <si>
    <t>Screen_Exerc_Ratio</t>
  </si>
  <si>
    <t>Snack_Profile</t>
  </si>
  <si>
    <t>Metabolic_Effort</t>
  </si>
  <si>
    <t>Vices_Score</t>
  </si>
  <si>
    <t>IMC</t>
  </si>
  <si>
    <t>Female</t>
  </si>
  <si>
    <t>Public_Transportation</t>
  </si>
  <si>
    <t>Male</t>
  </si>
  <si>
    <t>Walking</t>
  </si>
  <si>
    <t>Automobile</t>
  </si>
  <si>
    <t>Motorbike</t>
  </si>
  <si>
    <t>Bike</t>
  </si>
  <si>
    <t>Gender</t>
  </si>
  <si>
    <t>Age</t>
  </si>
  <si>
    <t>Height</t>
  </si>
  <si>
    <t>Weight</t>
  </si>
  <si>
    <t>family_history</t>
  </si>
  <si>
    <t>FAVC_consumo_frequente_de_alimentos_mt_caloricos</t>
  </si>
  <si>
    <t>FCVC_comer_vegetais</t>
  </si>
  <si>
    <t>SMOKE</t>
  </si>
  <si>
    <t>CH2O_L</t>
  </si>
  <si>
    <t>FAF_atividade_fisica_frequente_em_horas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</si>
</sst>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" fontId="0" fillId="0" borderId="0" xfId="0" applyNumberFormat="1"/>
    <xf numFmtId="2" fontId="1" fillId="0" borderId="1" xfId="0" applyNumberFormat="1" applyFont="1" applyBorder="1" applyAlignment="1">
      <alignment horizontal="left" vertical="top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64" fontId="0" fillId="0" borderId="0" xfId="0" applyNumberFormat="1"/>
    <xf numFmtId="0" fontId="1" fillId="0" borderId="1" xfId="0" applyFont="1" applyBorder="1" applyAlignment="1">
      <alignment horizontal="left" vertical="top"/>
    </xf>
    <xf numFmtId="164" fontId="0" fillId="0" borderId="0" xfId="0" quotePrefix="1" applyNumberFormat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27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  <alignment horizontal="left" textRotation="0" wrapText="0" indent="0" justifyLastLine="0" shrinkToFit="0" readingOrder="0"/>
    </dxf>
    <dxf>
      <numFmt numFmtId="2" formatCode="0.00"/>
      <alignment horizontal="left" textRotation="0" wrapText="0" indent="0" justifyLastLine="0" shrinkToFit="0" readingOrder="0"/>
    </dxf>
    <dxf>
      <numFmt numFmtId="1" formatCode="0"/>
      <alignment horizontal="left" textRotation="0" wrapText="0" indent="0" justifyLastLine="0" shrinkToFit="0" readingOrder="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A07BA2-4405-43D3-9985-B979BEADBF41}" name="Tabela2" displayName="Tabela2" ref="A1:W2112" totalsRowShown="0" headerRowDxfId="3" dataDxfId="2" headerRowBorderDxfId="0" tableBorderDxfId="1">
  <autoFilter ref="A1:W2112" xr:uid="{14A07BA2-4405-43D3-9985-B979BEADBF41}"/>
  <tableColumns count="23">
    <tableColumn id="1" xr3:uid="{E9D1B1B7-7BDC-4BDF-BB44-3BBDBE627059}" name="Gender" dataDxfId="26"/>
    <tableColumn id="5" xr3:uid="{EB53162D-8E99-4920-BFF9-5AD5ABA40CB3}" name="Age" dataDxfId="25"/>
    <tableColumn id="6" xr3:uid="{EAED7712-609C-4857-B6AF-EB938A41BBD3}" name="Height" dataDxfId="24"/>
    <tableColumn id="7" xr3:uid="{BB2A9C00-D21B-47ED-A27B-D15B8897D436}" name="Weight" dataDxfId="23"/>
    <tableColumn id="8" xr3:uid="{1C85FA22-8AA8-47B7-9A2E-B751366F3929}" name="family_history" dataDxfId="22"/>
    <tableColumn id="9" xr3:uid="{1D81D43A-FC32-4AE3-8503-15E8C4C1368A}" name="FAVC_consumo_frequente_de_alimentos_mt_caloricos" dataDxfId="21"/>
    <tableColumn id="10" xr3:uid="{C129CEA9-0BD6-4C70-891D-0BE3EE0B9780}" name="FCVC_comer_vegetais" dataDxfId="20"/>
    <tableColumn id="11" xr3:uid="{B9F4ED76-F9F8-4F91-842A-2DD970E67F01}" name="NCP_refeicoes_principais_diarias" dataDxfId="19"/>
    <tableColumn id="12" xr3:uid="{25ABB028-AD99-43DA-B705-2F1B84958146}" name="CAEC_lanche_entre_refeicoes" dataDxfId="18"/>
    <tableColumn id="13" xr3:uid="{8BBA9158-AAAC-4151-B4C3-0ABDBA51154D}" name="SMOKE" dataDxfId="17"/>
    <tableColumn id="14" xr3:uid="{97BF1C7B-9896-4CB6-987E-00452316770D}" name="CH2O_L" dataDxfId="16"/>
    <tableColumn id="15" xr3:uid="{3097CDB3-5713-4E17-9A2B-60294F142881}" name="SCC_monitora_calorias_diarias" dataDxfId="15"/>
    <tableColumn id="16" xr3:uid="{312E47C5-CAF8-443B-AFA5-3D70185765F1}" name="FAF_atividade_fisica_frequente_em_horas" dataDxfId="14"/>
    <tableColumn id="17" xr3:uid="{2CC6127D-973B-4674-981A-7F85AC9E21D4}" name="TUE_tempo_uso_aparelhos_em_horas" dataDxfId="13"/>
    <tableColumn id="20" xr3:uid="{B1554E62-3407-4C05-BBFE-C95BA8AF61C3}" name="CALC_bebe_alcool_frequentemente" dataDxfId="12"/>
    <tableColumn id="21" xr3:uid="{C9046588-56E6-4A4E-AB6F-42E32BA8E2CE}" name="MTRANS" dataDxfId="11"/>
    <tableColumn id="22" xr3:uid="{726B8AB1-FFB4-4338-B497-1196EBFD1CB8}" name="Obesity" dataDxfId="10"/>
    <tableColumn id="2" xr3:uid="{B5250162-84C2-4D8C-A2FE-1F918EC1A642}" name="FAF_Var" dataDxfId="9">
      <calculatedColumnFormula>(Tabela2[[#This Row],[FAF_atividade_fisica_frequente_em_horas]]+ 0.1)</calculatedColumnFormula>
    </tableColumn>
    <tableColumn id="3" xr3:uid="{D5832CB8-87CD-4C17-A611-BFF57AF6332D}" name="Screen_Exerc_Ratio" dataDxfId="8">
      <calculatedColumnFormula>(Tabela2[[#This Row],[TUE_tempo_uso_aparelhos_em_horas]]/Tabela2[[#This Row],[FAF_Var]])</calculatedColumnFormula>
    </tableColumn>
    <tableColumn id="4" xr3:uid="{1029CA8B-D72D-4C80-8092-633351A77F5D}" name="Snack_Profile" dataDxfId="7">
      <calculatedColumnFormula>(Tabela2[[#This Row],[CAEC_lanche_entre_refeicoes]]*Tabela2[[#This Row],[FAVC_consumo_frequente_de_alimentos_mt_caloricos]])</calculatedColumnFormula>
    </tableColumn>
    <tableColumn id="18" xr3:uid="{7DF9B50B-E0EA-475F-A134-70541EDF04D7}" name="Metabolic_Effort" dataDxfId="6">
      <calculatedColumnFormula>IF(OR(Tabela2[[#This Row],[MTRANS]]="Walking",Tabela2[[#This Row],[MTRANS]]="Bike"),Tabela2[[#This Row],[FAF_atividade_fisica_frequente_em_horas]]+1,M2)</calculatedColumnFormula>
    </tableColumn>
    <tableColumn id="24" xr3:uid="{B88A0DBA-BA50-424B-B655-BD2A2D5FAAAC}" name="Vices_Score" dataDxfId="5">
      <calculatedColumnFormula>(Tabela2[[#This Row],[SMOKE]]+Tabela2[[#This Row],[CALC_bebe_alcool_frequentemente]])</calculatedColumnFormula>
    </tableColumn>
    <tableColumn id="25" xr3:uid="{F8AA0C6D-D546-4AFC-8F25-8470FD64F6A6}" name="IMC" dataDxfId="4">
      <calculatedColumnFormula>(Tabela2[[#This Row],[Weight]]/(Tabela2[[#This Row],[Height]] ^2))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12"/>
  <sheetViews>
    <sheetView tabSelected="1" zoomScaleNormal="100" workbookViewId="0">
      <selection activeCell="F5" sqref="F5"/>
    </sheetView>
  </sheetViews>
  <sheetFormatPr defaultRowHeight="15" x14ac:dyDescent="0.25"/>
  <cols>
    <col min="1" max="1" width="12.28515625" bestFit="1" customWidth="1"/>
    <col min="2" max="2" width="12.7109375" style="5" bestFit="1" customWidth="1"/>
    <col min="3" max="3" width="17.42578125" style="5" bestFit="1" customWidth="1"/>
    <col min="4" max="4" width="13.7109375" style="5" bestFit="1" customWidth="1"/>
    <col min="5" max="5" width="18.42578125" bestFit="1" customWidth="1"/>
    <col min="6" max="6" width="18.42578125" customWidth="1"/>
    <col min="7" max="7" width="25.7109375" bestFit="1" customWidth="1"/>
    <col min="8" max="8" width="35.42578125" bestFit="1" customWidth="1"/>
    <col min="9" max="9" width="35.42578125" customWidth="1"/>
    <col min="10" max="10" width="12" bestFit="1" customWidth="1"/>
    <col min="11" max="11" width="13.140625" bestFit="1" customWidth="1"/>
    <col min="12" max="12" width="32.85546875" bestFit="1" customWidth="1"/>
    <col min="13" max="13" width="42.140625" bestFit="1" customWidth="1"/>
    <col min="14" max="14" width="6.85546875" customWidth="1"/>
    <col min="15" max="15" width="15.5703125" customWidth="1"/>
    <col min="16" max="16" width="20.7109375" bestFit="1" customWidth="1"/>
    <col min="17" max="17" width="19.5703125" bestFit="1" customWidth="1"/>
    <col min="18" max="18" width="12.85546875" hidden="1" customWidth="1"/>
    <col min="19" max="19" width="23.140625" bestFit="1" customWidth="1"/>
    <col min="20" max="21" width="20.7109375" bestFit="1" customWidth="1"/>
    <col min="22" max="22" width="13.85546875" bestFit="1" customWidth="1"/>
  </cols>
  <sheetData>
    <row r="1" spans="1:23" x14ac:dyDescent="0.25">
      <c r="A1" s="9" t="s">
        <v>20</v>
      </c>
      <c r="B1" s="3" t="s">
        <v>21</v>
      </c>
      <c r="C1" s="3" t="s">
        <v>22</v>
      </c>
      <c r="D1" s="3" t="s">
        <v>23</v>
      </c>
      <c r="E1" s="9" t="s">
        <v>24</v>
      </c>
      <c r="F1" s="9" t="s">
        <v>25</v>
      </c>
      <c r="G1" s="9" t="s">
        <v>26</v>
      </c>
      <c r="H1" s="9" t="s">
        <v>0</v>
      </c>
      <c r="I1" s="9" t="s">
        <v>1</v>
      </c>
      <c r="J1" s="9" t="s">
        <v>27</v>
      </c>
      <c r="K1" s="9" t="s">
        <v>28</v>
      </c>
      <c r="L1" s="9" t="s">
        <v>2</v>
      </c>
      <c r="M1" s="9" t="s">
        <v>29</v>
      </c>
      <c r="N1" s="9" t="s">
        <v>3</v>
      </c>
      <c r="O1" s="11" t="s">
        <v>4</v>
      </c>
      <c r="P1" s="9" t="s">
        <v>5</v>
      </c>
      <c r="Q1" s="9" t="s">
        <v>6</v>
      </c>
      <c r="R1" s="9" t="s">
        <v>7</v>
      </c>
      <c r="S1" s="9" t="s">
        <v>8</v>
      </c>
      <c r="T1" s="9" t="s">
        <v>9</v>
      </c>
      <c r="U1" s="9" t="s">
        <v>10</v>
      </c>
      <c r="V1" s="9" t="s">
        <v>11</v>
      </c>
      <c r="W1" s="9" t="s">
        <v>12</v>
      </c>
    </row>
    <row r="2" spans="1:23" x14ac:dyDescent="0.25">
      <c r="A2" t="s">
        <v>13</v>
      </c>
      <c r="B2" s="7">
        <v>21</v>
      </c>
      <c r="C2" s="4">
        <v>1.62</v>
      </c>
      <c r="D2" s="7">
        <v>64</v>
      </c>
      <c r="E2">
        <v>1</v>
      </c>
      <c r="F2">
        <v>0</v>
      </c>
      <c r="G2" s="6">
        <v>2</v>
      </c>
      <c r="H2" s="2">
        <v>3</v>
      </c>
      <c r="I2">
        <v>1</v>
      </c>
      <c r="J2">
        <v>0</v>
      </c>
      <c r="K2" s="2">
        <v>2</v>
      </c>
      <c r="L2">
        <v>0</v>
      </c>
      <c r="M2" s="7">
        <v>0</v>
      </c>
      <c r="N2" s="7">
        <v>1</v>
      </c>
      <c r="O2">
        <v>0</v>
      </c>
      <c r="P2" t="s">
        <v>14</v>
      </c>
      <c r="Q2">
        <v>1</v>
      </c>
      <c r="R2" s="10">
        <f>(Tabela2[[#This Row],[FAF_atividade_fisica_frequente_em_horas]]+ 0.1)</f>
        <v>0.1</v>
      </c>
      <c r="S2" s="1">
        <f>(Tabela2[[#This Row],[TUE_tempo_uso_aparelhos_em_horas]]/Tabela2[[#This Row],[FAF_Var]])</f>
        <v>10</v>
      </c>
      <c r="T2">
        <f>(Tabela2[[#This Row],[CAEC_lanche_entre_refeicoes]]*Tabela2[[#This Row],[FAVC_consumo_frequente_de_alimentos_mt_caloricos]])</f>
        <v>0</v>
      </c>
      <c r="U2" s="1">
        <f>IF(OR(Tabela2[[#This Row],[MTRANS]]="Walking",Tabela2[[#This Row],[MTRANS]]="Bike"),Tabela2[[#This Row],[FAF_atividade_fisica_frequente_em_horas]]+1,M2)</f>
        <v>0</v>
      </c>
      <c r="V2">
        <f>(Tabela2[[#This Row],[SMOKE]]+Tabela2[[#This Row],[CALC_bebe_alcool_frequentemente]])</f>
        <v>0</v>
      </c>
      <c r="W2" s="8">
        <f>(Tabela2[[#This Row],[Weight]]/(Tabela2[[#This Row],[Height]] ^2))</f>
        <v>24.386526444139609</v>
      </c>
    </row>
    <row r="3" spans="1:23" x14ac:dyDescent="0.25">
      <c r="A3" t="s">
        <v>13</v>
      </c>
      <c r="B3" s="7">
        <v>21</v>
      </c>
      <c r="C3" s="4">
        <v>1.52</v>
      </c>
      <c r="D3" s="7">
        <v>56</v>
      </c>
      <c r="E3">
        <v>1</v>
      </c>
      <c r="F3">
        <v>0</v>
      </c>
      <c r="G3" s="2">
        <v>3</v>
      </c>
      <c r="H3" s="2">
        <v>3</v>
      </c>
      <c r="I3">
        <v>1</v>
      </c>
      <c r="J3">
        <v>1</v>
      </c>
      <c r="K3" s="2">
        <v>3</v>
      </c>
      <c r="L3">
        <v>1</v>
      </c>
      <c r="M3" s="7">
        <v>3</v>
      </c>
      <c r="N3" s="7">
        <v>0</v>
      </c>
      <c r="O3">
        <v>1</v>
      </c>
      <c r="P3" t="s">
        <v>14</v>
      </c>
      <c r="Q3">
        <v>1</v>
      </c>
      <c r="R3" s="8">
        <f>(Tabela2[[#This Row],[FAF_atividade_fisica_frequente_em_horas]]+ 0.1)</f>
        <v>3.1</v>
      </c>
      <c r="S3" s="1">
        <f>(Tabela2[[#This Row],[TUE_tempo_uso_aparelhos_em_horas]]/Tabela2[[#This Row],[FAF_Var]])</f>
        <v>0</v>
      </c>
      <c r="T3">
        <f>(Tabela2[[#This Row],[CAEC_lanche_entre_refeicoes]]*Tabela2[[#This Row],[FAVC_consumo_frequente_de_alimentos_mt_caloricos]])</f>
        <v>0</v>
      </c>
      <c r="U3" s="1">
        <f>IF(OR(Tabela2[[#This Row],[MTRANS]]="Walking",Tabela2[[#This Row],[MTRANS]]="Bike"),Tabela2[[#This Row],[FAF_atividade_fisica_frequente_em_horas]]+1,M3)</f>
        <v>3</v>
      </c>
      <c r="V3">
        <f>(Tabela2[[#This Row],[SMOKE]]+Tabela2[[#This Row],[CALC_bebe_alcool_frequentemente]])</f>
        <v>2</v>
      </c>
      <c r="W3" s="8">
        <f>(Tabela2[[#This Row],[Weight]]/(Tabela2[[#This Row],[Height]] ^2))</f>
        <v>24.238227146814403</v>
      </c>
    </row>
    <row r="4" spans="1:23" x14ac:dyDescent="0.25">
      <c r="A4" t="s">
        <v>15</v>
      </c>
      <c r="B4" s="7">
        <v>23</v>
      </c>
      <c r="C4" s="4">
        <v>1.8</v>
      </c>
      <c r="D4" s="7">
        <v>77</v>
      </c>
      <c r="E4">
        <v>1</v>
      </c>
      <c r="F4">
        <v>0</v>
      </c>
      <c r="G4" s="2">
        <v>2</v>
      </c>
      <c r="H4" s="2">
        <v>3</v>
      </c>
      <c r="I4">
        <v>1</v>
      </c>
      <c r="J4">
        <v>0</v>
      </c>
      <c r="K4" s="2">
        <v>2</v>
      </c>
      <c r="L4">
        <v>0</v>
      </c>
      <c r="M4" s="7">
        <v>2</v>
      </c>
      <c r="N4" s="7">
        <v>1</v>
      </c>
      <c r="O4">
        <v>2</v>
      </c>
      <c r="P4" t="s">
        <v>14</v>
      </c>
      <c r="Q4">
        <v>1</v>
      </c>
      <c r="R4" s="8">
        <f>(Tabela2[[#This Row],[FAF_atividade_fisica_frequente_em_horas]]+ 0.1)</f>
        <v>2.1</v>
      </c>
      <c r="S4" s="1">
        <f>(Tabela2[[#This Row],[TUE_tempo_uso_aparelhos_em_horas]]/Tabela2[[#This Row],[FAF_Var]])</f>
        <v>0.47619047619047616</v>
      </c>
      <c r="T4">
        <f>(Tabela2[[#This Row],[CAEC_lanche_entre_refeicoes]]*Tabela2[[#This Row],[FAVC_consumo_frequente_de_alimentos_mt_caloricos]])</f>
        <v>0</v>
      </c>
      <c r="U4" s="1">
        <f>IF(OR(Tabela2[[#This Row],[MTRANS]]="Walking",Tabela2[[#This Row],[MTRANS]]="Bike"),Tabela2[[#This Row],[FAF_atividade_fisica_frequente_em_horas]]+1,M4)</f>
        <v>2</v>
      </c>
      <c r="V4">
        <f>(Tabela2[[#This Row],[SMOKE]]+Tabela2[[#This Row],[CALC_bebe_alcool_frequentemente]])</f>
        <v>2</v>
      </c>
      <c r="W4" s="8">
        <f>(Tabela2[[#This Row],[Weight]]/(Tabela2[[#This Row],[Height]] ^2))</f>
        <v>23.76543209876543</v>
      </c>
    </row>
    <row r="5" spans="1:23" x14ac:dyDescent="0.25">
      <c r="A5" t="s">
        <v>15</v>
      </c>
      <c r="B5" s="7">
        <v>27</v>
      </c>
      <c r="C5" s="4">
        <v>1.8</v>
      </c>
      <c r="D5" s="7">
        <v>87</v>
      </c>
      <c r="E5">
        <v>0</v>
      </c>
      <c r="F5">
        <v>0</v>
      </c>
      <c r="G5" s="2">
        <v>3</v>
      </c>
      <c r="H5" s="2">
        <v>3</v>
      </c>
      <c r="I5">
        <v>1</v>
      </c>
      <c r="J5">
        <v>0</v>
      </c>
      <c r="K5" s="2">
        <v>2</v>
      </c>
      <c r="L5">
        <v>0</v>
      </c>
      <c r="M5" s="7">
        <v>2</v>
      </c>
      <c r="N5" s="7">
        <v>0</v>
      </c>
      <c r="O5">
        <v>2</v>
      </c>
      <c r="P5" t="s">
        <v>16</v>
      </c>
      <c r="Q5">
        <v>2</v>
      </c>
      <c r="R5" s="8">
        <f>(Tabela2[[#This Row],[FAF_atividade_fisica_frequente_em_horas]]+ 0.1)</f>
        <v>2.1</v>
      </c>
      <c r="S5" s="1">
        <f>(Tabela2[[#This Row],[TUE_tempo_uso_aparelhos_em_horas]]/Tabela2[[#This Row],[FAF_Var]])</f>
        <v>0</v>
      </c>
      <c r="T5">
        <f>(Tabela2[[#This Row],[CAEC_lanche_entre_refeicoes]]*Tabela2[[#This Row],[FAVC_consumo_frequente_de_alimentos_mt_caloricos]])</f>
        <v>0</v>
      </c>
      <c r="U5" s="1">
        <f>IF(OR(Tabela2[[#This Row],[MTRANS]]="Walking",Tabela2[[#This Row],[MTRANS]]="Bike"),Tabela2[[#This Row],[FAF_atividade_fisica_frequente_em_horas]]+1,M5)</f>
        <v>3</v>
      </c>
      <c r="V5">
        <f>(Tabela2[[#This Row],[SMOKE]]+Tabela2[[#This Row],[CALC_bebe_alcool_frequentemente]])</f>
        <v>2</v>
      </c>
      <c r="W5" s="8">
        <f>(Tabela2[[#This Row],[Weight]]/(Tabela2[[#This Row],[Height]] ^2))</f>
        <v>26.851851851851851</v>
      </c>
    </row>
    <row r="6" spans="1:23" x14ac:dyDescent="0.25">
      <c r="A6" t="s">
        <v>15</v>
      </c>
      <c r="B6" s="7">
        <v>22</v>
      </c>
      <c r="C6" s="4">
        <v>1.78</v>
      </c>
      <c r="D6" s="7">
        <v>89.8</v>
      </c>
      <c r="E6">
        <v>0</v>
      </c>
      <c r="F6">
        <v>0</v>
      </c>
      <c r="G6" s="2">
        <v>2</v>
      </c>
      <c r="H6" s="2">
        <v>1</v>
      </c>
      <c r="I6">
        <v>1</v>
      </c>
      <c r="J6">
        <v>0</v>
      </c>
      <c r="K6" s="2">
        <v>2</v>
      </c>
      <c r="L6">
        <v>0</v>
      </c>
      <c r="M6" s="7">
        <v>0</v>
      </c>
      <c r="N6" s="7">
        <v>0</v>
      </c>
      <c r="O6">
        <v>1</v>
      </c>
      <c r="P6" t="s">
        <v>14</v>
      </c>
      <c r="Q6">
        <v>3</v>
      </c>
      <c r="R6" s="8">
        <f>(Tabela2[[#This Row],[FAF_atividade_fisica_frequente_em_horas]]+ 0.1)</f>
        <v>0.1</v>
      </c>
      <c r="S6" s="1">
        <f>(Tabela2[[#This Row],[TUE_tempo_uso_aparelhos_em_horas]]/Tabela2[[#This Row],[FAF_Var]])</f>
        <v>0</v>
      </c>
      <c r="T6">
        <f>(Tabela2[[#This Row],[CAEC_lanche_entre_refeicoes]]*Tabela2[[#This Row],[FAVC_consumo_frequente_de_alimentos_mt_caloricos]])</f>
        <v>0</v>
      </c>
      <c r="U6" s="1">
        <f>IF(OR(Tabela2[[#This Row],[MTRANS]]="Walking",Tabela2[[#This Row],[MTRANS]]="Bike"),Tabela2[[#This Row],[FAF_atividade_fisica_frequente_em_horas]]+1,M6)</f>
        <v>0</v>
      </c>
      <c r="V6">
        <f>(Tabela2[[#This Row],[SMOKE]]+Tabela2[[#This Row],[CALC_bebe_alcool_frequentemente]])</f>
        <v>1</v>
      </c>
      <c r="W6" s="8">
        <f>(Tabela2[[#This Row],[Weight]]/(Tabela2[[#This Row],[Height]] ^2))</f>
        <v>28.342381012498421</v>
      </c>
    </row>
    <row r="7" spans="1:23" x14ac:dyDescent="0.25">
      <c r="A7" t="s">
        <v>15</v>
      </c>
      <c r="B7" s="7">
        <v>29</v>
      </c>
      <c r="C7" s="4">
        <v>1.62</v>
      </c>
      <c r="D7" s="7">
        <v>53</v>
      </c>
      <c r="E7">
        <v>0</v>
      </c>
      <c r="F7">
        <v>1</v>
      </c>
      <c r="G7" s="2">
        <v>2</v>
      </c>
      <c r="H7" s="2">
        <v>3</v>
      </c>
      <c r="I7">
        <v>1</v>
      </c>
      <c r="J7">
        <v>0</v>
      </c>
      <c r="K7" s="2">
        <v>2</v>
      </c>
      <c r="L7">
        <v>0</v>
      </c>
      <c r="M7" s="7">
        <v>0</v>
      </c>
      <c r="N7" s="7">
        <v>0</v>
      </c>
      <c r="O7">
        <v>1</v>
      </c>
      <c r="P7" t="s">
        <v>17</v>
      </c>
      <c r="Q7">
        <v>1</v>
      </c>
      <c r="R7" s="8">
        <f>(Tabela2[[#This Row],[FAF_atividade_fisica_frequente_em_horas]]+ 0.1)</f>
        <v>0.1</v>
      </c>
      <c r="S7" s="1">
        <f>(Tabela2[[#This Row],[TUE_tempo_uso_aparelhos_em_horas]]/Tabela2[[#This Row],[FAF_Var]])</f>
        <v>0</v>
      </c>
      <c r="T7">
        <f>(Tabela2[[#This Row],[CAEC_lanche_entre_refeicoes]]*Tabela2[[#This Row],[FAVC_consumo_frequente_de_alimentos_mt_caloricos]])</f>
        <v>1</v>
      </c>
      <c r="U7" s="1">
        <f>IF(OR(Tabela2[[#This Row],[MTRANS]]="Walking",Tabela2[[#This Row],[MTRANS]]="Bike"),Tabela2[[#This Row],[FAF_atividade_fisica_frequente_em_horas]]+1,M7)</f>
        <v>0</v>
      </c>
      <c r="V7">
        <f>(Tabela2[[#This Row],[SMOKE]]+Tabela2[[#This Row],[CALC_bebe_alcool_frequentemente]])</f>
        <v>1</v>
      </c>
      <c r="W7" s="8">
        <f>(Tabela2[[#This Row],[Weight]]/(Tabela2[[#This Row],[Height]] ^2))</f>
        <v>20.195092211553114</v>
      </c>
    </row>
    <row r="8" spans="1:23" x14ac:dyDescent="0.25">
      <c r="A8" t="s">
        <v>13</v>
      </c>
      <c r="B8" s="7">
        <v>23</v>
      </c>
      <c r="C8" s="4">
        <v>1.5</v>
      </c>
      <c r="D8" s="7">
        <v>55</v>
      </c>
      <c r="E8">
        <v>1</v>
      </c>
      <c r="F8">
        <v>1</v>
      </c>
      <c r="G8" s="2">
        <v>3</v>
      </c>
      <c r="H8" s="2">
        <v>3</v>
      </c>
      <c r="I8">
        <v>1</v>
      </c>
      <c r="J8">
        <v>0</v>
      </c>
      <c r="K8" s="2">
        <v>2</v>
      </c>
      <c r="L8">
        <v>0</v>
      </c>
      <c r="M8" s="7">
        <v>1</v>
      </c>
      <c r="N8" s="7">
        <v>0</v>
      </c>
      <c r="O8">
        <v>1</v>
      </c>
      <c r="P8" t="s">
        <v>18</v>
      </c>
      <c r="Q8">
        <v>1</v>
      </c>
      <c r="R8" s="8">
        <f>(Tabela2[[#This Row],[FAF_atividade_fisica_frequente_em_horas]]+ 0.1)</f>
        <v>1.1000000000000001</v>
      </c>
      <c r="S8" s="1">
        <f>(Tabela2[[#This Row],[TUE_tempo_uso_aparelhos_em_horas]]/Tabela2[[#This Row],[FAF_Var]])</f>
        <v>0</v>
      </c>
      <c r="T8">
        <f>(Tabela2[[#This Row],[CAEC_lanche_entre_refeicoes]]*Tabela2[[#This Row],[FAVC_consumo_frequente_de_alimentos_mt_caloricos]])</f>
        <v>1</v>
      </c>
      <c r="U8" s="1">
        <f>IF(OR(Tabela2[[#This Row],[MTRANS]]="Walking",Tabela2[[#This Row],[MTRANS]]="Bike"),Tabela2[[#This Row],[FAF_atividade_fisica_frequente_em_horas]]+1,M8)</f>
        <v>1</v>
      </c>
      <c r="V8">
        <f>(Tabela2[[#This Row],[SMOKE]]+Tabela2[[#This Row],[CALC_bebe_alcool_frequentemente]])</f>
        <v>1</v>
      </c>
      <c r="W8" s="8">
        <f>(Tabela2[[#This Row],[Weight]]/(Tabela2[[#This Row],[Height]] ^2))</f>
        <v>24.444444444444443</v>
      </c>
    </row>
    <row r="9" spans="1:23" x14ac:dyDescent="0.25">
      <c r="A9" t="s">
        <v>15</v>
      </c>
      <c r="B9" s="7">
        <v>22</v>
      </c>
      <c r="C9" s="4">
        <v>1.64</v>
      </c>
      <c r="D9" s="7">
        <v>53</v>
      </c>
      <c r="E9">
        <v>0</v>
      </c>
      <c r="F9">
        <v>0</v>
      </c>
      <c r="G9" s="2">
        <v>2</v>
      </c>
      <c r="H9" s="2">
        <v>3</v>
      </c>
      <c r="I9">
        <v>1</v>
      </c>
      <c r="J9">
        <v>0</v>
      </c>
      <c r="K9" s="2">
        <v>2</v>
      </c>
      <c r="L9">
        <v>0</v>
      </c>
      <c r="M9" s="7">
        <v>3</v>
      </c>
      <c r="N9" s="7">
        <v>0</v>
      </c>
      <c r="O9">
        <v>1</v>
      </c>
      <c r="P9" t="s">
        <v>14</v>
      </c>
      <c r="Q9">
        <v>1</v>
      </c>
      <c r="R9" s="8">
        <f>(Tabela2[[#This Row],[FAF_atividade_fisica_frequente_em_horas]]+ 0.1)</f>
        <v>3.1</v>
      </c>
      <c r="S9" s="1">
        <f>(Tabela2[[#This Row],[TUE_tempo_uso_aparelhos_em_horas]]/Tabela2[[#This Row],[FAF_Var]])</f>
        <v>0</v>
      </c>
      <c r="T9">
        <f>(Tabela2[[#This Row],[CAEC_lanche_entre_refeicoes]]*Tabela2[[#This Row],[FAVC_consumo_frequente_de_alimentos_mt_caloricos]])</f>
        <v>0</v>
      </c>
      <c r="U9" s="1">
        <f>IF(OR(Tabela2[[#This Row],[MTRANS]]="Walking",Tabela2[[#This Row],[MTRANS]]="Bike"),Tabela2[[#This Row],[FAF_atividade_fisica_frequente_em_horas]]+1,M9)</f>
        <v>3</v>
      </c>
      <c r="V9">
        <f>(Tabela2[[#This Row],[SMOKE]]+Tabela2[[#This Row],[CALC_bebe_alcool_frequentemente]])</f>
        <v>1</v>
      </c>
      <c r="W9" s="8">
        <f>(Tabela2[[#This Row],[Weight]]/(Tabela2[[#This Row],[Height]] ^2))</f>
        <v>19.705532421177875</v>
      </c>
    </row>
    <row r="10" spans="1:23" x14ac:dyDescent="0.25">
      <c r="A10" t="s">
        <v>15</v>
      </c>
      <c r="B10" s="7">
        <v>24</v>
      </c>
      <c r="C10" s="4">
        <v>1.78</v>
      </c>
      <c r="D10" s="7">
        <v>64</v>
      </c>
      <c r="E10">
        <v>1</v>
      </c>
      <c r="F10">
        <v>1</v>
      </c>
      <c r="G10" s="2">
        <v>3</v>
      </c>
      <c r="H10" s="2">
        <v>3</v>
      </c>
      <c r="I10">
        <v>1</v>
      </c>
      <c r="J10">
        <v>0</v>
      </c>
      <c r="K10" s="2">
        <v>2</v>
      </c>
      <c r="L10">
        <v>0</v>
      </c>
      <c r="M10" s="7">
        <v>1</v>
      </c>
      <c r="N10" s="7">
        <v>1</v>
      </c>
      <c r="O10">
        <v>2</v>
      </c>
      <c r="P10" t="s">
        <v>14</v>
      </c>
      <c r="Q10">
        <v>1</v>
      </c>
      <c r="R10" s="8">
        <f>(Tabela2[[#This Row],[FAF_atividade_fisica_frequente_em_horas]]+ 0.1)</f>
        <v>1.1000000000000001</v>
      </c>
      <c r="S10" s="1">
        <f>(Tabela2[[#This Row],[TUE_tempo_uso_aparelhos_em_horas]]/Tabela2[[#This Row],[FAF_Var]])</f>
        <v>0.90909090909090906</v>
      </c>
      <c r="T10">
        <f>(Tabela2[[#This Row],[CAEC_lanche_entre_refeicoes]]*Tabela2[[#This Row],[FAVC_consumo_frequente_de_alimentos_mt_caloricos]])</f>
        <v>1</v>
      </c>
      <c r="U10" s="1">
        <f>IF(OR(Tabela2[[#This Row],[MTRANS]]="Walking",Tabela2[[#This Row],[MTRANS]]="Bike"),Tabela2[[#This Row],[FAF_atividade_fisica_frequente_em_horas]]+1,M10)</f>
        <v>1</v>
      </c>
      <c r="V10">
        <f>(Tabela2[[#This Row],[SMOKE]]+Tabela2[[#This Row],[CALC_bebe_alcool_frequentemente]])</f>
        <v>2</v>
      </c>
      <c r="W10" s="8">
        <f>(Tabela2[[#This Row],[Weight]]/(Tabela2[[#This Row],[Height]] ^2))</f>
        <v>20.199469763918696</v>
      </c>
    </row>
    <row r="11" spans="1:23" x14ac:dyDescent="0.25">
      <c r="A11" t="s">
        <v>15</v>
      </c>
      <c r="B11" s="7">
        <v>22</v>
      </c>
      <c r="C11" s="4">
        <v>1.72</v>
      </c>
      <c r="D11" s="7">
        <v>68</v>
      </c>
      <c r="E11">
        <v>1</v>
      </c>
      <c r="F11">
        <v>1</v>
      </c>
      <c r="G11" s="2">
        <v>2</v>
      </c>
      <c r="H11" s="2">
        <v>3</v>
      </c>
      <c r="I11">
        <v>1</v>
      </c>
      <c r="J11">
        <v>0</v>
      </c>
      <c r="K11" s="2">
        <v>2</v>
      </c>
      <c r="L11">
        <v>0</v>
      </c>
      <c r="M11" s="7">
        <v>1</v>
      </c>
      <c r="N11" s="7">
        <v>1</v>
      </c>
      <c r="O11">
        <v>0</v>
      </c>
      <c r="P11" t="s">
        <v>14</v>
      </c>
      <c r="Q11">
        <v>1</v>
      </c>
      <c r="R11" s="8">
        <f>(Tabela2[[#This Row],[FAF_atividade_fisica_frequente_em_horas]]+ 0.1)</f>
        <v>1.1000000000000001</v>
      </c>
      <c r="S11" s="1">
        <f>(Tabela2[[#This Row],[TUE_tempo_uso_aparelhos_em_horas]]/Tabela2[[#This Row],[FAF_Var]])</f>
        <v>0.90909090909090906</v>
      </c>
      <c r="T11">
        <f>(Tabela2[[#This Row],[CAEC_lanche_entre_refeicoes]]*Tabela2[[#This Row],[FAVC_consumo_frequente_de_alimentos_mt_caloricos]])</f>
        <v>1</v>
      </c>
      <c r="U11" s="1">
        <f>IF(OR(Tabela2[[#This Row],[MTRANS]]="Walking",Tabela2[[#This Row],[MTRANS]]="Bike"),Tabela2[[#This Row],[FAF_atividade_fisica_frequente_em_horas]]+1,M11)</f>
        <v>1</v>
      </c>
      <c r="V11">
        <f>(Tabela2[[#This Row],[SMOKE]]+Tabela2[[#This Row],[CALC_bebe_alcool_frequentemente]])</f>
        <v>0</v>
      </c>
      <c r="W11" s="8">
        <f>(Tabela2[[#This Row],[Weight]]/(Tabela2[[#This Row],[Height]] ^2))</f>
        <v>22.985397512168742</v>
      </c>
    </row>
    <row r="12" spans="1:23" x14ac:dyDescent="0.25">
      <c r="A12" t="s">
        <v>15</v>
      </c>
      <c r="B12" s="7">
        <v>26</v>
      </c>
      <c r="C12" s="4">
        <v>1.85</v>
      </c>
      <c r="D12" s="7">
        <v>105</v>
      </c>
      <c r="E12">
        <v>1</v>
      </c>
      <c r="F12">
        <v>1</v>
      </c>
      <c r="G12" s="2">
        <v>3</v>
      </c>
      <c r="H12" s="2">
        <v>3</v>
      </c>
      <c r="I12">
        <v>2</v>
      </c>
      <c r="J12">
        <v>0</v>
      </c>
      <c r="K12" s="2">
        <v>3</v>
      </c>
      <c r="L12">
        <v>0</v>
      </c>
      <c r="M12" s="7">
        <v>2</v>
      </c>
      <c r="N12" s="7">
        <v>2</v>
      </c>
      <c r="O12">
        <v>1</v>
      </c>
      <c r="P12" t="s">
        <v>14</v>
      </c>
      <c r="Q12">
        <v>4</v>
      </c>
      <c r="R12" s="8">
        <f>(Tabela2[[#This Row],[FAF_atividade_fisica_frequente_em_horas]]+ 0.1)</f>
        <v>2.1</v>
      </c>
      <c r="S12" s="1">
        <f>(Tabela2[[#This Row],[TUE_tempo_uso_aparelhos_em_horas]]/Tabela2[[#This Row],[FAF_Var]])</f>
        <v>0.95238095238095233</v>
      </c>
      <c r="T12">
        <f>(Tabela2[[#This Row],[CAEC_lanche_entre_refeicoes]]*Tabela2[[#This Row],[FAVC_consumo_frequente_de_alimentos_mt_caloricos]])</f>
        <v>2</v>
      </c>
      <c r="U12" s="1">
        <f>IF(OR(Tabela2[[#This Row],[MTRANS]]="Walking",Tabela2[[#This Row],[MTRANS]]="Bike"),Tabela2[[#This Row],[FAF_atividade_fisica_frequente_em_horas]]+1,M12)</f>
        <v>2</v>
      </c>
      <c r="V12">
        <f>(Tabela2[[#This Row],[SMOKE]]+Tabela2[[#This Row],[CALC_bebe_alcool_frequentemente]])</f>
        <v>1</v>
      </c>
      <c r="W12" s="8">
        <f>(Tabela2[[#This Row],[Weight]]/(Tabela2[[#This Row],[Height]] ^2))</f>
        <v>30.67932797662527</v>
      </c>
    </row>
    <row r="13" spans="1:23" x14ac:dyDescent="0.25">
      <c r="A13" t="s">
        <v>13</v>
      </c>
      <c r="B13" s="7">
        <v>21</v>
      </c>
      <c r="C13" s="4">
        <v>1.72</v>
      </c>
      <c r="D13" s="7">
        <v>80</v>
      </c>
      <c r="E13">
        <v>1</v>
      </c>
      <c r="F13">
        <v>1</v>
      </c>
      <c r="G13" s="2">
        <v>2</v>
      </c>
      <c r="H13" s="2">
        <v>3</v>
      </c>
      <c r="I13">
        <v>2</v>
      </c>
      <c r="J13">
        <v>0</v>
      </c>
      <c r="K13" s="2">
        <v>2</v>
      </c>
      <c r="L13">
        <v>1</v>
      </c>
      <c r="M13" s="7">
        <v>2</v>
      </c>
      <c r="N13" s="7">
        <v>1</v>
      </c>
      <c r="O13">
        <v>1</v>
      </c>
      <c r="P13" t="s">
        <v>14</v>
      </c>
      <c r="Q13">
        <v>3</v>
      </c>
      <c r="R13" s="8">
        <f>(Tabela2[[#This Row],[FAF_atividade_fisica_frequente_em_horas]]+ 0.1)</f>
        <v>2.1</v>
      </c>
      <c r="S13" s="1">
        <f>(Tabela2[[#This Row],[TUE_tempo_uso_aparelhos_em_horas]]/Tabela2[[#This Row],[FAF_Var]])</f>
        <v>0.47619047619047616</v>
      </c>
      <c r="T13">
        <f>(Tabela2[[#This Row],[CAEC_lanche_entre_refeicoes]]*Tabela2[[#This Row],[FAVC_consumo_frequente_de_alimentos_mt_caloricos]])</f>
        <v>2</v>
      </c>
      <c r="U13" s="1">
        <f>IF(OR(Tabela2[[#This Row],[MTRANS]]="Walking",Tabela2[[#This Row],[MTRANS]]="Bike"),Tabela2[[#This Row],[FAF_atividade_fisica_frequente_em_horas]]+1,M13)</f>
        <v>2</v>
      </c>
      <c r="V13">
        <f>(Tabela2[[#This Row],[SMOKE]]+Tabela2[[#This Row],[CALC_bebe_alcool_frequentemente]])</f>
        <v>1</v>
      </c>
      <c r="W13" s="8">
        <f>(Tabela2[[#This Row],[Weight]]/(Tabela2[[#This Row],[Height]] ^2))</f>
        <v>27.041644131963228</v>
      </c>
    </row>
    <row r="14" spans="1:23" x14ac:dyDescent="0.25">
      <c r="A14" t="s">
        <v>15</v>
      </c>
      <c r="B14" s="7">
        <v>22</v>
      </c>
      <c r="C14" s="4">
        <v>1.65</v>
      </c>
      <c r="D14" s="7">
        <v>56</v>
      </c>
      <c r="E14">
        <v>0</v>
      </c>
      <c r="F14">
        <v>0</v>
      </c>
      <c r="G14" s="2">
        <v>3</v>
      </c>
      <c r="H14" s="2">
        <v>3</v>
      </c>
      <c r="I14">
        <v>1</v>
      </c>
      <c r="J14">
        <v>0</v>
      </c>
      <c r="K14" s="2">
        <v>3</v>
      </c>
      <c r="L14">
        <v>0</v>
      </c>
      <c r="M14" s="7">
        <v>2</v>
      </c>
      <c r="N14" s="7">
        <v>0</v>
      </c>
      <c r="O14">
        <v>1</v>
      </c>
      <c r="P14" t="s">
        <v>14</v>
      </c>
      <c r="Q14">
        <v>1</v>
      </c>
      <c r="R14" s="8">
        <f>(Tabela2[[#This Row],[FAF_atividade_fisica_frequente_em_horas]]+ 0.1)</f>
        <v>2.1</v>
      </c>
      <c r="S14" s="1">
        <f>(Tabela2[[#This Row],[TUE_tempo_uso_aparelhos_em_horas]]/Tabela2[[#This Row],[FAF_Var]])</f>
        <v>0</v>
      </c>
      <c r="T14">
        <f>(Tabela2[[#This Row],[CAEC_lanche_entre_refeicoes]]*Tabela2[[#This Row],[FAVC_consumo_frequente_de_alimentos_mt_caloricos]])</f>
        <v>0</v>
      </c>
      <c r="U14" s="1">
        <f>IF(OR(Tabela2[[#This Row],[MTRANS]]="Walking",Tabela2[[#This Row],[MTRANS]]="Bike"),Tabela2[[#This Row],[FAF_atividade_fisica_frequente_em_horas]]+1,M14)</f>
        <v>2</v>
      </c>
      <c r="V14">
        <f>(Tabela2[[#This Row],[SMOKE]]+Tabela2[[#This Row],[CALC_bebe_alcool_frequentemente]])</f>
        <v>1</v>
      </c>
      <c r="W14" s="8">
        <f>(Tabela2[[#This Row],[Weight]]/(Tabela2[[#This Row],[Height]] ^2))</f>
        <v>20.569329660238754</v>
      </c>
    </row>
    <row r="15" spans="1:23" x14ac:dyDescent="0.25">
      <c r="A15" t="s">
        <v>15</v>
      </c>
      <c r="B15" s="7">
        <v>41</v>
      </c>
      <c r="C15" s="4">
        <v>1.8</v>
      </c>
      <c r="D15" s="7">
        <v>99</v>
      </c>
      <c r="E15">
        <v>0</v>
      </c>
      <c r="F15">
        <v>1</v>
      </c>
      <c r="G15" s="2">
        <v>2</v>
      </c>
      <c r="H15" s="2">
        <v>3</v>
      </c>
      <c r="I15">
        <v>1</v>
      </c>
      <c r="J15">
        <v>0</v>
      </c>
      <c r="K15" s="2">
        <v>2</v>
      </c>
      <c r="L15">
        <v>0</v>
      </c>
      <c r="M15" s="7">
        <v>2</v>
      </c>
      <c r="N15" s="7">
        <v>1</v>
      </c>
      <c r="O15">
        <v>2</v>
      </c>
      <c r="P15" t="s">
        <v>17</v>
      </c>
      <c r="Q15">
        <v>4</v>
      </c>
      <c r="R15" s="8">
        <f>(Tabela2[[#This Row],[FAF_atividade_fisica_frequente_em_horas]]+ 0.1)</f>
        <v>2.1</v>
      </c>
      <c r="S15" s="1">
        <f>(Tabela2[[#This Row],[TUE_tempo_uso_aparelhos_em_horas]]/Tabela2[[#This Row],[FAF_Var]])</f>
        <v>0.47619047619047616</v>
      </c>
      <c r="T15">
        <f>(Tabela2[[#This Row],[CAEC_lanche_entre_refeicoes]]*Tabela2[[#This Row],[FAVC_consumo_frequente_de_alimentos_mt_caloricos]])</f>
        <v>1</v>
      </c>
      <c r="U15" s="1">
        <f>IF(OR(Tabela2[[#This Row],[MTRANS]]="Walking",Tabela2[[#This Row],[MTRANS]]="Bike"),Tabela2[[#This Row],[FAF_atividade_fisica_frequente_em_horas]]+1,M15)</f>
        <v>2</v>
      </c>
      <c r="V15">
        <f>(Tabela2[[#This Row],[SMOKE]]+Tabela2[[#This Row],[CALC_bebe_alcool_frequentemente]])</f>
        <v>2</v>
      </c>
      <c r="W15" s="8">
        <f>(Tabela2[[#This Row],[Weight]]/(Tabela2[[#This Row],[Height]] ^2))</f>
        <v>30.555555555555554</v>
      </c>
    </row>
    <row r="16" spans="1:23" x14ac:dyDescent="0.25">
      <c r="A16" t="s">
        <v>15</v>
      </c>
      <c r="B16" s="7">
        <v>23</v>
      </c>
      <c r="C16" s="4">
        <v>1.77</v>
      </c>
      <c r="D16" s="7">
        <v>60</v>
      </c>
      <c r="E16">
        <v>1</v>
      </c>
      <c r="F16">
        <v>1</v>
      </c>
      <c r="G16" s="2">
        <v>3</v>
      </c>
      <c r="H16" s="2">
        <v>1</v>
      </c>
      <c r="I16">
        <v>1</v>
      </c>
      <c r="J16">
        <v>0</v>
      </c>
      <c r="K16" s="2">
        <v>1</v>
      </c>
      <c r="L16">
        <v>0</v>
      </c>
      <c r="M16" s="7">
        <v>1</v>
      </c>
      <c r="N16" s="7">
        <v>1</v>
      </c>
      <c r="O16">
        <v>1</v>
      </c>
      <c r="P16" t="s">
        <v>14</v>
      </c>
      <c r="Q16">
        <v>1</v>
      </c>
      <c r="R16" s="8">
        <f>(Tabela2[[#This Row],[FAF_atividade_fisica_frequente_em_horas]]+ 0.1)</f>
        <v>1.1000000000000001</v>
      </c>
      <c r="S16" s="1">
        <f>(Tabela2[[#This Row],[TUE_tempo_uso_aparelhos_em_horas]]/Tabela2[[#This Row],[FAF_Var]])</f>
        <v>0.90909090909090906</v>
      </c>
      <c r="T16">
        <f>(Tabela2[[#This Row],[CAEC_lanche_entre_refeicoes]]*Tabela2[[#This Row],[FAVC_consumo_frequente_de_alimentos_mt_caloricos]])</f>
        <v>1</v>
      </c>
      <c r="U16" s="1">
        <f>IF(OR(Tabela2[[#This Row],[MTRANS]]="Walking",Tabela2[[#This Row],[MTRANS]]="Bike"),Tabela2[[#This Row],[FAF_atividade_fisica_frequente_em_horas]]+1,M16)</f>
        <v>1</v>
      </c>
      <c r="V16">
        <f>(Tabela2[[#This Row],[SMOKE]]+Tabela2[[#This Row],[CALC_bebe_alcool_frequentemente]])</f>
        <v>1</v>
      </c>
      <c r="W16" s="8">
        <f>(Tabela2[[#This Row],[Weight]]/(Tabela2[[#This Row],[Height]] ^2))</f>
        <v>19.151584793641671</v>
      </c>
    </row>
    <row r="17" spans="1:23" x14ac:dyDescent="0.25">
      <c r="A17" t="s">
        <v>13</v>
      </c>
      <c r="B17" s="7">
        <v>22</v>
      </c>
      <c r="C17" s="4">
        <v>1.7</v>
      </c>
      <c r="D17" s="7">
        <v>66</v>
      </c>
      <c r="E17">
        <v>1</v>
      </c>
      <c r="F17">
        <v>0</v>
      </c>
      <c r="G17" s="2">
        <v>3</v>
      </c>
      <c r="H17" s="2">
        <v>3</v>
      </c>
      <c r="I17">
        <v>3</v>
      </c>
      <c r="J17">
        <v>0</v>
      </c>
      <c r="K17" s="2">
        <v>2</v>
      </c>
      <c r="L17">
        <v>1</v>
      </c>
      <c r="M17" s="7">
        <v>2</v>
      </c>
      <c r="N17" s="7">
        <v>1</v>
      </c>
      <c r="O17">
        <v>1</v>
      </c>
      <c r="P17" t="s">
        <v>14</v>
      </c>
      <c r="Q17">
        <v>1</v>
      </c>
      <c r="R17" s="8">
        <f>(Tabela2[[#This Row],[FAF_atividade_fisica_frequente_em_horas]]+ 0.1)</f>
        <v>2.1</v>
      </c>
      <c r="S17" s="1">
        <f>(Tabela2[[#This Row],[TUE_tempo_uso_aparelhos_em_horas]]/Tabela2[[#This Row],[FAF_Var]])</f>
        <v>0.47619047619047616</v>
      </c>
      <c r="T17">
        <f>(Tabela2[[#This Row],[CAEC_lanche_entre_refeicoes]]*Tabela2[[#This Row],[FAVC_consumo_frequente_de_alimentos_mt_caloricos]])</f>
        <v>0</v>
      </c>
      <c r="U17" s="1">
        <f>IF(OR(Tabela2[[#This Row],[MTRANS]]="Walking",Tabela2[[#This Row],[MTRANS]]="Bike"),Tabela2[[#This Row],[FAF_atividade_fisica_frequente_em_horas]]+1,M17)</f>
        <v>2</v>
      </c>
      <c r="V17">
        <f>(Tabela2[[#This Row],[SMOKE]]+Tabela2[[#This Row],[CALC_bebe_alcool_frequentemente]])</f>
        <v>1</v>
      </c>
      <c r="W17" s="8">
        <f>(Tabela2[[#This Row],[Weight]]/(Tabela2[[#This Row],[Height]] ^2))</f>
        <v>22.837370242214536</v>
      </c>
    </row>
    <row r="18" spans="1:23" x14ac:dyDescent="0.25">
      <c r="A18" t="s">
        <v>15</v>
      </c>
      <c r="B18" s="7">
        <v>27</v>
      </c>
      <c r="C18" s="4">
        <v>1.93</v>
      </c>
      <c r="D18" s="7">
        <v>102</v>
      </c>
      <c r="E18">
        <v>1</v>
      </c>
      <c r="F18">
        <v>1</v>
      </c>
      <c r="G18" s="2">
        <v>2</v>
      </c>
      <c r="H18" s="2">
        <v>1</v>
      </c>
      <c r="I18">
        <v>1</v>
      </c>
      <c r="J18">
        <v>0</v>
      </c>
      <c r="K18" s="2">
        <v>1</v>
      </c>
      <c r="L18">
        <v>0</v>
      </c>
      <c r="M18" s="7">
        <v>1</v>
      </c>
      <c r="N18" s="7">
        <v>0</v>
      </c>
      <c r="O18">
        <v>1</v>
      </c>
      <c r="P18" t="s">
        <v>14</v>
      </c>
      <c r="Q18">
        <v>3</v>
      </c>
      <c r="R18" s="8">
        <f>(Tabela2[[#This Row],[FAF_atividade_fisica_frequente_em_horas]]+ 0.1)</f>
        <v>1.1000000000000001</v>
      </c>
      <c r="S18" s="1">
        <f>(Tabela2[[#This Row],[TUE_tempo_uso_aparelhos_em_horas]]/Tabela2[[#This Row],[FAF_Var]])</f>
        <v>0</v>
      </c>
      <c r="T18">
        <f>(Tabela2[[#This Row],[CAEC_lanche_entre_refeicoes]]*Tabela2[[#This Row],[FAVC_consumo_frequente_de_alimentos_mt_caloricos]])</f>
        <v>1</v>
      </c>
      <c r="U18" s="1">
        <f>IF(OR(Tabela2[[#This Row],[MTRANS]]="Walking",Tabela2[[#This Row],[MTRANS]]="Bike"),Tabela2[[#This Row],[FAF_atividade_fisica_frequente_em_horas]]+1,M18)</f>
        <v>1</v>
      </c>
      <c r="V18">
        <f>(Tabela2[[#This Row],[SMOKE]]+Tabela2[[#This Row],[CALC_bebe_alcool_frequentemente]])</f>
        <v>1</v>
      </c>
      <c r="W18" s="8">
        <f>(Tabela2[[#This Row],[Weight]]/(Tabela2[[#This Row],[Height]] ^2))</f>
        <v>27.383285457327716</v>
      </c>
    </row>
    <row r="19" spans="1:23" x14ac:dyDescent="0.25">
      <c r="A19" t="s">
        <v>13</v>
      </c>
      <c r="B19" s="7">
        <v>29</v>
      </c>
      <c r="C19" s="4">
        <v>1.53</v>
      </c>
      <c r="D19" s="7">
        <v>78</v>
      </c>
      <c r="E19">
        <v>0</v>
      </c>
      <c r="F19">
        <v>1</v>
      </c>
      <c r="G19" s="2">
        <v>2</v>
      </c>
      <c r="H19" s="2">
        <v>1</v>
      </c>
      <c r="I19">
        <v>1</v>
      </c>
      <c r="J19">
        <v>0</v>
      </c>
      <c r="K19" s="2">
        <v>2</v>
      </c>
      <c r="L19">
        <v>0</v>
      </c>
      <c r="M19" s="7">
        <v>0</v>
      </c>
      <c r="N19" s="7">
        <v>0</v>
      </c>
      <c r="O19">
        <v>0</v>
      </c>
      <c r="P19" t="s">
        <v>17</v>
      </c>
      <c r="Q19">
        <v>4</v>
      </c>
      <c r="R19" s="8">
        <f>(Tabela2[[#This Row],[FAF_atividade_fisica_frequente_em_horas]]+ 0.1)</f>
        <v>0.1</v>
      </c>
      <c r="S19" s="1">
        <f>(Tabela2[[#This Row],[TUE_tempo_uso_aparelhos_em_horas]]/Tabela2[[#This Row],[FAF_Var]])</f>
        <v>0</v>
      </c>
      <c r="T19">
        <f>(Tabela2[[#This Row],[CAEC_lanche_entre_refeicoes]]*Tabela2[[#This Row],[FAVC_consumo_frequente_de_alimentos_mt_caloricos]])</f>
        <v>1</v>
      </c>
      <c r="U19" s="1">
        <f>IF(OR(Tabela2[[#This Row],[MTRANS]]="Walking",Tabela2[[#This Row],[MTRANS]]="Bike"),Tabela2[[#This Row],[FAF_atividade_fisica_frequente_em_horas]]+1,M19)</f>
        <v>0</v>
      </c>
      <c r="V19">
        <f>(Tabela2[[#This Row],[SMOKE]]+Tabela2[[#This Row],[CALC_bebe_alcool_frequentemente]])</f>
        <v>0</v>
      </c>
      <c r="W19" s="8">
        <f>(Tabela2[[#This Row],[Weight]]/(Tabela2[[#This Row],[Height]] ^2))</f>
        <v>33.320517749583495</v>
      </c>
    </row>
    <row r="20" spans="1:23" x14ac:dyDescent="0.25">
      <c r="A20" t="s">
        <v>13</v>
      </c>
      <c r="B20" s="7">
        <v>30</v>
      </c>
      <c r="C20" s="4">
        <v>1.71</v>
      </c>
      <c r="D20" s="7">
        <v>82</v>
      </c>
      <c r="E20">
        <v>1</v>
      </c>
      <c r="F20">
        <v>1</v>
      </c>
      <c r="G20" s="2">
        <v>3</v>
      </c>
      <c r="H20" s="2">
        <v>4</v>
      </c>
      <c r="I20">
        <v>2</v>
      </c>
      <c r="J20">
        <v>1</v>
      </c>
      <c r="K20" s="2">
        <v>1</v>
      </c>
      <c r="L20">
        <v>0</v>
      </c>
      <c r="M20" s="7">
        <v>0</v>
      </c>
      <c r="N20" s="7">
        <v>0</v>
      </c>
      <c r="O20">
        <v>0</v>
      </c>
      <c r="P20" t="s">
        <v>17</v>
      </c>
      <c r="Q20">
        <v>3</v>
      </c>
      <c r="R20" s="8">
        <f>(Tabela2[[#This Row],[FAF_atividade_fisica_frequente_em_horas]]+ 0.1)</f>
        <v>0.1</v>
      </c>
      <c r="S20" s="1">
        <f>(Tabela2[[#This Row],[TUE_tempo_uso_aparelhos_em_horas]]/Tabela2[[#This Row],[FAF_Var]])</f>
        <v>0</v>
      </c>
      <c r="T20">
        <f>(Tabela2[[#This Row],[CAEC_lanche_entre_refeicoes]]*Tabela2[[#This Row],[FAVC_consumo_frequente_de_alimentos_mt_caloricos]])</f>
        <v>2</v>
      </c>
      <c r="U20" s="1">
        <f>IF(OR(Tabela2[[#This Row],[MTRANS]]="Walking",Tabela2[[#This Row],[MTRANS]]="Bike"),Tabela2[[#This Row],[FAF_atividade_fisica_frequente_em_horas]]+1,M20)</f>
        <v>0</v>
      </c>
      <c r="V20">
        <f>(Tabela2[[#This Row],[SMOKE]]+Tabela2[[#This Row],[CALC_bebe_alcool_frequentemente]])</f>
        <v>1</v>
      </c>
      <c r="W20" s="8">
        <f>(Tabela2[[#This Row],[Weight]]/(Tabela2[[#This Row],[Height]] ^2))</f>
        <v>28.042816593139772</v>
      </c>
    </row>
    <row r="21" spans="1:23" x14ac:dyDescent="0.25">
      <c r="A21" t="s">
        <v>13</v>
      </c>
      <c r="B21" s="7">
        <v>23</v>
      </c>
      <c r="C21" s="4">
        <v>1.65</v>
      </c>
      <c r="D21" s="7">
        <v>70</v>
      </c>
      <c r="E21">
        <v>1</v>
      </c>
      <c r="F21">
        <v>0</v>
      </c>
      <c r="G21" s="2">
        <v>2</v>
      </c>
      <c r="H21" s="2">
        <v>1</v>
      </c>
      <c r="I21">
        <v>1</v>
      </c>
      <c r="J21">
        <v>0</v>
      </c>
      <c r="K21" s="2">
        <v>2</v>
      </c>
      <c r="L21">
        <v>0</v>
      </c>
      <c r="M21" s="7">
        <v>0</v>
      </c>
      <c r="N21" s="7">
        <v>0</v>
      </c>
      <c r="O21">
        <v>1</v>
      </c>
      <c r="P21" t="s">
        <v>14</v>
      </c>
      <c r="Q21">
        <v>2</v>
      </c>
      <c r="R21" s="8">
        <f>(Tabela2[[#This Row],[FAF_atividade_fisica_frequente_em_horas]]+ 0.1)</f>
        <v>0.1</v>
      </c>
      <c r="S21" s="1">
        <f>(Tabela2[[#This Row],[TUE_tempo_uso_aparelhos_em_horas]]/Tabela2[[#This Row],[FAF_Var]])</f>
        <v>0</v>
      </c>
      <c r="T21">
        <f>(Tabela2[[#This Row],[CAEC_lanche_entre_refeicoes]]*Tabela2[[#This Row],[FAVC_consumo_frequente_de_alimentos_mt_caloricos]])</f>
        <v>0</v>
      </c>
      <c r="U21" s="1">
        <f>IF(OR(Tabela2[[#This Row],[MTRANS]]="Walking",Tabela2[[#This Row],[MTRANS]]="Bike"),Tabela2[[#This Row],[FAF_atividade_fisica_frequente_em_horas]]+1,M21)</f>
        <v>0</v>
      </c>
      <c r="V21">
        <f>(Tabela2[[#This Row],[SMOKE]]+Tabela2[[#This Row],[CALC_bebe_alcool_frequentemente]])</f>
        <v>1</v>
      </c>
      <c r="W21" s="8">
        <f>(Tabela2[[#This Row],[Weight]]/(Tabela2[[#This Row],[Height]] ^2))</f>
        <v>25.711662075298442</v>
      </c>
    </row>
    <row r="22" spans="1:23" x14ac:dyDescent="0.25">
      <c r="A22" t="s">
        <v>15</v>
      </c>
      <c r="B22" s="7">
        <v>22</v>
      </c>
      <c r="C22" s="4">
        <v>1.65</v>
      </c>
      <c r="D22" s="7">
        <v>80</v>
      </c>
      <c r="E22">
        <v>1</v>
      </c>
      <c r="F22">
        <v>0</v>
      </c>
      <c r="G22" s="2">
        <v>2</v>
      </c>
      <c r="H22" s="2">
        <v>3</v>
      </c>
      <c r="I22">
        <v>1</v>
      </c>
      <c r="J22">
        <v>0</v>
      </c>
      <c r="K22" s="2">
        <v>2</v>
      </c>
      <c r="L22">
        <v>0</v>
      </c>
      <c r="M22" s="7">
        <v>3</v>
      </c>
      <c r="N22" s="7">
        <v>2</v>
      </c>
      <c r="O22">
        <v>0</v>
      </c>
      <c r="P22" t="s">
        <v>16</v>
      </c>
      <c r="Q22">
        <v>3</v>
      </c>
      <c r="R22" s="8">
        <f>(Tabela2[[#This Row],[FAF_atividade_fisica_frequente_em_horas]]+ 0.1)</f>
        <v>3.1</v>
      </c>
      <c r="S22" s="1">
        <f>(Tabela2[[#This Row],[TUE_tempo_uso_aparelhos_em_horas]]/Tabela2[[#This Row],[FAF_Var]])</f>
        <v>0.64516129032258063</v>
      </c>
      <c r="T22">
        <f>(Tabela2[[#This Row],[CAEC_lanche_entre_refeicoes]]*Tabela2[[#This Row],[FAVC_consumo_frequente_de_alimentos_mt_caloricos]])</f>
        <v>0</v>
      </c>
      <c r="U22" s="1">
        <f>IF(OR(Tabela2[[#This Row],[MTRANS]]="Walking",Tabela2[[#This Row],[MTRANS]]="Bike"),Tabela2[[#This Row],[FAF_atividade_fisica_frequente_em_horas]]+1,M22)</f>
        <v>4</v>
      </c>
      <c r="V22">
        <f>(Tabela2[[#This Row],[SMOKE]]+Tabela2[[#This Row],[CALC_bebe_alcool_frequentemente]])</f>
        <v>0</v>
      </c>
      <c r="W22" s="8">
        <f>(Tabela2[[#This Row],[Weight]]/(Tabela2[[#This Row],[Height]] ^2))</f>
        <v>29.384756657483933</v>
      </c>
    </row>
    <row r="23" spans="1:23" x14ac:dyDescent="0.25">
      <c r="A23" t="s">
        <v>13</v>
      </c>
      <c r="B23" s="7">
        <v>52</v>
      </c>
      <c r="C23" s="4">
        <v>1.69</v>
      </c>
      <c r="D23" s="7">
        <v>87</v>
      </c>
      <c r="E23">
        <v>1</v>
      </c>
      <c r="F23">
        <v>1</v>
      </c>
      <c r="G23" s="2">
        <v>3</v>
      </c>
      <c r="H23" s="2">
        <v>1</v>
      </c>
      <c r="I23">
        <v>1</v>
      </c>
      <c r="J23">
        <v>1</v>
      </c>
      <c r="K23" s="2">
        <v>2</v>
      </c>
      <c r="L23">
        <v>0</v>
      </c>
      <c r="M23" s="7">
        <v>0</v>
      </c>
      <c r="N23" s="7">
        <v>0</v>
      </c>
      <c r="O23">
        <v>0</v>
      </c>
      <c r="P23" t="s">
        <v>17</v>
      </c>
      <c r="Q23">
        <v>4</v>
      </c>
      <c r="R23" s="8">
        <f>(Tabela2[[#This Row],[FAF_atividade_fisica_frequente_em_horas]]+ 0.1)</f>
        <v>0.1</v>
      </c>
      <c r="S23" s="1">
        <f>(Tabela2[[#This Row],[TUE_tempo_uso_aparelhos_em_horas]]/Tabela2[[#This Row],[FAF_Var]])</f>
        <v>0</v>
      </c>
      <c r="T23">
        <f>(Tabela2[[#This Row],[CAEC_lanche_entre_refeicoes]]*Tabela2[[#This Row],[FAVC_consumo_frequente_de_alimentos_mt_caloricos]])</f>
        <v>1</v>
      </c>
      <c r="U23" s="1">
        <f>IF(OR(Tabela2[[#This Row],[MTRANS]]="Walking",Tabela2[[#This Row],[MTRANS]]="Bike"),Tabela2[[#This Row],[FAF_atividade_fisica_frequente_em_horas]]+1,M23)</f>
        <v>0</v>
      </c>
      <c r="V23">
        <f>(Tabela2[[#This Row],[SMOKE]]+Tabela2[[#This Row],[CALC_bebe_alcool_frequentemente]])</f>
        <v>1</v>
      </c>
      <c r="W23" s="8">
        <f>(Tabela2[[#This Row],[Weight]]/(Tabela2[[#This Row],[Height]] ^2))</f>
        <v>30.461118308182492</v>
      </c>
    </row>
    <row r="24" spans="1:23" x14ac:dyDescent="0.25">
      <c r="A24" t="s">
        <v>13</v>
      </c>
      <c r="B24" s="7">
        <v>22</v>
      </c>
      <c r="C24" s="4">
        <v>1.65</v>
      </c>
      <c r="D24" s="7">
        <v>60</v>
      </c>
      <c r="E24">
        <v>1</v>
      </c>
      <c r="F24">
        <v>1</v>
      </c>
      <c r="G24" s="2">
        <v>3</v>
      </c>
      <c r="H24" s="2">
        <v>3</v>
      </c>
      <c r="I24">
        <v>1</v>
      </c>
      <c r="J24">
        <v>0</v>
      </c>
      <c r="K24" s="2">
        <v>2</v>
      </c>
      <c r="L24">
        <v>0</v>
      </c>
      <c r="M24" s="7">
        <v>1</v>
      </c>
      <c r="N24" s="7">
        <v>0</v>
      </c>
      <c r="O24">
        <v>1</v>
      </c>
      <c r="P24" t="s">
        <v>17</v>
      </c>
      <c r="Q24">
        <v>1</v>
      </c>
      <c r="R24" s="8">
        <f>(Tabela2[[#This Row],[FAF_atividade_fisica_frequente_em_horas]]+ 0.1)</f>
        <v>1.1000000000000001</v>
      </c>
      <c r="S24" s="1">
        <f>(Tabela2[[#This Row],[TUE_tempo_uso_aparelhos_em_horas]]/Tabela2[[#This Row],[FAF_Var]])</f>
        <v>0</v>
      </c>
      <c r="T24">
        <f>(Tabela2[[#This Row],[CAEC_lanche_entre_refeicoes]]*Tabela2[[#This Row],[FAVC_consumo_frequente_de_alimentos_mt_caloricos]])</f>
        <v>1</v>
      </c>
      <c r="U24" s="1">
        <f>IF(OR(Tabela2[[#This Row],[MTRANS]]="Walking",Tabela2[[#This Row],[MTRANS]]="Bike"),Tabela2[[#This Row],[FAF_atividade_fisica_frequente_em_horas]]+1,M24)</f>
        <v>1</v>
      </c>
      <c r="V24">
        <f>(Tabela2[[#This Row],[SMOKE]]+Tabela2[[#This Row],[CALC_bebe_alcool_frequentemente]])</f>
        <v>1</v>
      </c>
      <c r="W24" s="8">
        <f>(Tabela2[[#This Row],[Weight]]/(Tabela2[[#This Row],[Height]] ^2))</f>
        <v>22.03856749311295</v>
      </c>
    </row>
    <row r="25" spans="1:23" x14ac:dyDescent="0.25">
      <c r="A25" t="s">
        <v>13</v>
      </c>
      <c r="B25" s="7">
        <v>22</v>
      </c>
      <c r="C25" s="4">
        <v>1.6</v>
      </c>
      <c r="D25" s="7">
        <v>82</v>
      </c>
      <c r="E25">
        <v>1</v>
      </c>
      <c r="F25">
        <v>1</v>
      </c>
      <c r="G25" s="2">
        <v>1</v>
      </c>
      <c r="H25" s="2">
        <v>1</v>
      </c>
      <c r="I25">
        <v>1</v>
      </c>
      <c r="J25">
        <v>0</v>
      </c>
      <c r="K25" s="2">
        <v>2</v>
      </c>
      <c r="L25">
        <v>0</v>
      </c>
      <c r="M25" s="7">
        <v>0</v>
      </c>
      <c r="N25" s="7">
        <v>2</v>
      </c>
      <c r="O25">
        <v>1</v>
      </c>
      <c r="P25" t="s">
        <v>14</v>
      </c>
      <c r="Q25">
        <v>4</v>
      </c>
      <c r="R25" s="8">
        <f>(Tabela2[[#This Row],[FAF_atividade_fisica_frequente_em_horas]]+ 0.1)</f>
        <v>0.1</v>
      </c>
      <c r="S25" s="1">
        <f>(Tabela2[[#This Row],[TUE_tempo_uso_aparelhos_em_horas]]/Tabela2[[#This Row],[FAF_Var]])</f>
        <v>20</v>
      </c>
      <c r="T25">
        <f>(Tabela2[[#This Row],[CAEC_lanche_entre_refeicoes]]*Tabela2[[#This Row],[FAVC_consumo_frequente_de_alimentos_mt_caloricos]])</f>
        <v>1</v>
      </c>
      <c r="U25" s="1">
        <f>IF(OR(Tabela2[[#This Row],[MTRANS]]="Walking",Tabela2[[#This Row],[MTRANS]]="Bike"),Tabela2[[#This Row],[FAF_atividade_fisica_frequente_em_horas]]+1,M25)</f>
        <v>0</v>
      </c>
      <c r="V25">
        <f>(Tabela2[[#This Row],[SMOKE]]+Tabela2[[#This Row],[CALC_bebe_alcool_frequentemente]])</f>
        <v>1</v>
      </c>
      <c r="W25" s="8">
        <f>(Tabela2[[#This Row],[Weight]]/(Tabela2[[#This Row],[Height]] ^2))</f>
        <v>32.031249999999993</v>
      </c>
    </row>
    <row r="26" spans="1:23" x14ac:dyDescent="0.25">
      <c r="A26" t="s">
        <v>15</v>
      </c>
      <c r="B26" s="7">
        <v>21</v>
      </c>
      <c r="C26" s="4">
        <v>1.85</v>
      </c>
      <c r="D26" s="7">
        <v>68</v>
      </c>
      <c r="E26">
        <v>1</v>
      </c>
      <c r="F26">
        <v>1</v>
      </c>
      <c r="G26" s="2">
        <v>2</v>
      </c>
      <c r="H26" s="2">
        <v>3</v>
      </c>
      <c r="I26">
        <v>1</v>
      </c>
      <c r="J26">
        <v>0</v>
      </c>
      <c r="K26" s="2">
        <v>2</v>
      </c>
      <c r="L26">
        <v>0</v>
      </c>
      <c r="M26" s="7">
        <v>0</v>
      </c>
      <c r="N26" s="7">
        <v>1</v>
      </c>
      <c r="O26">
        <v>1</v>
      </c>
      <c r="P26" t="s">
        <v>14</v>
      </c>
      <c r="Q26">
        <v>1</v>
      </c>
      <c r="R26" s="8">
        <f>(Tabela2[[#This Row],[FAF_atividade_fisica_frequente_em_horas]]+ 0.1)</f>
        <v>0.1</v>
      </c>
      <c r="S26" s="1">
        <f>(Tabela2[[#This Row],[TUE_tempo_uso_aparelhos_em_horas]]/Tabela2[[#This Row],[FAF_Var]])</f>
        <v>10</v>
      </c>
      <c r="T26">
        <f>(Tabela2[[#This Row],[CAEC_lanche_entre_refeicoes]]*Tabela2[[#This Row],[FAVC_consumo_frequente_de_alimentos_mt_caloricos]])</f>
        <v>1</v>
      </c>
      <c r="U26" s="1">
        <f>IF(OR(Tabela2[[#This Row],[MTRANS]]="Walking",Tabela2[[#This Row],[MTRANS]]="Bike"),Tabela2[[#This Row],[FAF_atividade_fisica_frequente_em_horas]]+1,M26)</f>
        <v>0</v>
      </c>
      <c r="V26">
        <f>(Tabela2[[#This Row],[SMOKE]]+Tabela2[[#This Row],[CALC_bebe_alcool_frequentemente]])</f>
        <v>1</v>
      </c>
      <c r="W26" s="8">
        <f>(Tabela2[[#This Row],[Weight]]/(Tabela2[[#This Row],[Height]] ^2))</f>
        <v>19.86851716581446</v>
      </c>
    </row>
    <row r="27" spans="1:23" x14ac:dyDescent="0.25">
      <c r="A27" t="s">
        <v>15</v>
      </c>
      <c r="B27" s="7">
        <v>20</v>
      </c>
      <c r="C27" s="4">
        <v>1.6</v>
      </c>
      <c r="D27" s="7">
        <v>50</v>
      </c>
      <c r="E27">
        <v>1</v>
      </c>
      <c r="F27">
        <v>0</v>
      </c>
      <c r="G27" s="2">
        <v>2</v>
      </c>
      <c r="H27" s="2">
        <v>4</v>
      </c>
      <c r="I27">
        <v>2</v>
      </c>
      <c r="J27">
        <v>1</v>
      </c>
      <c r="K27" s="2">
        <v>2</v>
      </c>
      <c r="L27">
        <v>0</v>
      </c>
      <c r="M27" s="7">
        <v>3</v>
      </c>
      <c r="N27" s="7">
        <v>2</v>
      </c>
      <c r="O27">
        <v>0</v>
      </c>
      <c r="P27" t="s">
        <v>14</v>
      </c>
      <c r="Q27">
        <v>1</v>
      </c>
      <c r="R27" s="8">
        <f>(Tabela2[[#This Row],[FAF_atividade_fisica_frequente_em_horas]]+ 0.1)</f>
        <v>3.1</v>
      </c>
      <c r="S27" s="1">
        <f>(Tabela2[[#This Row],[TUE_tempo_uso_aparelhos_em_horas]]/Tabela2[[#This Row],[FAF_Var]])</f>
        <v>0.64516129032258063</v>
      </c>
      <c r="T27">
        <f>(Tabela2[[#This Row],[CAEC_lanche_entre_refeicoes]]*Tabela2[[#This Row],[FAVC_consumo_frequente_de_alimentos_mt_caloricos]])</f>
        <v>0</v>
      </c>
      <c r="U27" s="1">
        <f>IF(OR(Tabela2[[#This Row],[MTRANS]]="Walking",Tabela2[[#This Row],[MTRANS]]="Bike"),Tabela2[[#This Row],[FAF_atividade_fisica_frequente_em_horas]]+1,M27)</f>
        <v>3</v>
      </c>
      <c r="V27">
        <f>(Tabela2[[#This Row],[SMOKE]]+Tabela2[[#This Row],[CALC_bebe_alcool_frequentemente]])</f>
        <v>1</v>
      </c>
      <c r="W27" s="8">
        <f>(Tabela2[[#This Row],[Weight]]/(Tabela2[[#This Row],[Height]] ^2))</f>
        <v>19.531249999999996</v>
      </c>
    </row>
    <row r="28" spans="1:23" x14ac:dyDescent="0.25">
      <c r="A28" t="s">
        <v>15</v>
      </c>
      <c r="B28" s="7">
        <v>21</v>
      </c>
      <c r="C28" s="4">
        <v>1.7</v>
      </c>
      <c r="D28" s="7">
        <v>65</v>
      </c>
      <c r="E28">
        <v>1</v>
      </c>
      <c r="F28">
        <v>1</v>
      </c>
      <c r="G28" s="2">
        <v>2</v>
      </c>
      <c r="H28" s="2">
        <v>1</v>
      </c>
      <c r="I28">
        <v>2</v>
      </c>
      <c r="J28">
        <v>0</v>
      </c>
      <c r="K28" s="2">
        <v>2</v>
      </c>
      <c r="L28">
        <v>0</v>
      </c>
      <c r="M28" s="7">
        <v>1</v>
      </c>
      <c r="N28" s="7">
        <v>2</v>
      </c>
      <c r="O28">
        <v>3</v>
      </c>
      <c r="P28" t="s">
        <v>16</v>
      </c>
      <c r="Q28">
        <v>1</v>
      </c>
      <c r="R28" s="8">
        <f>(Tabela2[[#This Row],[FAF_atividade_fisica_frequente_em_horas]]+ 0.1)</f>
        <v>1.1000000000000001</v>
      </c>
      <c r="S28" s="1">
        <f>(Tabela2[[#This Row],[TUE_tempo_uso_aparelhos_em_horas]]/Tabela2[[#This Row],[FAF_Var]])</f>
        <v>1.8181818181818181</v>
      </c>
      <c r="T28">
        <f>(Tabela2[[#This Row],[CAEC_lanche_entre_refeicoes]]*Tabela2[[#This Row],[FAVC_consumo_frequente_de_alimentos_mt_caloricos]])</f>
        <v>2</v>
      </c>
      <c r="U28" s="1">
        <f>IF(OR(Tabela2[[#This Row],[MTRANS]]="Walking",Tabela2[[#This Row],[MTRANS]]="Bike"),Tabela2[[#This Row],[FAF_atividade_fisica_frequente_em_horas]]+1,M28)</f>
        <v>2</v>
      </c>
      <c r="V28">
        <f>(Tabela2[[#This Row],[SMOKE]]+Tabela2[[#This Row],[CALC_bebe_alcool_frequentemente]])</f>
        <v>3</v>
      </c>
      <c r="W28" s="8">
        <f>(Tabela2[[#This Row],[Weight]]/(Tabela2[[#This Row],[Height]] ^2))</f>
        <v>22.491349480968861</v>
      </c>
    </row>
    <row r="29" spans="1:23" x14ac:dyDescent="0.25">
      <c r="A29" t="s">
        <v>13</v>
      </c>
      <c r="B29" s="7">
        <v>23</v>
      </c>
      <c r="C29" s="4">
        <v>1.6</v>
      </c>
      <c r="D29" s="7">
        <v>52</v>
      </c>
      <c r="E29">
        <v>0</v>
      </c>
      <c r="F29">
        <v>1</v>
      </c>
      <c r="G29" s="2">
        <v>2</v>
      </c>
      <c r="H29" s="2">
        <v>4</v>
      </c>
      <c r="I29">
        <v>2</v>
      </c>
      <c r="J29">
        <v>0</v>
      </c>
      <c r="K29" s="2">
        <v>2</v>
      </c>
      <c r="L29">
        <v>0</v>
      </c>
      <c r="M29" s="7">
        <v>2</v>
      </c>
      <c r="N29" s="7">
        <v>1</v>
      </c>
      <c r="O29">
        <v>1</v>
      </c>
      <c r="P29" t="s">
        <v>17</v>
      </c>
      <c r="Q29">
        <v>1</v>
      </c>
      <c r="R29" s="8">
        <f>(Tabela2[[#This Row],[FAF_atividade_fisica_frequente_em_horas]]+ 0.1)</f>
        <v>2.1</v>
      </c>
      <c r="S29" s="1">
        <f>(Tabela2[[#This Row],[TUE_tempo_uso_aparelhos_em_horas]]/Tabela2[[#This Row],[FAF_Var]])</f>
        <v>0.47619047619047616</v>
      </c>
      <c r="T29">
        <f>(Tabela2[[#This Row],[CAEC_lanche_entre_refeicoes]]*Tabela2[[#This Row],[FAVC_consumo_frequente_de_alimentos_mt_caloricos]])</f>
        <v>2</v>
      </c>
      <c r="U29" s="1">
        <f>IF(OR(Tabela2[[#This Row],[MTRANS]]="Walking",Tabela2[[#This Row],[MTRANS]]="Bike"),Tabela2[[#This Row],[FAF_atividade_fisica_frequente_em_horas]]+1,M29)</f>
        <v>2</v>
      </c>
      <c r="V29">
        <f>(Tabela2[[#This Row],[SMOKE]]+Tabela2[[#This Row],[CALC_bebe_alcool_frequentemente]])</f>
        <v>1</v>
      </c>
      <c r="W29" s="8">
        <f>(Tabela2[[#This Row],[Weight]]/(Tabela2[[#This Row],[Height]] ^2))</f>
        <v>20.312499999999996</v>
      </c>
    </row>
    <row r="30" spans="1:23" x14ac:dyDescent="0.25">
      <c r="A30" t="s">
        <v>15</v>
      </c>
      <c r="B30" s="7">
        <v>19</v>
      </c>
      <c r="C30" s="4">
        <v>1.75</v>
      </c>
      <c r="D30" s="7">
        <v>76</v>
      </c>
      <c r="E30">
        <v>1</v>
      </c>
      <c r="F30">
        <v>1</v>
      </c>
      <c r="G30" s="2">
        <v>3</v>
      </c>
      <c r="H30" s="2">
        <v>3</v>
      </c>
      <c r="I30">
        <v>1</v>
      </c>
      <c r="J30">
        <v>0</v>
      </c>
      <c r="K30" s="2">
        <v>2</v>
      </c>
      <c r="L30">
        <v>1</v>
      </c>
      <c r="M30" s="7">
        <v>3</v>
      </c>
      <c r="N30" s="7">
        <v>1</v>
      </c>
      <c r="O30">
        <v>1</v>
      </c>
      <c r="P30" t="s">
        <v>14</v>
      </c>
      <c r="Q30">
        <v>1</v>
      </c>
      <c r="R30" s="8">
        <f>(Tabela2[[#This Row],[FAF_atividade_fisica_frequente_em_horas]]+ 0.1)</f>
        <v>3.1</v>
      </c>
      <c r="S30" s="1">
        <f>(Tabela2[[#This Row],[TUE_tempo_uso_aparelhos_em_horas]]/Tabela2[[#This Row],[FAF_Var]])</f>
        <v>0.32258064516129031</v>
      </c>
      <c r="T30">
        <f>(Tabela2[[#This Row],[CAEC_lanche_entre_refeicoes]]*Tabela2[[#This Row],[FAVC_consumo_frequente_de_alimentos_mt_caloricos]])</f>
        <v>1</v>
      </c>
      <c r="U30" s="1">
        <f>IF(OR(Tabela2[[#This Row],[MTRANS]]="Walking",Tabela2[[#This Row],[MTRANS]]="Bike"),Tabela2[[#This Row],[FAF_atividade_fisica_frequente_em_horas]]+1,M30)</f>
        <v>3</v>
      </c>
      <c r="V30">
        <f>(Tabela2[[#This Row],[SMOKE]]+Tabela2[[#This Row],[CALC_bebe_alcool_frequentemente]])</f>
        <v>1</v>
      </c>
      <c r="W30" s="8">
        <f>(Tabela2[[#This Row],[Weight]]/(Tabela2[[#This Row],[Height]] ^2))</f>
        <v>24.816326530612244</v>
      </c>
    </row>
    <row r="31" spans="1:23" x14ac:dyDescent="0.25">
      <c r="A31" t="s">
        <v>15</v>
      </c>
      <c r="B31" s="7">
        <v>23</v>
      </c>
      <c r="C31" s="4">
        <v>1.68</v>
      </c>
      <c r="D31" s="7">
        <v>70</v>
      </c>
      <c r="E31">
        <v>0</v>
      </c>
      <c r="F31">
        <v>1</v>
      </c>
      <c r="G31" s="2">
        <v>2</v>
      </c>
      <c r="H31" s="2">
        <v>3</v>
      </c>
      <c r="I31">
        <v>1</v>
      </c>
      <c r="J31">
        <v>0</v>
      </c>
      <c r="K31" s="2">
        <v>2</v>
      </c>
      <c r="L31">
        <v>0</v>
      </c>
      <c r="M31" s="7">
        <v>2</v>
      </c>
      <c r="N31" s="7">
        <v>2</v>
      </c>
      <c r="O31">
        <v>2</v>
      </c>
      <c r="P31" t="s">
        <v>16</v>
      </c>
      <c r="Q31">
        <v>1</v>
      </c>
      <c r="R31" s="8">
        <f>(Tabela2[[#This Row],[FAF_atividade_fisica_frequente_em_horas]]+ 0.1)</f>
        <v>2.1</v>
      </c>
      <c r="S31" s="1">
        <f>(Tabela2[[#This Row],[TUE_tempo_uso_aparelhos_em_horas]]/Tabela2[[#This Row],[FAF_Var]])</f>
        <v>0.95238095238095233</v>
      </c>
      <c r="T31">
        <f>(Tabela2[[#This Row],[CAEC_lanche_entre_refeicoes]]*Tabela2[[#This Row],[FAVC_consumo_frequente_de_alimentos_mt_caloricos]])</f>
        <v>1</v>
      </c>
      <c r="U31" s="1">
        <f>IF(OR(Tabela2[[#This Row],[MTRANS]]="Walking",Tabela2[[#This Row],[MTRANS]]="Bike"),Tabela2[[#This Row],[FAF_atividade_fisica_frequente_em_horas]]+1,M31)</f>
        <v>3</v>
      </c>
      <c r="V31">
        <f>(Tabela2[[#This Row],[SMOKE]]+Tabela2[[#This Row],[CALC_bebe_alcool_frequentemente]])</f>
        <v>2</v>
      </c>
      <c r="W31" s="8">
        <f>(Tabela2[[#This Row],[Weight]]/(Tabela2[[#This Row],[Height]] ^2))</f>
        <v>24.801587301587304</v>
      </c>
    </row>
    <row r="32" spans="1:23" x14ac:dyDescent="0.25">
      <c r="A32" t="s">
        <v>15</v>
      </c>
      <c r="B32" s="7">
        <v>29</v>
      </c>
      <c r="C32" s="4">
        <v>1.77</v>
      </c>
      <c r="D32" s="7">
        <v>83</v>
      </c>
      <c r="E32">
        <v>0</v>
      </c>
      <c r="F32">
        <v>1</v>
      </c>
      <c r="G32" s="2">
        <v>1</v>
      </c>
      <c r="H32" s="2">
        <v>4</v>
      </c>
      <c r="I32">
        <v>2</v>
      </c>
      <c r="J32">
        <v>0</v>
      </c>
      <c r="K32" s="2">
        <v>3</v>
      </c>
      <c r="L32">
        <v>0</v>
      </c>
      <c r="M32" s="7">
        <v>0</v>
      </c>
      <c r="N32" s="7">
        <v>1</v>
      </c>
      <c r="O32">
        <v>0</v>
      </c>
      <c r="P32" t="s">
        <v>18</v>
      </c>
      <c r="Q32">
        <v>2</v>
      </c>
      <c r="R32" s="8">
        <f>(Tabela2[[#This Row],[FAF_atividade_fisica_frequente_em_horas]]+ 0.1)</f>
        <v>0.1</v>
      </c>
      <c r="S32" s="1">
        <f>(Tabela2[[#This Row],[TUE_tempo_uso_aparelhos_em_horas]]/Tabela2[[#This Row],[FAF_Var]])</f>
        <v>10</v>
      </c>
      <c r="T32">
        <f>(Tabela2[[#This Row],[CAEC_lanche_entre_refeicoes]]*Tabela2[[#This Row],[FAVC_consumo_frequente_de_alimentos_mt_caloricos]])</f>
        <v>2</v>
      </c>
      <c r="U32" s="1">
        <f>IF(OR(Tabela2[[#This Row],[MTRANS]]="Walking",Tabela2[[#This Row],[MTRANS]]="Bike"),Tabela2[[#This Row],[FAF_atividade_fisica_frequente_em_horas]]+1,M32)</f>
        <v>0</v>
      </c>
      <c r="V32">
        <f>(Tabela2[[#This Row],[SMOKE]]+Tabela2[[#This Row],[CALC_bebe_alcool_frequentemente]])</f>
        <v>0</v>
      </c>
      <c r="W32" s="8">
        <f>(Tabela2[[#This Row],[Weight]]/(Tabela2[[#This Row],[Height]] ^2))</f>
        <v>26.493025631204315</v>
      </c>
    </row>
    <row r="33" spans="1:23" x14ac:dyDescent="0.25">
      <c r="A33" t="s">
        <v>13</v>
      </c>
      <c r="B33" s="7">
        <v>31</v>
      </c>
      <c r="C33" s="4">
        <v>1.58</v>
      </c>
      <c r="D33" s="7">
        <v>68</v>
      </c>
      <c r="E33">
        <v>1</v>
      </c>
      <c r="F33">
        <v>0</v>
      </c>
      <c r="G33" s="2">
        <v>2</v>
      </c>
      <c r="H33" s="2">
        <v>1</v>
      </c>
      <c r="I33">
        <v>1</v>
      </c>
      <c r="J33">
        <v>0</v>
      </c>
      <c r="K33" s="2">
        <v>1</v>
      </c>
      <c r="L33">
        <v>0</v>
      </c>
      <c r="M33" s="7">
        <v>1</v>
      </c>
      <c r="N33" s="7">
        <v>0</v>
      </c>
      <c r="O33">
        <v>1</v>
      </c>
      <c r="P33" t="s">
        <v>14</v>
      </c>
      <c r="Q33">
        <v>3</v>
      </c>
      <c r="R33" s="8">
        <f>(Tabela2[[#This Row],[FAF_atividade_fisica_frequente_em_horas]]+ 0.1)</f>
        <v>1.1000000000000001</v>
      </c>
      <c r="S33" s="1">
        <f>(Tabela2[[#This Row],[TUE_tempo_uso_aparelhos_em_horas]]/Tabela2[[#This Row],[FAF_Var]])</f>
        <v>0</v>
      </c>
      <c r="T33">
        <f>(Tabela2[[#This Row],[CAEC_lanche_entre_refeicoes]]*Tabela2[[#This Row],[FAVC_consumo_frequente_de_alimentos_mt_caloricos]])</f>
        <v>0</v>
      </c>
      <c r="U33" s="1">
        <f>IF(OR(Tabela2[[#This Row],[MTRANS]]="Walking",Tabela2[[#This Row],[MTRANS]]="Bike"),Tabela2[[#This Row],[FAF_atividade_fisica_frequente_em_horas]]+1,M33)</f>
        <v>1</v>
      </c>
      <c r="V33">
        <f>(Tabela2[[#This Row],[SMOKE]]+Tabela2[[#This Row],[CALC_bebe_alcool_frequentemente]])</f>
        <v>1</v>
      </c>
      <c r="W33" s="8">
        <f>(Tabela2[[#This Row],[Weight]]/(Tabela2[[#This Row],[Height]] ^2))</f>
        <v>27.239224483255885</v>
      </c>
    </row>
    <row r="34" spans="1:23" x14ac:dyDescent="0.25">
      <c r="A34" t="s">
        <v>13</v>
      </c>
      <c r="B34" s="7">
        <v>24</v>
      </c>
      <c r="C34" s="4">
        <v>1.77</v>
      </c>
      <c r="D34" s="7">
        <v>76</v>
      </c>
      <c r="E34">
        <v>0</v>
      </c>
      <c r="F34">
        <v>0</v>
      </c>
      <c r="G34" s="2">
        <v>2</v>
      </c>
      <c r="H34" s="2">
        <v>3</v>
      </c>
      <c r="I34">
        <v>1</v>
      </c>
      <c r="J34">
        <v>0</v>
      </c>
      <c r="K34" s="2">
        <v>3</v>
      </c>
      <c r="L34">
        <v>0</v>
      </c>
      <c r="M34" s="7">
        <v>1</v>
      </c>
      <c r="N34" s="7">
        <v>1</v>
      </c>
      <c r="O34">
        <v>1</v>
      </c>
      <c r="P34" t="s">
        <v>16</v>
      </c>
      <c r="Q34">
        <v>1</v>
      </c>
      <c r="R34" s="8">
        <f>(Tabela2[[#This Row],[FAF_atividade_fisica_frequente_em_horas]]+ 0.1)</f>
        <v>1.1000000000000001</v>
      </c>
      <c r="S34" s="1">
        <f>(Tabela2[[#This Row],[TUE_tempo_uso_aparelhos_em_horas]]/Tabela2[[#This Row],[FAF_Var]])</f>
        <v>0.90909090909090906</v>
      </c>
      <c r="T34">
        <f>(Tabela2[[#This Row],[CAEC_lanche_entre_refeicoes]]*Tabela2[[#This Row],[FAVC_consumo_frequente_de_alimentos_mt_caloricos]])</f>
        <v>0</v>
      </c>
      <c r="U34" s="1">
        <f>IF(OR(Tabela2[[#This Row],[MTRANS]]="Walking",Tabela2[[#This Row],[MTRANS]]="Bike"),Tabela2[[#This Row],[FAF_atividade_fisica_frequente_em_horas]]+1,M34)</f>
        <v>2</v>
      </c>
      <c r="V34">
        <f>(Tabela2[[#This Row],[SMOKE]]+Tabela2[[#This Row],[CALC_bebe_alcool_frequentemente]])</f>
        <v>1</v>
      </c>
      <c r="W34" s="8">
        <f>(Tabela2[[#This Row],[Weight]]/(Tabela2[[#This Row],[Height]] ^2))</f>
        <v>24.258674071946118</v>
      </c>
    </row>
    <row r="35" spans="1:23" x14ac:dyDescent="0.25">
      <c r="A35" t="s">
        <v>15</v>
      </c>
      <c r="B35" s="7">
        <v>39</v>
      </c>
      <c r="C35" s="4">
        <v>1.79</v>
      </c>
      <c r="D35" s="7">
        <v>90</v>
      </c>
      <c r="E35">
        <v>0</v>
      </c>
      <c r="F35">
        <v>0</v>
      </c>
      <c r="G35" s="2">
        <v>2</v>
      </c>
      <c r="H35" s="2">
        <v>1</v>
      </c>
      <c r="I35">
        <v>1</v>
      </c>
      <c r="J35">
        <v>0</v>
      </c>
      <c r="K35" s="2">
        <v>2</v>
      </c>
      <c r="L35">
        <v>0</v>
      </c>
      <c r="M35" s="7">
        <v>0</v>
      </c>
      <c r="N35" s="7">
        <v>0</v>
      </c>
      <c r="O35">
        <v>1</v>
      </c>
      <c r="P35" t="s">
        <v>14</v>
      </c>
      <c r="Q35">
        <v>3</v>
      </c>
      <c r="R35" s="8">
        <f>(Tabela2[[#This Row],[FAF_atividade_fisica_frequente_em_horas]]+ 0.1)</f>
        <v>0.1</v>
      </c>
      <c r="S35" s="1">
        <f>(Tabela2[[#This Row],[TUE_tempo_uso_aparelhos_em_horas]]/Tabela2[[#This Row],[FAF_Var]])</f>
        <v>0</v>
      </c>
      <c r="T35">
        <f>(Tabela2[[#This Row],[CAEC_lanche_entre_refeicoes]]*Tabela2[[#This Row],[FAVC_consumo_frequente_de_alimentos_mt_caloricos]])</f>
        <v>0</v>
      </c>
      <c r="U35" s="1">
        <f>IF(OR(Tabela2[[#This Row],[MTRANS]]="Walking",Tabela2[[#This Row],[MTRANS]]="Bike"),Tabela2[[#This Row],[FAF_atividade_fisica_frequente_em_horas]]+1,M35)</f>
        <v>0</v>
      </c>
      <c r="V35">
        <f>(Tabela2[[#This Row],[SMOKE]]+Tabela2[[#This Row],[CALC_bebe_alcool_frequentemente]])</f>
        <v>1</v>
      </c>
      <c r="W35" s="8">
        <f>(Tabela2[[#This Row],[Weight]]/(Tabela2[[#This Row],[Height]] ^2))</f>
        <v>28.089010954714272</v>
      </c>
    </row>
    <row r="36" spans="1:23" x14ac:dyDescent="0.25">
      <c r="A36" t="s">
        <v>15</v>
      </c>
      <c r="B36" s="7">
        <v>22</v>
      </c>
      <c r="C36" s="4">
        <v>1.65</v>
      </c>
      <c r="D36" s="7">
        <v>62</v>
      </c>
      <c r="E36">
        <v>0</v>
      </c>
      <c r="F36">
        <v>1</v>
      </c>
      <c r="G36" s="2">
        <v>2</v>
      </c>
      <c r="H36" s="2">
        <v>4</v>
      </c>
      <c r="I36">
        <v>2</v>
      </c>
      <c r="J36">
        <v>0</v>
      </c>
      <c r="K36" s="2">
        <v>2</v>
      </c>
      <c r="L36">
        <v>0</v>
      </c>
      <c r="M36" s="7">
        <v>2</v>
      </c>
      <c r="N36" s="7">
        <v>0</v>
      </c>
      <c r="O36">
        <v>1</v>
      </c>
      <c r="P36" t="s">
        <v>14</v>
      </c>
      <c r="Q36">
        <v>1</v>
      </c>
      <c r="R36" s="8">
        <f>(Tabela2[[#This Row],[FAF_atividade_fisica_frequente_em_horas]]+ 0.1)</f>
        <v>2.1</v>
      </c>
      <c r="S36" s="1">
        <f>(Tabela2[[#This Row],[TUE_tempo_uso_aparelhos_em_horas]]/Tabela2[[#This Row],[FAF_Var]])</f>
        <v>0</v>
      </c>
      <c r="T36">
        <f>(Tabela2[[#This Row],[CAEC_lanche_entre_refeicoes]]*Tabela2[[#This Row],[FAVC_consumo_frequente_de_alimentos_mt_caloricos]])</f>
        <v>2</v>
      </c>
      <c r="U36" s="1">
        <f>IF(OR(Tabela2[[#This Row],[MTRANS]]="Walking",Tabela2[[#This Row],[MTRANS]]="Bike"),Tabela2[[#This Row],[FAF_atividade_fisica_frequente_em_horas]]+1,M36)</f>
        <v>2</v>
      </c>
      <c r="V36">
        <f>(Tabela2[[#This Row],[SMOKE]]+Tabela2[[#This Row],[CALC_bebe_alcool_frequentemente]])</f>
        <v>1</v>
      </c>
      <c r="W36" s="8">
        <f>(Tabela2[[#This Row],[Weight]]/(Tabela2[[#This Row],[Height]] ^2))</f>
        <v>22.77318640955005</v>
      </c>
    </row>
    <row r="37" spans="1:23" x14ac:dyDescent="0.25">
      <c r="A37" t="s">
        <v>13</v>
      </c>
      <c r="B37" s="7">
        <v>21</v>
      </c>
      <c r="C37" s="4">
        <v>1.5</v>
      </c>
      <c r="D37" s="7">
        <v>65</v>
      </c>
      <c r="E37">
        <v>1</v>
      </c>
      <c r="F37">
        <v>0</v>
      </c>
      <c r="G37" s="2">
        <v>2</v>
      </c>
      <c r="H37" s="2">
        <v>3</v>
      </c>
      <c r="I37">
        <v>1</v>
      </c>
      <c r="J37">
        <v>0</v>
      </c>
      <c r="K37" s="2">
        <v>2</v>
      </c>
      <c r="L37">
        <v>0</v>
      </c>
      <c r="M37" s="7">
        <v>2</v>
      </c>
      <c r="N37" s="7">
        <v>2</v>
      </c>
      <c r="O37">
        <v>1</v>
      </c>
      <c r="P37" t="s">
        <v>14</v>
      </c>
      <c r="Q37">
        <v>3</v>
      </c>
      <c r="R37" s="8">
        <f>(Tabela2[[#This Row],[FAF_atividade_fisica_frequente_em_horas]]+ 0.1)</f>
        <v>2.1</v>
      </c>
      <c r="S37" s="1">
        <f>(Tabela2[[#This Row],[TUE_tempo_uso_aparelhos_em_horas]]/Tabela2[[#This Row],[FAF_Var]])</f>
        <v>0.95238095238095233</v>
      </c>
      <c r="T37">
        <f>(Tabela2[[#This Row],[CAEC_lanche_entre_refeicoes]]*Tabela2[[#This Row],[FAVC_consumo_frequente_de_alimentos_mt_caloricos]])</f>
        <v>0</v>
      </c>
      <c r="U37" s="1">
        <f>IF(OR(Tabela2[[#This Row],[MTRANS]]="Walking",Tabela2[[#This Row],[MTRANS]]="Bike"),Tabela2[[#This Row],[FAF_atividade_fisica_frequente_em_horas]]+1,M37)</f>
        <v>2</v>
      </c>
      <c r="V37">
        <f>(Tabela2[[#This Row],[SMOKE]]+Tabela2[[#This Row],[CALC_bebe_alcool_frequentemente]])</f>
        <v>1</v>
      </c>
      <c r="W37" s="8">
        <f>(Tabela2[[#This Row],[Weight]]/(Tabela2[[#This Row],[Height]] ^2))</f>
        <v>28.888888888888889</v>
      </c>
    </row>
    <row r="38" spans="1:23" x14ac:dyDescent="0.25">
      <c r="A38" t="s">
        <v>13</v>
      </c>
      <c r="B38" s="7">
        <v>22</v>
      </c>
      <c r="C38" s="4">
        <v>1.56</v>
      </c>
      <c r="D38" s="7">
        <v>49</v>
      </c>
      <c r="E38">
        <v>0</v>
      </c>
      <c r="F38">
        <v>1</v>
      </c>
      <c r="G38" s="2">
        <v>2</v>
      </c>
      <c r="H38" s="2">
        <v>3</v>
      </c>
      <c r="I38">
        <v>1</v>
      </c>
      <c r="J38">
        <v>0</v>
      </c>
      <c r="K38" s="2">
        <v>1</v>
      </c>
      <c r="L38">
        <v>1</v>
      </c>
      <c r="M38" s="7">
        <v>2</v>
      </c>
      <c r="N38" s="7">
        <v>0</v>
      </c>
      <c r="O38">
        <v>0</v>
      </c>
      <c r="P38" t="s">
        <v>16</v>
      </c>
      <c r="Q38">
        <v>1</v>
      </c>
      <c r="R38" s="8">
        <f>(Tabela2[[#This Row],[FAF_atividade_fisica_frequente_em_horas]]+ 0.1)</f>
        <v>2.1</v>
      </c>
      <c r="S38" s="1">
        <f>(Tabela2[[#This Row],[TUE_tempo_uso_aparelhos_em_horas]]/Tabela2[[#This Row],[FAF_Var]])</f>
        <v>0</v>
      </c>
      <c r="T38">
        <f>(Tabela2[[#This Row],[CAEC_lanche_entre_refeicoes]]*Tabela2[[#This Row],[FAVC_consumo_frequente_de_alimentos_mt_caloricos]])</f>
        <v>1</v>
      </c>
      <c r="U38" s="1">
        <f>IF(OR(Tabela2[[#This Row],[MTRANS]]="Walking",Tabela2[[#This Row],[MTRANS]]="Bike"),Tabela2[[#This Row],[FAF_atividade_fisica_frequente_em_horas]]+1,M38)</f>
        <v>3</v>
      </c>
      <c r="V38">
        <f>(Tabela2[[#This Row],[SMOKE]]+Tabela2[[#This Row],[CALC_bebe_alcool_frequentemente]])</f>
        <v>0</v>
      </c>
      <c r="W38" s="8">
        <f>(Tabela2[[#This Row],[Weight]]/(Tabela2[[#This Row],[Height]] ^2))</f>
        <v>20.134779750164363</v>
      </c>
    </row>
    <row r="39" spans="1:23" x14ac:dyDescent="0.25">
      <c r="A39" t="s">
        <v>13</v>
      </c>
      <c r="B39" s="7">
        <v>21</v>
      </c>
      <c r="C39" s="4">
        <v>1.6</v>
      </c>
      <c r="D39" s="7">
        <v>48</v>
      </c>
      <c r="E39">
        <v>0</v>
      </c>
      <c r="F39">
        <v>1</v>
      </c>
      <c r="G39" s="2">
        <v>2</v>
      </c>
      <c r="H39" s="2">
        <v>3</v>
      </c>
      <c r="I39">
        <v>1</v>
      </c>
      <c r="J39">
        <v>0</v>
      </c>
      <c r="K39" s="2">
        <v>1</v>
      </c>
      <c r="L39">
        <v>0</v>
      </c>
      <c r="M39" s="7">
        <v>1</v>
      </c>
      <c r="N39" s="7">
        <v>0</v>
      </c>
      <c r="O39">
        <v>1</v>
      </c>
      <c r="P39" t="s">
        <v>14</v>
      </c>
      <c r="Q39">
        <v>1</v>
      </c>
      <c r="R39" s="8">
        <f>(Tabela2[[#This Row],[FAF_atividade_fisica_frequente_em_horas]]+ 0.1)</f>
        <v>1.1000000000000001</v>
      </c>
      <c r="S39" s="1">
        <f>(Tabela2[[#This Row],[TUE_tempo_uso_aparelhos_em_horas]]/Tabela2[[#This Row],[FAF_Var]])</f>
        <v>0</v>
      </c>
      <c r="T39">
        <f>(Tabela2[[#This Row],[CAEC_lanche_entre_refeicoes]]*Tabela2[[#This Row],[FAVC_consumo_frequente_de_alimentos_mt_caloricos]])</f>
        <v>1</v>
      </c>
      <c r="U39" s="1">
        <f>IF(OR(Tabela2[[#This Row],[MTRANS]]="Walking",Tabela2[[#This Row],[MTRANS]]="Bike"),Tabela2[[#This Row],[FAF_atividade_fisica_frequente_em_horas]]+1,M39)</f>
        <v>1</v>
      </c>
      <c r="V39">
        <f>(Tabela2[[#This Row],[SMOKE]]+Tabela2[[#This Row],[CALC_bebe_alcool_frequentemente]])</f>
        <v>1</v>
      </c>
      <c r="W39" s="8">
        <f>(Tabela2[[#This Row],[Weight]]/(Tabela2[[#This Row],[Height]] ^2))</f>
        <v>18.749999999999996</v>
      </c>
    </row>
    <row r="40" spans="1:23" x14ac:dyDescent="0.25">
      <c r="A40" t="s">
        <v>15</v>
      </c>
      <c r="B40" s="7">
        <v>23</v>
      </c>
      <c r="C40" s="4">
        <v>1.65</v>
      </c>
      <c r="D40" s="7">
        <v>67</v>
      </c>
      <c r="E40">
        <v>1</v>
      </c>
      <c r="F40">
        <v>1</v>
      </c>
      <c r="G40" s="2">
        <v>2</v>
      </c>
      <c r="H40" s="2">
        <v>3</v>
      </c>
      <c r="I40">
        <v>1</v>
      </c>
      <c r="J40">
        <v>0</v>
      </c>
      <c r="K40" s="2">
        <v>2</v>
      </c>
      <c r="L40">
        <v>0</v>
      </c>
      <c r="M40" s="7">
        <v>1</v>
      </c>
      <c r="N40" s="7">
        <v>1</v>
      </c>
      <c r="O40">
        <v>1</v>
      </c>
      <c r="P40" t="s">
        <v>14</v>
      </c>
      <c r="Q40">
        <v>1</v>
      </c>
      <c r="R40" s="8">
        <f>(Tabela2[[#This Row],[FAF_atividade_fisica_frequente_em_horas]]+ 0.1)</f>
        <v>1.1000000000000001</v>
      </c>
      <c r="S40" s="1">
        <f>(Tabela2[[#This Row],[TUE_tempo_uso_aparelhos_em_horas]]/Tabela2[[#This Row],[FAF_Var]])</f>
        <v>0.90909090909090906</v>
      </c>
      <c r="T40">
        <f>(Tabela2[[#This Row],[CAEC_lanche_entre_refeicoes]]*Tabela2[[#This Row],[FAVC_consumo_frequente_de_alimentos_mt_caloricos]])</f>
        <v>1</v>
      </c>
      <c r="U40" s="1">
        <f>IF(OR(Tabela2[[#This Row],[MTRANS]]="Walking",Tabela2[[#This Row],[MTRANS]]="Bike"),Tabela2[[#This Row],[FAF_atividade_fisica_frequente_em_horas]]+1,M40)</f>
        <v>1</v>
      </c>
      <c r="V40">
        <f>(Tabela2[[#This Row],[SMOKE]]+Tabela2[[#This Row],[CALC_bebe_alcool_frequentemente]])</f>
        <v>1</v>
      </c>
      <c r="W40" s="8">
        <f>(Tabela2[[#This Row],[Weight]]/(Tabela2[[#This Row],[Height]] ^2))</f>
        <v>24.609733700642796</v>
      </c>
    </row>
    <row r="41" spans="1:23" x14ac:dyDescent="0.25">
      <c r="A41" t="s">
        <v>13</v>
      </c>
      <c r="B41" s="7">
        <v>21</v>
      </c>
      <c r="C41" s="4">
        <v>1.75</v>
      </c>
      <c r="D41" s="7">
        <v>88</v>
      </c>
      <c r="E41">
        <v>1</v>
      </c>
      <c r="F41">
        <v>1</v>
      </c>
      <c r="G41" s="2">
        <v>2</v>
      </c>
      <c r="H41" s="2">
        <v>3</v>
      </c>
      <c r="I41">
        <v>1</v>
      </c>
      <c r="J41">
        <v>0</v>
      </c>
      <c r="K41" s="2">
        <v>3</v>
      </c>
      <c r="L41">
        <v>0</v>
      </c>
      <c r="M41" s="7">
        <v>3</v>
      </c>
      <c r="N41" s="7">
        <v>0</v>
      </c>
      <c r="O41">
        <v>1</v>
      </c>
      <c r="P41" t="s">
        <v>14</v>
      </c>
      <c r="Q41">
        <v>3</v>
      </c>
      <c r="R41" s="8">
        <f>(Tabela2[[#This Row],[FAF_atividade_fisica_frequente_em_horas]]+ 0.1)</f>
        <v>3.1</v>
      </c>
      <c r="S41" s="1">
        <f>(Tabela2[[#This Row],[TUE_tempo_uso_aparelhos_em_horas]]/Tabela2[[#This Row],[FAF_Var]])</f>
        <v>0</v>
      </c>
      <c r="T41">
        <f>(Tabela2[[#This Row],[CAEC_lanche_entre_refeicoes]]*Tabela2[[#This Row],[FAVC_consumo_frequente_de_alimentos_mt_caloricos]])</f>
        <v>1</v>
      </c>
      <c r="U41" s="1">
        <f>IF(OR(Tabela2[[#This Row],[MTRANS]]="Walking",Tabela2[[#This Row],[MTRANS]]="Bike"),Tabela2[[#This Row],[FAF_atividade_fisica_frequente_em_horas]]+1,M41)</f>
        <v>3</v>
      </c>
      <c r="V41">
        <f>(Tabela2[[#This Row],[SMOKE]]+Tabela2[[#This Row],[CALC_bebe_alcool_frequentemente]])</f>
        <v>1</v>
      </c>
      <c r="W41" s="8">
        <f>(Tabela2[[#This Row],[Weight]]/(Tabela2[[#This Row],[Height]] ^2))</f>
        <v>28.73469387755102</v>
      </c>
    </row>
    <row r="42" spans="1:23" x14ac:dyDescent="0.25">
      <c r="A42" t="s">
        <v>13</v>
      </c>
      <c r="B42" s="7">
        <v>21</v>
      </c>
      <c r="C42" s="4">
        <v>1.67</v>
      </c>
      <c r="D42" s="7">
        <v>75</v>
      </c>
      <c r="E42">
        <v>1</v>
      </c>
      <c r="F42">
        <v>1</v>
      </c>
      <c r="G42" s="2">
        <v>2</v>
      </c>
      <c r="H42" s="2">
        <v>3</v>
      </c>
      <c r="I42">
        <v>1</v>
      </c>
      <c r="J42">
        <v>0</v>
      </c>
      <c r="K42" s="2">
        <v>2</v>
      </c>
      <c r="L42">
        <v>0</v>
      </c>
      <c r="M42" s="7">
        <v>1</v>
      </c>
      <c r="N42" s="7">
        <v>0</v>
      </c>
      <c r="O42">
        <v>1</v>
      </c>
      <c r="P42" t="s">
        <v>14</v>
      </c>
      <c r="Q42">
        <v>2</v>
      </c>
      <c r="R42" s="8">
        <f>(Tabela2[[#This Row],[FAF_atividade_fisica_frequente_em_horas]]+ 0.1)</f>
        <v>1.1000000000000001</v>
      </c>
      <c r="S42" s="1">
        <f>(Tabela2[[#This Row],[TUE_tempo_uso_aparelhos_em_horas]]/Tabela2[[#This Row],[FAF_Var]])</f>
        <v>0</v>
      </c>
      <c r="T42">
        <f>(Tabela2[[#This Row],[CAEC_lanche_entre_refeicoes]]*Tabela2[[#This Row],[FAVC_consumo_frequente_de_alimentos_mt_caloricos]])</f>
        <v>1</v>
      </c>
      <c r="U42" s="1">
        <f>IF(OR(Tabela2[[#This Row],[MTRANS]]="Walking",Tabela2[[#This Row],[MTRANS]]="Bike"),Tabela2[[#This Row],[FAF_atividade_fisica_frequente_em_horas]]+1,M42)</f>
        <v>1</v>
      </c>
      <c r="V42">
        <f>(Tabela2[[#This Row],[SMOKE]]+Tabela2[[#This Row],[CALC_bebe_alcool_frequentemente]])</f>
        <v>1</v>
      </c>
      <c r="W42" s="8">
        <f>(Tabela2[[#This Row],[Weight]]/(Tabela2[[#This Row],[Height]] ^2))</f>
        <v>26.892323138154829</v>
      </c>
    </row>
    <row r="43" spans="1:23" x14ac:dyDescent="0.25">
      <c r="A43" t="s">
        <v>15</v>
      </c>
      <c r="B43" s="7">
        <v>23</v>
      </c>
      <c r="C43" s="4">
        <v>1.68</v>
      </c>
      <c r="D43" s="7">
        <v>60</v>
      </c>
      <c r="E43">
        <v>0</v>
      </c>
      <c r="F43">
        <v>0</v>
      </c>
      <c r="G43" s="2">
        <v>2</v>
      </c>
      <c r="H43" s="2">
        <v>4</v>
      </c>
      <c r="I43">
        <v>2</v>
      </c>
      <c r="J43">
        <v>0</v>
      </c>
      <c r="K43" s="2">
        <v>2</v>
      </c>
      <c r="L43">
        <v>0</v>
      </c>
      <c r="M43" s="7">
        <v>0</v>
      </c>
      <c r="N43" s="7">
        <v>0</v>
      </c>
      <c r="O43">
        <v>0</v>
      </c>
      <c r="P43" t="s">
        <v>16</v>
      </c>
      <c r="Q43">
        <v>1</v>
      </c>
      <c r="R43" s="8">
        <f>(Tabela2[[#This Row],[FAF_atividade_fisica_frequente_em_horas]]+ 0.1)</f>
        <v>0.1</v>
      </c>
      <c r="S43" s="1">
        <f>(Tabela2[[#This Row],[TUE_tempo_uso_aparelhos_em_horas]]/Tabela2[[#This Row],[FAF_Var]])</f>
        <v>0</v>
      </c>
      <c r="T43">
        <f>(Tabela2[[#This Row],[CAEC_lanche_entre_refeicoes]]*Tabela2[[#This Row],[FAVC_consumo_frequente_de_alimentos_mt_caloricos]])</f>
        <v>0</v>
      </c>
      <c r="U43" s="1">
        <f>IF(OR(Tabela2[[#This Row],[MTRANS]]="Walking",Tabela2[[#This Row],[MTRANS]]="Bike"),Tabela2[[#This Row],[FAF_atividade_fisica_frequente_em_horas]]+1,M43)</f>
        <v>1</v>
      </c>
      <c r="V43">
        <f>(Tabela2[[#This Row],[SMOKE]]+Tabela2[[#This Row],[CALC_bebe_alcool_frequentemente]])</f>
        <v>0</v>
      </c>
      <c r="W43" s="8">
        <f>(Tabela2[[#This Row],[Weight]]/(Tabela2[[#This Row],[Height]] ^2))</f>
        <v>21.258503401360546</v>
      </c>
    </row>
    <row r="44" spans="1:23" x14ac:dyDescent="0.25">
      <c r="A44" t="s">
        <v>13</v>
      </c>
      <c r="B44" s="7">
        <v>21</v>
      </c>
      <c r="C44" s="4">
        <v>1.66</v>
      </c>
      <c r="D44" s="7">
        <v>64</v>
      </c>
      <c r="E44">
        <v>1</v>
      </c>
      <c r="F44">
        <v>1</v>
      </c>
      <c r="G44" s="2">
        <v>1</v>
      </c>
      <c r="H44" s="2">
        <v>3</v>
      </c>
      <c r="I44">
        <v>1</v>
      </c>
      <c r="J44">
        <v>0</v>
      </c>
      <c r="K44" s="2">
        <v>1</v>
      </c>
      <c r="L44">
        <v>0</v>
      </c>
      <c r="M44" s="7">
        <v>0</v>
      </c>
      <c r="N44" s="7">
        <v>0</v>
      </c>
      <c r="O44">
        <v>0</v>
      </c>
      <c r="P44" t="s">
        <v>14</v>
      </c>
      <c r="Q44">
        <v>1</v>
      </c>
      <c r="R44" s="8">
        <f>(Tabela2[[#This Row],[FAF_atividade_fisica_frequente_em_horas]]+ 0.1)</f>
        <v>0.1</v>
      </c>
      <c r="S44" s="1">
        <f>(Tabela2[[#This Row],[TUE_tempo_uso_aparelhos_em_horas]]/Tabela2[[#This Row],[FAF_Var]])</f>
        <v>0</v>
      </c>
      <c r="T44">
        <f>(Tabela2[[#This Row],[CAEC_lanche_entre_refeicoes]]*Tabela2[[#This Row],[FAVC_consumo_frequente_de_alimentos_mt_caloricos]])</f>
        <v>1</v>
      </c>
      <c r="U44" s="1">
        <f>IF(OR(Tabela2[[#This Row],[MTRANS]]="Walking",Tabela2[[#This Row],[MTRANS]]="Bike"),Tabela2[[#This Row],[FAF_atividade_fisica_frequente_em_horas]]+1,M44)</f>
        <v>0</v>
      </c>
      <c r="V44">
        <f>(Tabela2[[#This Row],[SMOKE]]+Tabela2[[#This Row],[CALC_bebe_alcool_frequentemente]])</f>
        <v>0</v>
      </c>
      <c r="W44" s="8">
        <f>(Tabela2[[#This Row],[Weight]]/(Tabela2[[#This Row],[Height]] ^2))</f>
        <v>23.225431847873423</v>
      </c>
    </row>
    <row r="45" spans="1:23" x14ac:dyDescent="0.25">
      <c r="A45" t="s">
        <v>15</v>
      </c>
      <c r="B45" s="7">
        <v>21</v>
      </c>
      <c r="C45" s="4">
        <v>1.66</v>
      </c>
      <c r="D45" s="7">
        <v>62</v>
      </c>
      <c r="E45">
        <v>1</v>
      </c>
      <c r="F45">
        <v>1</v>
      </c>
      <c r="G45" s="2">
        <v>2</v>
      </c>
      <c r="H45" s="2">
        <v>3</v>
      </c>
      <c r="I45">
        <v>1</v>
      </c>
      <c r="J45">
        <v>1</v>
      </c>
      <c r="K45" s="2">
        <v>2</v>
      </c>
      <c r="L45">
        <v>0</v>
      </c>
      <c r="M45" s="7">
        <v>1</v>
      </c>
      <c r="N45" s="7">
        <v>1</v>
      </c>
      <c r="O45">
        <v>2</v>
      </c>
      <c r="P45" t="s">
        <v>14</v>
      </c>
      <c r="Q45">
        <v>1</v>
      </c>
      <c r="R45" s="8">
        <f>(Tabela2[[#This Row],[FAF_atividade_fisica_frequente_em_horas]]+ 0.1)</f>
        <v>1.1000000000000001</v>
      </c>
      <c r="S45" s="1">
        <f>(Tabela2[[#This Row],[TUE_tempo_uso_aparelhos_em_horas]]/Tabela2[[#This Row],[FAF_Var]])</f>
        <v>0.90909090909090906</v>
      </c>
      <c r="T45">
        <f>(Tabela2[[#This Row],[CAEC_lanche_entre_refeicoes]]*Tabela2[[#This Row],[FAVC_consumo_frequente_de_alimentos_mt_caloricos]])</f>
        <v>1</v>
      </c>
      <c r="U45" s="1">
        <f>IF(OR(Tabela2[[#This Row],[MTRANS]]="Walking",Tabela2[[#This Row],[MTRANS]]="Bike"),Tabela2[[#This Row],[FAF_atividade_fisica_frequente_em_horas]]+1,M45)</f>
        <v>1</v>
      </c>
      <c r="V45">
        <f>(Tabela2[[#This Row],[SMOKE]]+Tabela2[[#This Row],[CALC_bebe_alcool_frequentemente]])</f>
        <v>3</v>
      </c>
      <c r="W45" s="8">
        <f>(Tabela2[[#This Row],[Weight]]/(Tabela2[[#This Row],[Height]] ^2))</f>
        <v>22.499637102627378</v>
      </c>
    </row>
    <row r="46" spans="1:23" x14ac:dyDescent="0.25">
      <c r="A46" t="s">
        <v>15</v>
      </c>
      <c r="B46" s="7">
        <v>21</v>
      </c>
      <c r="C46" s="4">
        <v>1.81</v>
      </c>
      <c r="D46" s="7">
        <v>80</v>
      </c>
      <c r="E46">
        <v>0</v>
      </c>
      <c r="F46">
        <v>0</v>
      </c>
      <c r="G46" s="2">
        <v>1</v>
      </c>
      <c r="H46" s="2">
        <v>3</v>
      </c>
      <c r="I46">
        <v>0</v>
      </c>
      <c r="J46">
        <v>0</v>
      </c>
      <c r="K46" s="2">
        <v>2</v>
      </c>
      <c r="L46">
        <v>0</v>
      </c>
      <c r="M46" s="7">
        <v>2</v>
      </c>
      <c r="N46" s="7">
        <v>0</v>
      </c>
      <c r="O46">
        <v>0</v>
      </c>
      <c r="P46" t="s">
        <v>14</v>
      </c>
      <c r="Q46">
        <v>1</v>
      </c>
      <c r="R46" s="8">
        <f>(Tabela2[[#This Row],[FAF_atividade_fisica_frequente_em_horas]]+ 0.1)</f>
        <v>2.1</v>
      </c>
      <c r="S46" s="1">
        <f>(Tabela2[[#This Row],[TUE_tempo_uso_aparelhos_em_horas]]/Tabela2[[#This Row],[FAF_Var]])</f>
        <v>0</v>
      </c>
      <c r="T46">
        <f>(Tabela2[[#This Row],[CAEC_lanche_entre_refeicoes]]*Tabela2[[#This Row],[FAVC_consumo_frequente_de_alimentos_mt_caloricos]])</f>
        <v>0</v>
      </c>
      <c r="U46" s="1">
        <f>IF(OR(Tabela2[[#This Row],[MTRANS]]="Walking",Tabela2[[#This Row],[MTRANS]]="Bike"),Tabela2[[#This Row],[FAF_atividade_fisica_frequente_em_horas]]+1,M46)</f>
        <v>2</v>
      </c>
      <c r="V46">
        <f>(Tabela2[[#This Row],[SMOKE]]+Tabela2[[#This Row],[CALC_bebe_alcool_frequentemente]])</f>
        <v>0</v>
      </c>
      <c r="W46" s="8">
        <f>(Tabela2[[#This Row],[Weight]]/(Tabela2[[#This Row],[Height]] ^2))</f>
        <v>24.419279020786909</v>
      </c>
    </row>
    <row r="47" spans="1:23" x14ac:dyDescent="0.25">
      <c r="A47" t="s">
        <v>13</v>
      </c>
      <c r="B47" s="7">
        <v>21</v>
      </c>
      <c r="C47" s="4">
        <v>1.53</v>
      </c>
      <c r="D47" s="7">
        <v>65</v>
      </c>
      <c r="E47">
        <v>1</v>
      </c>
      <c r="F47">
        <v>0</v>
      </c>
      <c r="G47" s="2">
        <v>2</v>
      </c>
      <c r="H47" s="2">
        <v>3</v>
      </c>
      <c r="I47">
        <v>1</v>
      </c>
      <c r="J47">
        <v>0</v>
      </c>
      <c r="K47" s="2">
        <v>1</v>
      </c>
      <c r="L47">
        <v>0</v>
      </c>
      <c r="M47" s="7">
        <v>0</v>
      </c>
      <c r="N47" s="7">
        <v>1</v>
      </c>
      <c r="O47">
        <v>0</v>
      </c>
      <c r="P47" t="s">
        <v>14</v>
      </c>
      <c r="Q47">
        <v>3</v>
      </c>
      <c r="R47" s="8">
        <f>(Tabela2[[#This Row],[FAF_atividade_fisica_frequente_em_horas]]+ 0.1)</f>
        <v>0.1</v>
      </c>
      <c r="S47" s="1">
        <f>(Tabela2[[#This Row],[TUE_tempo_uso_aparelhos_em_horas]]/Tabela2[[#This Row],[FAF_Var]])</f>
        <v>10</v>
      </c>
      <c r="T47">
        <f>(Tabela2[[#This Row],[CAEC_lanche_entre_refeicoes]]*Tabela2[[#This Row],[FAVC_consumo_frequente_de_alimentos_mt_caloricos]])</f>
        <v>0</v>
      </c>
      <c r="U47" s="1">
        <f>IF(OR(Tabela2[[#This Row],[MTRANS]]="Walking",Tabela2[[#This Row],[MTRANS]]="Bike"),Tabela2[[#This Row],[FAF_atividade_fisica_frequente_em_horas]]+1,M47)</f>
        <v>0</v>
      </c>
      <c r="V47">
        <f>(Tabela2[[#This Row],[SMOKE]]+Tabela2[[#This Row],[CALC_bebe_alcool_frequentemente]])</f>
        <v>0</v>
      </c>
      <c r="W47" s="8">
        <f>(Tabela2[[#This Row],[Weight]]/(Tabela2[[#This Row],[Height]] ^2))</f>
        <v>27.767098124652911</v>
      </c>
    </row>
    <row r="48" spans="1:23" x14ac:dyDescent="0.25">
      <c r="A48" t="s">
        <v>15</v>
      </c>
      <c r="B48" s="7">
        <v>21</v>
      </c>
      <c r="C48" s="4">
        <v>1.82</v>
      </c>
      <c r="D48" s="7">
        <v>72</v>
      </c>
      <c r="E48">
        <v>1</v>
      </c>
      <c r="F48">
        <v>1</v>
      </c>
      <c r="G48" s="2">
        <v>1</v>
      </c>
      <c r="H48" s="2">
        <v>3</v>
      </c>
      <c r="I48">
        <v>2</v>
      </c>
      <c r="J48">
        <v>0</v>
      </c>
      <c r="K48" s="2">
        <v>3</v>
      </c>
      <c r="L48">
        <v>0</v>
      </c>
      <c r="M48" s="7">
        <v>2</v>
      </c>
      <c r="N48" s="7">
        <v>0</v>
      </c>
      <c r="O48">
        <v>1</v>
      </c>
      <c r="P48" t="s">
        <v>14</v>
      </c>
      <c r="Q48">
        <v>1</v>
      </c>
      <c r="R48" s="8">
        <f>(Tabela2[[#This Row],[FAF_atividade_fisica_frequente_em_horas]]+ 0.1)</f>
        <v>2.1</v>
      </c>
      <c r="S48" s="1">
        <f>(Tabela2[[#This Row],[TUE_tempo_uso_aparelhos_em_horas]]/Tabela2[[#This Row],[FAF_Var]])</f>
        <v>0</v>
      </c>
      <c r="T48">
        <f>(Tabela2[[#This Row],[CAEC_lanche_entre_refeicoes]]*Tabela2[[#This Row],[FAVC_consumo_frequente_de_alimentos_mt_caloricos]])</f>
        <v>2</v>
      </c>
      <c r="U48" s="1">
        <f>IF(OR(Tabela2[[#This Row],[MTRANS]]="Walking",Tabela2[[#This Row],[MTRANS]]="Bike"),Tabela2[[#This Row],[FAF_atividade_fisica_frequente_em_horas]]+1,M48)</f>
        <v>2</v>
      </c>
      <c r="V48">
        <f>(Tabela2[[#This Row],[SMOKE]]+Tabela2[[#This Row],[CALC_bebe_alcool_frequentemente]])</f>
        <v>1</v>
      </c>
      <c r="W48" s="8">
        <f>(Tabela2[[#This Row],[Weight]]/(Tabela2[[#This Row],[Height]] ^2))</f>
        <v>21.736505252988767</v>
      </c>
    </row>
    <row r="49" spans="1:23" x14ac:dyDescent="0.25">
      <c r="A49" t="s">
        <v>15</v>
      </c>
      <c r="B49" s="7">
        <v>21</v>
      </c>
      <c r="C49" s="4">
        <v>1.75</v>
      </c>
      <c r="D49" s="7">
        <v>72</v>
      </c>
      <c r="E49">
        <v>1</v>
      </c>
      <c r="F49">
        <v>1</v>
      </c>
      <c r="G49" s="2">
        <v>1</v>
      </c>
      <c r="H49" s="2">
        <v>3</v>
      </c>
      <c r="I49">
        <v>2</v>
      </c>
      <c r="J49">
        <v>0</v>
      </c>
      <c r="K49" s="2">
        <v>3</v>
      </c>
      <c r="L49">
        <v>0</v>
      </c>
      <c r="M49" s="7">
        <v>2</v>
      </c>
      <c r="N49" s="7">
        <v>0</v>
      </c>
      <c r="O49">
        <v>1</v>
      </c>
      <c r="P49" t="s">
        <v>14</v>
      </c>
      <c r="Q49">
        <v>1</v>
      </c>
      <c r="R49" s="8">
        <f>(Tabela2[[#This Row],[FAF_atividade_fisica_frequente_em_horas]]+ 0.1)</f>
        <v>2.1</v>
      </c>
      <c r="S49" s="1">
        <f>(Tabela2[[#This Row],[TUE_tempo_uso_aparelhos_em_horas]]/Tabela2[[#This Row],[FAF_Var]])</f>
        <v>0</v>
      </c>
      <c r="T49">
        <f>(Tabela2[[#This Row],[CAEC_lanche_entre_refeicoes]]*Tabela2[[#This Row],[FAVC_consumo_frequente_de_alimentos_mt_caloricos]])</f>
        <v>2</v>
      </c>
      <c r="U49" s="1">
        <f>IF(OR(Tabela2[[#This Row],[MTRANS]]="Walking",Tabela2[[#This Row],[MTRANS]]="Bike"),Tabela2[[#This Row],[FAF_atividade_fisica_frequente_em_horas]]+1,M49)</f>
        <v>2</v>
      </c>
      <c r="V49">
        <f>(Tabela2[[#This Row],[SMOKE]]+Tabela2[[#This Row],[CALC_bebe_alcool_frequentemente]])</f>
        <v>1</v>
      </c>
      <c r="W49" s="8">
        <f>(Tabela2[[#This Row],[Weight]]/(Tabela2[[#This Row],[Height]] ^2))</f>
        <v>23.510204081632654</v>
      </c>
    </row>
    <row r="50" spans="1:23" x14ac:dyDescent="0.25">
      <c r="A50" t="s">
        <v>13</v>
      </c>
      <c r="B50" s="7">
        <v>20</v>
      </c>
      <c r="C50" s="4">
        <v>1.66</v>
      </c>
      <c r="D50" s="7">
        <v>60</v>
      </c>
      <c r="E50">
        <v>1</v>
      </c>
      <c r="F50">
        <v>0</v>
      </c>
      <c r="G50" s="2">
        <v>3</v>
      </c>
      <c r="H50" s="2">
        <v>3</v>
      </c>
      <c r="I50">
        <v>1</v>
      </c>
      <c r="J50">
        <v>0</v>
      </c>
      <c r="K50" s="2">
        <v>2</v>
      </c>
      <c r="L50">
        <v>0</v>
      </c>
      <c r="M50" s="7">
        <v>1</v>
      </c>
      <c r="N50" s="7">
        <v>0</v>
      </c>
      <c r="O50">
        <v>1</v>
      </c>
      <c r="P50" t="s">
        <v>16</v>
      </c>
      <c r="Q50">
        <v>1</v>
      </c>
      <c r="R50" s="8">
        <f>(Tabela2[[#This Row],[FAF_atividade_fisica_frequente_em_horas]]+ 0.1)</f>
        <v>1.1000000000000001</v>
      </c>
      <c r="S50" s="1">
        <f>(Tabela2[[#This Row],[TUE_tempo_uso_aparelhos_em_horas]]/Tabela2[[#This Row],[FAF_Var]])</f>
        <v>0</v>
      </c>
      <c r="T50">
        <f>(Tabela2[[#This Row],[CAEC_lanche_entre_refeicoes]]*Tabela2[[#This Row],[FAVC_consumo_frequente_de_alimentos_mt_caloricos]])</f>
        <v>0</v>
      </c>
      <c r="U50" s="1">
        <f>IF(OR(Tabela2[[#This Row],[MTRANS]]="Walking",Tabela2[[#This Row],[MTRANS]]="Bike"),Tabela2[[#This Row],[FAF_atividade_fisica_frequente_em_horas]]+1,M50)</f>
        <v>2</v>
      </c>
      <c r="V50">
        <f>(Tabela2[[#This Row],[SMOKE]]+Tabela2[[#This Row],[CALC_bebe_alcool_frequentemente]])</f>
        <v>1</v>
      </c>
      <c r="W50" s="8">
        <f>(Tabela2[[#This Row],[Weight]]/(Tabela2[[#This Row],[Height]] ^2))</f>
        <v>21.773842357381334</v>
      </c>
    </row>
    <row r="51" spans="1:23" x14ac:dyDescent="0.25">
      <c r="A51" t="s">
        <v>13</v>
      </c>
      <c r="B51" s="7">
        <v>21</v>
      </c>
      <c r="C51" s="4">
        <v>1.55</v>
      </c>
      <c r="D51" s="7">
        <v>50</v>
      </c>
      <c r="E51">
        <v>0</v>
      </c>
      <c r="F51">
        <v>1</v>
      </c>
      <c r="G51" s="2">
        <v>2</v>
      </c>
      <c r="H51" s="2">
        <v>3</v>
      </c>
      <c r="I51">
        <v>1</v>
      </c>
      <c r="J51">
        <v>0</v>
      </c>
      <c r="K51" s="2">
        <v>2</v>
      </c>
      <c r="L51">
        <v>0</v>
      </c>
      <c r="M51" s="7">
        <v>0</v>
      </c>
      <c r="N51" s="7">
        <v>0</v>
      </c>
      <c r="O51">
        <v>1</v>
      </c>
      <c r="P51" t="s">
        <v>14</v>
      </c>
      <c r="Q51">
        <v>1</v>
      </c>
      <c r="R51" s="8">
        <f>(Tabela2[[#This Row],[FAF_atividade_fisica_frequente_em_horas]]+ 0.1)</f>
        <v>0.1</v>
      </c>
      <c r="S51" s="1">
        <f>(Tabela2[[#This Row],[TUE_tempo_uso_aparelhos_em_horas]]/Tabela2[[#This Row],[FAF_Var]])</f>
        <v>0</v>
      </c>
      <c r="T51">
        <f>(Tabela2[[#This Row],[CAEC_lanche_entre_refeicoes]]*Tabela2[[#This Row],[FAVC_consumo_frequente_de_alimentos_mt_caloricos]])</f>
        <v>1</v>
      </c>
      <c r="U51" s="1">
        <f>IF(OR(Tabela2[[#This Row],[MTRANS]]="Walking",Tabela2[[#This Row],[MTRANS]]="Bike"),Tabela2[[#This Row],[FAF_atividade_fisica_frequente_em_horas]]+1,M51)</f>
        <v>0</v>
      </c>
      <c r="V51">
        <f>(Tabela2[[#This Row],[SMOKE]]+Tabela2[[#This Row],[CALC_bebe_alcool_frequentemente]])</f>
        <v>1</v>
      </c>
      <c r="W51" s="8">
        <f>(Tabela2[[#This Row],[Weight]]/(Tabela2[[#This Row],[Height]] ^2))</f>
        <v>20.811654526534856</v>
      </c>
    </row>
    <row r="52" spans="1:23" x14ac:dyDescent="0.25">
      <c r="A52" t="s">
        <v>13</v>
      </c>
      <c r="B52" s="7">
        <v>21</v>
      </c>
      <c r="C52" s="4">
        <v>1.61</v>
      </c>
      <c r="D52" s="7">
        <v>54.5</v>
      </c>
      <c r="E52">
        <v>1</v>
      </c>
      <c r="F52">
        <v>1</v>
      </c>
      <c r="G52" s="2">
        <v>3</v>
      </c>
      <c r="H52" s="2">
        <v>3</v>
      </c>
      <c r="I52">
        <v>1</v>
      </c>
      <c r="J52">
        <v>0</v>
      </c>
      <c r="K52" s="2">
        <v>3</v>
      </c>
      <c r="L52">
        <v>0</v>
      </c>
      <c r="M52" s="7">
        <v>0</v>
      </c>
      <c r="N52" s="7">
        <v>1</v>
      </c>
      <c r="O52">
        <v>1</v>
      </c>
      <c r="P52" t="s">
        <v>16</v>
      </c>
      <c r="Q52">
        <v>1</v>
      </c>
      <c r="R52" s="8">
        <f>(Tabela2[[#This Row],[FAF_atividade_fisica_frequente_em_horas]]+ 0.1)</f>
        <v>0.1</v>
      </c>
      <c r="S52" s="1">
        <f>(Tabela2[[#This Row],[TUE_tempo_uso_aparelhos_em_horas]]/Tabela2[[#This Row],[FAF_Var]])</f>
        <v>10</v>
      </c>
      <c r="T52">
        <f>(Tabela2[[#This Row],[CAEC_lanche_entre_refeicoes]]*Tabela2[[#This Row],[FAVC_consumo_frequente_de_alimentos_mt_caloricos]])</f>
        <v>1</v>
      </c>
      <c r="U52" s="1">
        <f>IF(OR(Tabela2[[#This Row],[MTRANS]]="Walking",Tabela2[[#This Row],[MTRANS]]="Bike"),Tabela2[[#This Row],[FAF_atividade_fisica_frequente_em_horas]]+1,M52)</f>
        <v>1</v>
      </c>
      <c r="V52">
        <f>(Tabela2[[#This Row],[SMOKE]]+Tabela2[[#This Row],[CALC_bebe_alcool_frequentemente]])</f>
        <v>1</v>
      </c>
      <c r="W52" s="8">
        <f>(Tabela2[[#This Row],[Weight]]/(Tabela2[[#This Row],[Height]] ^2))</f>
        <v>21.025423401874924</v>
      </c>
    </row>
    <row r="53" spans="1:23" x14ac:dyDescent="0.25">
      <c r="A53" t="s">
        <v>13</v>
      </c>
      <c r="B53" s="7">
        <v>20</v>
      </c>
      <c r="C53" s="4">
        <v>1.5</v>
      </c>
      <c r="D53" s="7">
        <v>44</v>
      </c>
      <c r="E53">
        <v>0</v>
      </c>
      <c r="F53">
        <v>1</v>
      </c>
      <c r="G53" s="2">
        <v>2</v>
      </c>
      <c r="H53" s="2">
        <v>3</v>
      </c>
      <c r="I53">
        <v>1</v>
      </c>
      <c r="J53">
        <v>0</v>
      </c>
      <c r="K53" s="2">
        <v>1</v>
      </c>
      <c r="L53">
        <v>0</v>
      </c>
      <c r="M53" s="7">
        <v>0</v>
      </c>
      <c r="N53" s="7">
        <v>0</v>
      </c>
      <c r="O53">
        <v>1</v>
      </c>
      <c r="P53" t="s">
        <v>17</v>
      </c>
      <c r="Q53">
        <v>1</v>
      </c>
      <c r="R53" s="8">
        <f>(Tabela2[[#This Row],[FAF_atividade_fisica_frequente_em_horas]]+ 0.1)</f>
        <v>0.1</v>
      </c>
      <c r="S53" s="1">
        <f>(Tabela2[[#This Row],[TUE_tempo_uso_aparelhos_em_horas]]/Tabela2[[#This Row],[FAF_Var]])</f>
        <v>0</v>
      </c>
      <c r="T53">
        <f>(Tabela2[[#This Row],[CAEC_lanche_entre_refeicoes]]*Tabela2[[#This Row],[FAVC_consumo_frequente_de_alimentos_mt_caloricos]])</f>
        <v>1</v>
      </c>
      <c r="U53" s="1">
        <f>IF(OR(Tabela2[[#This Row],[MTRANS]]="Walking",Tabela2[[#This Row],[MTRANS]]="Bike"),Tabela2[[#This Row],[FAF_atividade_fisica_frequente_em_horas]]+1,M53)</f>
        <v>0</v>
      </c>
      <c r="V53">
        <f>(Tabela2[[#This Row],[SMOKE]]+Tabela2[[#This Row],[CALC_bebe_alcool_frequentemente]])</f>
        <v>1</v>
      </c>
      <c r="W53" s="8">
        <f>(Tabela2[[#This Row],[Weight]]/(Tabela2[[#This Row],[Height]] ^2))</f>
        <v>19.555555555555557</v>
      </c>
    </row>
    <row r="54" spans="1:23" x14ac:dyDescent="0.25">
      <c r="A54" t="s">
        <v>13</v>
      </c>
      <c r="B54" s="7">
        <v>23</v>
      </c>
      <c r="C54" s="4">
        <v>1.64</v>
      </c>
      <c r="D54" s="7">
        <v>52</v>
      </c>
      <c r="E54">
        <v>0</v>
      </c>
      <c r="F54">
        <v>1</v>
      </c>
      <c r="G54" s="2">
        <v>3</v>
      </c>
      <c r="H54" s="2">
        <v>1</v>
      </c>
      <c r="I54">
        <v>1</v>
      </c>
      <c r="J54">
        <v>0</v>
      </c>
      <c r="K54" s="2">
        <v>2</v>
      </c>
      <c r="L54">
        <v>0</v>
      </c>
      <c r="M54" s="7">
        <v>2</v>
      </c>
      <c r="N54" s="7">
        <v>2</v>
      </c>
      <c r="O54">
        <v>0</v>
      </c>
      <c r="P54" t="s">
        <v>14</v>
      </c>
      <c r="Q54">
        <v>1</v>
      </c>
      <c r="R54" s="8">
        <f>(Tabela2[[#This Row],[FAF_atividade_fisica_frequente_em_horas]]+ 0.1)</f>
        <v>2.1</v>
      </c>
      <c r="S54" s="1">
        <f>(Tabela2[[#This Row],[TUE_tempo_uso_aparelhos_em_horas]]/Tabela2[[#This Row],[FAF_Var]])</f>
        <v>0.95238095238095233</v>
      </c>
      <c r="T54">
        <f>(Tabela2[[#This Row],[CAEC_lanche_entre_refeicoes]]*Tabela2[[#This Row],[FAVC_consumo_frequente_de_alimentos_mt_caloricos]])</f>
        <v>1</v>
      </c>
      <c r="U54" s="1">
        <f>IF(OR(Tabela2[[#This Row],[MTRANS]]="Walking",Tabela2[[#This Row],[MTRANS]]="Bike"),Tabela2[[#This Row],[FAF_atividade_fisica_frequente_em_horas]]+1,M54)</f>
        <v>2</v>
      </c>
      <c r="V54">
        <f>(Tabela2[[#This Row],[SMOKE]]+Tabela2[[#This Row],[CALC_bebe_alcool_frequentemente]])</f>
        <v>0</v>
      </c>
      <c r="W54" s="8">
        <f>(Tabela2[[#This Row],[Weight]]/(Tabela2[[#This Row],[Height]] ^2))</f>
        <v>19.333729922665082</v>
      </c>
    </row>
    <row r="55" spans="1:23" x14ac:dyDescent="0.25">
      <c r="A55" t="s">
        <v>13</v>
      </c>
      <c r="B55" s="7">
        <v>23</v>
      </c>
      <c r="C55" s="4">
        <v>1.63</v>
      </c>
      <c r="D55" s="7">
        <v>55</v>
      </c>
      <c r="E55">
        <v>1</v>
      </c>
      <c r="F55">
        <v>0</v>
      </c>
      <c r="G55" s="2">
        <v>3</v>
      </c>
      <c r="H55" s="2">
        <v>3</v>
      </c>
      <c r="I55">
        <v>0</v>
      </c>
      <c r="J55">
        <v>0</v>
      </c>
      <c r="K55" s="2">
        <v>2</v>
      </c>
      <c r="L55">
        <v>1</v>
      </c>
      <c r="M55" s="7">
        <v>2</v>
      </c>
      <c r="N55" s="7">
        <v>1</v>
      </c>
      <c r="O55">
        <v>0</v>
      </c>
      <c r="P55" t="s">
        <v>14</v>
      </c>
      <c r="Q55">
        <v>1</v>
      </c>
      <c r="R55" s="8">
        <f>(Tabela2[[#This Row],[FAF_atividade_fisica_frequente_em_horas]]+ 0.1)</f>
        <v>2.1</v>
      </c>
      <c r="S55" s="1">
        <f>(Tabela2[[#This Row],[TUE_tempo_uso_aparelhos_em_horas]]/Tabela2[[#This Row],[FAF_Var]])</f>
        <v>0.47619047619047616</v>
      </c>
      <c r="T55">
        <f>(Tabela2[[#This Row],[CAEC_lanche_entre_refeicoes]]*Tabela2[[#This Row],[FAVC_consumo_frequente_de_alimentos_mt_caloricos]])</f>
        <v>0</v>
      </c>
      <c r="U55" s="1">
        <f>IF(OR(Tabela2[[#This Row],[MTRANS]]="Walking",Tabela2[[#This Row],[MTRANS]]="Bike"),Tabela2[[#This Row],[FAF_atividade_fisica_frequente_em_horas]]+1,M55)</f>
        <v>2</v>
      </c>
      <c r="V55">
        <f>(Tabela2[[#This Row],[SMOKE]]+Tabela2[[#This Row],[CALC_bebe_alcool_frequentemente]])</f>
        <v>0</v>
      </c>
      <c r="W55" s="8">
        <f>(Tabela2[[#This Row],[Weight]]/(Tabela2[[#This Row],[Height]] ^2))</f>
        <v>20.700816741315069</v>
      </c>
    </row>
    <row r="56" spans="1:23" x14ac:dyDescent="0.25">
      <c r="A56" t="s">
        <v>13</v>
      </c>
      <c r="B56" s="7">
        <v>22</v>
      </c>
      <c r="C56" s="4">
        <v>1.6</v>
      </c>
      <c r="D56" s="7">
        <v>55</v>
      </c>
      <c r="E56">
        <v>0</v>
      </c>
      <c r="F56">
        <v>0</v>
      </c>
      <c r="G56" s="2">
        <v>3</v>
      </c>
      <c r="H56" s="2">
        <v>4</v>
      </c>
      <c r="I56">
        <v>3</v>
      </c>
      <c r="J56">
        <v>0</v>
      </c>
      <c r="K56" s="2">
        <v>3</v>
      </c>
      <c r="L56">
        <v>0</v>
      </c>
      <c r="M56" s="7">
        <v>2</v>
      </c>
      <c r="N56" s="7">
        <v>0</v>
      </c>
      <c r="O56">
        <v>0</v>
      </c>
      <c r="P56" t="s">
        <v>14</v>
      </c>
      <c r="Q56">
        <v>1</v>
      </c>
      <c r="R56" s="8">
        <f>(Tabela2[[#This Row],[FAF_atividade_fisica_frequente_em_horas]]+ 0.1)</f>
        <v>2.1</v>
      </c>
      <c r="S56" s="1">
        <f>(Tabela2[[#This Row],[TUE_tempo_uso_aparelhos_em_horas]]/Tabela2[[#This Row],[FAF_Var]])</f>
        <v>0</v>
      </c>
      <c r="T56">
        <f>(Tabela2[[#This Row],[CAEC_lanche_entre_refeicoes]]*Tabela2[[#This Row],[FAVC_consumo_frequente_de_alimentos_mt_caloricos]])</f>
        <v>0</v>
      </c>
      <c r="U56" s="1">
        <f>IF(OR(Tabela2[[#This Row],[MTRANS]]="Walking",Tabela2[[#This Row],[MTRANS]]="Bike"),Tabela2[[#This Row],[FAF_atividade_fisica_frequente_em_horas]]+1,M56)</f>
        <v>2</v>
      </c>
      <c r="V56">
        <f>(Tabela2[[#This Row],[SMOKE]]+Tabela2[[#This Row],[CALC_bebe_alcool_frequentemente]])</f>
        <v>0</v>
      </c>
      <c r="W56" s="8">
        <f>(Tabela2[[#This Row],[Weight]]/(Tabela2[[#This Row],[Height]] ^2))</f>
        <v>21.484374999999996</v>
      </c>
    </row>
    <row r="57" spans="1:23" x14ac:dyDescent="0.25">
      <c r="A57" t="s">
        <v>15</v>
      </c>
      <c r="B57" s="7">
        <v>23</v>
      </c>
      <c r="C57" s="4">
        <v>1.68</v>
      </c>
      <c r="D57" s="7">
        <v>62</v>
      </c>
      <c r="E57">
        <v>0</v>
      </c>
      <c r="F57">
        <v>0</v>
      </c>
      <c r="G57" s="2">
        <v>2</v>
      </c>
      <c r="H57" s="2">
        <v>4</v>
      </c>
      <c r="I57">
        <v>2</v>
      </c>
      <c r="J57">
        <v>0</v>
      </c>
      <c r="K57" s="2">
        <v>2</v>
      </c>
      <c r="L57">
        <v>0</v>
      </c>
      <c r="M57" s="7">
        <v>0</v>
      </c>
      <c r="N57" s="7">
        <v>0</v>
      </c>
      <c r="O57">
        <v>1</v>
      </c>
      <c r="P57" t="s">
        <v>17</v>
      </c>
      <c r="Q57">
        <v>1</v>
      </c>
      <c r="R57" s="8">
        <f>(Tabela2[[#This Row],[FAF_atividade_fisica_frequente_em_horas]]+ 0.1)</f>
        <v>0.1</v>
      </c>
      <c r="S57" s="1">
        <f>(Tabela2[[#This Row],[TUE_tempo_uso_aparelhos_em_horas]]/Tabela2[[#This Row],[FAF_Var]])</f>
        <v>0</v>
      </c>
      <c r="T57">
        <f>(Tabela2[[#This Row],[CAEC_lanche_entre_refeicoes]]*Tabela2[[#This Row],[FAVC_consumo_frequente_de_alimentos_mt_caloricos]])</f>
        <v>0</v>
      </c>
      <c r="U57" s="1">
        <f>IF(OR(Tabela2[[#This Row],[MTRANS]]="Walking",Tabela2[[#This Row],[MTRANS]]="Bike"),Tabela2[[#This Row],[FAF_atividade_fisica_frequente_em_horas]]+1,M57)</f>
        <v>0</v>
      </c>
      <c r="V57">
        <f>(Tabela2[[#This Row],[SMOKE]]+Tabela2[[#This Row],[CALC_bebe_alcool_frequentemente]])</f>
        <v>1</v>
      </c>
      <c r="W57" s="8">
        <f>(Tabela2[[#This Row],[Weight]]/(Tabela2[[#This Row],[Height]] ^2))</f>
        <v>21.9671201814059</v>
      </c>
    </row>
    <row r="58" spans="1:23" x14ac:dyDescent="0.25">
      <c r="A58" t="s">
        <v>15</v>
      </c>
      <c r="B58" s="7">
        <v>22</v>
      </c>
      <c r="C58" s="4">
        <v>1.7</v>
      </c>
      <c r="D58" s="7">
        <v>70</v>
      </c>
      <c r="E58">
        <v>1</v>
      </c>
      <c r="F58">
        <v>1</v>
      </c>
      <c r="G58" s="2">
        <v>2</v>
      </c>
      <c r="H58" s="2">
        <v>3</v>
      </c>
      <c r="I58">
        <v>1</v>
      </c>
      <c r="J58">
        <v>0</v>
      </c>
      <c r="K58" s="2">
        <v>1</v>
      </c>
      <c r="L58">
        <v>0</v>
      </c>
      <c r="M58" s="7">
        <v>0</v>
      </c>
      <c r="N58" s="7">
        <v>1</v>
      </c>
      <c r="O58">
        <v>1</v>
      </c>
      <c r="P58" t="s">
        <v>17</v>
      </c>
      <c r="Q58">
        <v>1</v>
      </c>
      <c r="R58" s="8">
        <f>(Tabela2[[#This Row],[FAF_atividade_fisica_frequente_em_horas]]+ 0.1)</f>
        <v>0.1</v>
      </c>
      <c r="S58" s="1">
        <f>(Tabela2[[#This Row],[TUE_tempo_uso_aparelhos_em_horas]]/Tabela2[[#This Row],[FAF_Var]])</f>
        <v>10</v>
      </c>
      <c r="T58">
        <f>(Tabela2[[#This Row],[CAEC_lanche_entre_refeicoes]]*Tabela2[[#This Row],[FAVC_consumo_frequente_de_alimentos_mt_caloricos]])</f>
        <v>1</v>
      </c>
      <c r="U58" s="1">
        <f>IF(OR(Tabela2[[#This Row],[MTRANS]]="Walking",Tabela2[[#This Row],[MTRANS]]="Bike"),Tabela2[[#This Row],[FAF_atividade_fisica_frequente_em_horas]]+1,M58)</f>
        <v>0</v>
      </c>
      <c r="V58">
        <f>(Tabela2[[#This Row],[SMOKE]]+Tabela2[[#This Row],[CALC_bebe_alcool_frequentemente]])</f>
        <v>1</v>
      </c>
      <c r="W58" s="8">
        <f>(Tabela2[[#This Row],[Weight]]/(Tabela2[[#This Row],[Height]] ^2))</f>
        <v>24.221453287197235</v>
      </c>
    </row>
    <row r="59" spans="1:23" x14ac:dyDescent="0.25">
      <c r="A59" t="s">
        <v>15</v>
      </c>
      <c r="B59" s="7">
        <v>21</v>
      </c>
      <c r="C59" s="4">
        <v>1.64</v>
      </c>
      <c r="D59" s="7">
        <v>65</v>
      </c>
      <c r="E59">
        <v>1</v>
      </c>
      <c r="F59">
        <v>0</v>
      </c>
      <c r="G59" s="2">
        <v>2</v>
      </c>
      <c r="H59" s="2">
        <v>3</v>
      </c>
      <c r="I59">
        <v>1</v>
      </c>
      <c r="J59">
        <v>0</v>
      </c>
      <c r="K59" s="2">
        <v>1</v>
      </c>
      <c r="L59">
        <v>0</v>
      </c>
      <c r="M59" s="7">
        <v>0</v>
      </c>
      <c r="N59" s="7">
        <v>1</v>
      </c>
      <c r="O59">
        <v>0</v>
      </c>
      <c r="P59" t="s">
        <v>14</v>
      </c>
      <c r="Q59">
        <v>1</v>
      </c>
      <c r="R59" s="8">
        <f>(Tabela2[[#This Row],[FAF_atividade_fisica_frequente_em_horas]]+ 0.1)</f>
        <v>0.1</v>
      </c>
      <c r="S59" s="1">
        <f>(Tabela2[[#This Row],[TUE_tempo_uso_aparelhos_em_horas]]/Tabela2[[#This Row],[FAF_Var]])</f>
        <v>10</v>
      </c>
      <c r="T59">
        <f>(Tabela2[[#This Row],[CAEC_lanche_entre_refeicoes]]*Tabela2[[#This Row],[FAVC_consumo_frequente_de_alimentos_mt_caloricos]])</f>
        <v>0</v>
      </c>
      <c r="U59" s="1">
        <f>IF(OR(Tabela2[[#This Row],[MTRANS]]="Walking",Tabela2[[#This Row],[MTRANS]]="Bike"),Tabela2[[#This Row],[FAF_atividade_fisica_frequente_em_horas]]+1,M59)</f>
        <v>0</v>
      </c>
      <c r="V59">
        <f>(Tabela2[[#This Row],[SMOKE]]+Tabela2[[#This Row],[CALC_bebe_alcool_frequentemente]])</f>
        <v>0</v>
      </c>
      <c r="W59" s="8">
        <f>(Tabela2[[#This Row],[Weight]]/(Tabela2[[#This Row],[Height]] ^2))</f>
        <v>24.167162403331353</v>
      </c>
    </row>
    <row r="60" spans="1:23" x14ac:dyDescent="0.25">
      <c r="A60" t="s">
        <v>13</v>
      </c>
      <c r="B60" s="7">
        <v>17</v>
      </c>
      <c r="C60" s="4">
        <v>1.65</v>
      </c>
      <c r="D60" s="7">
        <v>67</v>
      </c>
      <c r="E60">
        <v>1</v>
      </c>
      <c r="F60">
        <v>1</v>
      </c>
      <c r="G60" s="2">
        <v>3</v>
      </c>
      <c r="H60" s="2">
        <v>1</v>
      </c>
      <c r="I60">
        <v>1</v>
      </c>
      <c r="J60">
        <v>0</v>
      </c>
      <c r="K60" s="2">
        <v>2</v>
      </c>
      <c r="L60">
        <v>0</v>
      </c>
      <c r="M60" s="7">
        <v>1</v>
      </c>
      <c r="N60" s="7">
        <v>1</v>
      </c>
      <c r="O60">
        <v>0</v>
      </c>
      <c r="P60" t="s">
        <v>16</v>
      </c>
      <c r="Q60">
        <v>1</v>
      </c>
      <c r="R60" s="8">
        <f>(Tabela2[[#This Row],[FAF_atividade_fisica_frequente_em_horas]]+ 0.1)</f>
        <v>1.1000000000000001</v>
      </c>
      <c r="S60" s="1">
        <f>(Tabela2[[#This Row],[TUE_tempo_uso_aparelhos_em_horas]]/Tabela2[[#This Row],[FAF_Var]])</f>
        <v>0.90909090909090906</v>
      </c>
      <c r="T60">
        <f>(Tabela2[[#This Row],[CAEC_lanche_entre_refeicoes]]*Tabela2[[#This Row],[FAVC_consumo_frequente_de_alimentos_mt_caloricos]])</f>
        <v>1</v>
      </c>
      <c r="U60" s="1">
        <f>IF(OR(Tabela2[[#This Row],[MTRANS]]="Walking",Tabela2[[#This Row],[MTRANS]]="Bike"),Tabela2[[#This Row],[FAF_atividade_fisica_frequente_em_horas]]+1,M60)</f>
        <v>2</v>
      </c>
      <c r="V60">
        <f>(Tabela2[[#This Row],[SMOKE]]+Tabela2[[#This Row],[CALC_bebe_alcool_frequentemente]])</f>
        <v>0</v>
      </c>
      <c r="W60" s="8">
        <f>(Tabela2[[#This Row],[Weight]]/(Tabela2[[#This Row],[Height]] ^2))</f>
        <v>24.609733700642796</v>
      </c>
    </row>
    <row r="61" spans="1:23" x14ac:dyDescent="0.25">
      <c r="A61" t="s">
        <v>15</v>
      </c>
      <c r="B61" s="7">
        <v>20</v>
      </c>
      <c r="C61" s="4">
        <v>1.76</v>
      </c>
      <c r="D61" s="7">
        <v>55</v>
      </c>
      <c r="E61">
        <v>1</v>
      </c>
      <c r="F61">
        <v>1</v>
      </c>
      <c r="G61" s="2">
        <v>2</v>
      </c>
      <c r="H61" s="2">
        <v>4</v>
      </c>
      <c r="I61">
        <v>1</v>
      </c>
      <c r="J61">
        <v>0</v>
      </c>
      <c r="K61" s="2">
        <v>3</v>
      </c>
      <c r="L61">
        <v>0</v>
      </c>
      <c r="M61" s="7">
        <v>2</v>
      </c>
      <c r="N61" s="7">
        <v>2</v>
      </c>
      <c r="O61">
        <v>0</v>
      </c>
      <c r="P61" t="s">
        <v>14</v>
      </c>
      <c r="Q61">
        <v>0</v>
      </c>
      <c r="R61" s="8">
        <f>(Tabela2[[#This Row],[FAF_atividade_fisica_frequente_em_horas]]+ 0.1)</f>
        <v>2.1</v>
      </c>
      <c r="S61" s="1">
        <f>(Tabela2[[#This Row],[TUE_tempo_uso_aparelhos_em_horas]]/Tabela2[[#This Row],[FAF_Var]])</f>
        <v>0.95238095238095233</v>
      </c>
      <c r="T61">
        <f>(Tabela2[[#This Row],[CAEC_lanche_entre_refeicoes]]*Tabela2[[#This Row],[FAVC_consumo_frequente_de_alimentos_mt_caloricos]])</f>
        <v>1</v>
      </c>
      <c r="U61" s="1">
        <f>IF(OR(Tabela2[[#This Row],[MTRANS]]="Walking",Tabela2[[#This Row],[MTRANS]]="Bike"),Tabela2[[#This Row],[FAF_atividade_fisica_frequente_em_horas]]+1,M61)</f>
        <v>2</v>
      </c>
      <c r="V61">
        <f>(Tabela2[[#This Row],[SMOKE]]+Tabela2[[#This Row],[CALC_bebe_alcool_frequentemente]])</f>
        <v>0</v>
      </c>
      <c r="W61" s="8">
        <f>(Tabela2[[#This Row],[Weight]]/(Tabela2[[#This Row],[Height]] ^2))</f>
        <v>17.75568181818182</v>
      </c>
    </row>
    <row r="62" spans="1:23" x14ac:dyDescent="0.25">
      <c r="A62" t="s">
        <v>13</v>
      </c>
      <c r="B62" s="7">
        <v>21</v>
      </c>
      <c r="C62" s="4">
        <v>1.55</v>
      </c>
      <c r="D62" s="7">
        <v>49</v>
      </c>
      <c r="E62">
        <v>1</v>
      </c>
      <c r="F62">
        <v>1</v>
      </c>
      <c r="G62" s="2">
        <v>2</v>
      </c>
      <c r="H62" s="2">
        <v>3</v>
      </c>
      <c r="I62">
        <v>1</v>
      </c>
      <c r="J62">
        <v>0</v>
      </c>
      <c r="K62" s="2">
        <v>3</v>
      </c>
      <c r="L62">
        <v>0</v>
      </c>
      <c r="M62" s="7">
        <v>3</v>
      </c>
      <c r="N62" s="7">
        <v>1</v>
      </c>
      <c r="O62">
        <v>1</v>
      </c>
      <c r="P62" t="s">
        <v>14</v>
      </c>
      <c r="Q62">
        <v>1</v>
      </c>
      <c r="R62" s="8">
        <f>(Tabela2[[#This Row],[FAF_atividade_fisica_frequente_em_horas]]+ 0.1)</f>
        <v>3.1</v>
      </c>
      <c r="S62" s="1">
        <f>(Tabela2[[#This Row],[TUE_tempo_uso_aparelhos_em_horas]]/Tabela2[[#This Row],[FAF_Var]])</f>
        <v>0.32258064516129031</v>
      </c>
      <c r="T62">
        <f>(Tabela2[[#This Row],[CAEC_lanche_entre_refeicoes]]*Tabela2[[#This Row],[FAVC_consumo_frequente_de_alimentos_mt_caloricos]])</f>
        <v>1</v>
      </c>
      <c r="U62" s="1">
        <f>IF(OR(Tabela2[[#This Row],[MTRANS]]="Walking",Tabela2[[#This Row],[MTRANS]]="Bike"),Tabela2[[#This Row],[FAF_atividade_fisica_frequente_em_horas]]+1,M62)</f>
        <v>3</v>
      </c>
      <c r="V62">
        <f>(Tabela2[[#This Row],[SMOKE]]+Tabela2[[#This Row],[CALC_bebe_alcool_frequentemente]])</f>
        <v>1</v>
      </c>
      <c r="W62" s="8">
        <f>(Tabela2[[#This Row],[Weight]]/(Tabela2[[#This Row],[Height]] ^2))</f>
        <v>20.39542143600416</v>
      </c>
    </row>
    <row r="63" spans="1:23" x14ac:dyDescent="0.25">
      <c r="A63" t="s">
        <v>15</v>
      </c>
      <c r="B63" s="7">
        <v>20</v>
      </c>
      <c r="C63" s="4">
        <v>1.65</v>
      </c>
      <c r="D63" s="7">
        <v>58</v>
      </c>
      <c r="E63">
        <v>0</v>
      </c>
      <c r="F63">
        <v>1</v>
      </c>
      <c r="G63" s="2">
        <v>2</v>
      </c>
      <c r="H63" s="2">
        <v>3</v>
      </c>
      <c r="I63">
        <v>1</v>
      </c>
      <c r="J63">
        <v>0</v>
      </c>
      <c r="K63" s="2">
        <v>2</v>
      </c>
      <c r="L63">
        <v>0</v>
      </c>
      <c r="M63" s="7">
        <v>3</v>
      </c>
      <c r="N63" s="7">
        <v>1</v>
      </c>
      <c r="O63">
        <v>1</v>
      </c>
      <c r="P63" t="s">
        <v>14</v>
      </c>
      <c r="Q63">
        <v>1</v>
      </c>
      <c r="R63" s="8">
        <f>(Tabela2[[#This Row],[FAF_atividade_fisica_frequente_em_horas]]+ 0.1)</f>
        <v>3.1</v>
      </c>
      <c r="S63" s="1">
        <f>(Tabela2[[#This Row],[TUE_tempo_uso_aparelhos_em_horas]]/Tabela2[[#This Row],[FAF_Var]])</f>
        <v>0.32258064516129031</v>
      </c>
      <c r="T63">
        <f>(Tabela2[[#This Row],[CAEC_lanche_entre_refeicoes]]*Tabela2[[#This Row],[FAVC_consumo_frequente_de_alimentos_mt_caloricos]])</f>
        <v>1</v>
      </c>
      <c r="U63" s="1">
        <f>IF(OR(Tabela2[[#This Row],[MTRANS]]="Walking",Tabela2[[#This Row],[MTRANS]]="Bike"),Tabela2[[#This Row],[FAF_atividade_fisica_frequente_em_horas]]+1,M63)</f>
        <v>3</v>
      </c>
      <c r="V63">
        <f>(Tabela2[[#This Row],[SMOKE]]+Tabela2[[#This Row],[CALC_bebe_alcool_frequentemente]])</f>
        <v>1</v>
      </c>
      <c r="W63" s="8">
        <f>(Tabela2[[#This Row],[Weight]]/(Tabela2[[#This Row],[Height]] ^2))</f>
        <v>21.30394857667585</v>
      </c>
    </row>
    <row r="64" spans="1:23" x14ac:dyDescent="0.25">
      <c r="A64" t="s">
        <v>15</v>
      </c>
      <c r="B64" s="7">
        <v>22</v>
      </c>
      <c r="C64" s="4">
        <v>1.67</v>
      </c>
      <c r="D64" s="7">
        <v>62</v>
      </c>
      <c r="E64">
        <v>0</v>
      </c>
      <c r="F64">
        <v>1</v>
      </c>
      <c r="G64" s="2">
        <v>2</v>
      </c>
      <c r="H64" s="2">
        <v>1</v>
      </c>
      <c r="I64">
        <v>0</v>
      </c>
      <c r="J64">
        <v>0</v>
      </c>
      <c r="K64" s="2">
        <v>2</v>
      </c>
      <c r="L64">
        <v>0</v>
      </c>
      <c r="M64" s="7">
        <v>0</v>
      </c>
      <c r="N64" s="7">
        <v>0</v>
      </c>
      <c r="O64">
        <v>1</v>
      </c>
      <c r="P64" t="s">
        <v>14</v>
      </c>
      <c r="Q64">
        <v>1</v>
      </c>
      <c r="R64" s="8">
        <f>(Tabela2[[#This Row],[FAF_atividade_fisica_frequente_em_horas]]+ 0.1)</f>
        <v>0.1</v>
      </c>
      <c r="S64" s="1">
        <f>(Tabela2[[#This Row],[TUE_tempo_uso_aparelhos_em_horas]]/Tabela2[[#This Row],[FAF_Var]])</f>
        <v>0</v>
      </c>
      <c r="T64">
        <f>(Tabela2[[#This Row],[CAEC_lanche_entre_refeicoes]]*Tabela2[[#This Row],[FAVC_consumo_frequente_de_alimentos_mt_caloricos]])</f>
        <v>0</v>
      </c>
      <c r="U64" s="1">
        <f>IF(OR(Tabela2[[#This Row],[MTRANS]]="Walking",Tabela2[[#This Row],[MTRANS]]="Bike"),Tabela2[[#This Row],[FAF_atividade_fisica_frequente_em_horas]]+1,M64)</f>
        <v>0</v>
      </c>
      <c r="V64">
        <f>(Tabela2[[#This Row],[SMOKE]]+Tabela2[[#This Row],[CALC_bebe_alcool_frequentemente]])</f>
        <v>1</v>
      </c>
      <c r="W64" s="8">
        <f>(Tabela2[[#This Row],[Weight]]/(Tabela2[[#This Row],[Height]] ^2))</f>
        <v>22.230987127541326</v>
      </c>
    </row>
    <row r="65" spans="1:23" x14ac:dyDescent="0.25">
      <c r="A65" t="s">
        <v>15</v>
      </c>
      <c r="B65" s="7">
        <v>22</v>
      </c>
      <c r="C65" s="4">
        <v>1.68</v>
      </c>
      <c r="D65" s="7">
        <v>55</v>
      </c>
      <c r="E65">
        <v>1</v>
      </c>
      <c r="F65">
        <v>1</v>
      </c>
      <c r="G65" s="2">
        <v>2</v>
      </c>
      <c r="H65" s="2">
        <v>3</v>
      </c>
      <c r="I65">
        <v>1</v>
      </c>
      <c r="J65">
        <v>0</v>
      </c>
      <c r="K65" s="2">
        <v>2</v>
      </c>
      <c r="L65">
        <v>0</v>
      </c>
      <c r="M65" s="7">
        <v>0</v>
      </c>
      <c r="N65" s="7">
        <v>2</v>
      </c>
      <c r="O65">
        <v>1</v>
      </c>
      <c r="P65" t="s">
        <v>17</v>
      </c>
      <c r="Q65">
        <v>1</v>
      </c>
      <c r="R65" s="8">
        <f>(Tabela2[[#This Row],[FAF_atividade_fisica_frequente_em_horas]]+ 0.1)</f>
        <v>0.1</v>
      </c>
      <c r="S65" s="1">
        <f>(Tabela2[[#This Row],[TUE_tempo_uso_aparelhos_em_horas]]/Tabela2[[#This Row],[FAF_Var]])</f>
        <v>20</v>
      </c>
      <c r="T65">
        <f>(Tabela2[[#This Row],[CAEC_lanche_entre_refeicoes]]*Tabela2[[#This Row],[FAVC_consumo_frequente_de_alimentos_mt_caloricos]])</f>
        <v>1</v>
      </c>
      <c r="U65" s="1">
        <f>IF(OR(Tabela2[[#This Row],[MTRANS]]="Walking",Tabela2[[#This Row],[MTRANS]]="Bike"),Tabela2[[#This Row],[FAF_atividade_fisica_frequente_em_horas]]+1,M65)</f>
        <v>0</v>
      </c>
      <c r="V65">
        <f>(Tabela2[[#This Row],[SMOKE]]+Tabela2[[#This Row],[CALC_bebe_alcool_frequentemente]])</f>
        <v>1</v>
      </c>
      <c r="W65" s="8">
        <f>(Tabela2[[#This Row],[Weight]]/(Tabela2[[#This Row],[Height]] ^2))</f>
        <v>19.486961451247168</v>
      </c>
    </row>
    <row r="66" spans="1:23" x14ac:dyDescent="0.25">
      <c r="A66" t="s">
        <v>13</v>
      </c>
      <c r="B66" s="7">
        <v>21</v>
      </c>
      <c r="C66" s="4">
        <v>1.66</v>
      </c>
      <c r="D66" s="7">
        <v>57</v>
      </c>
      <c r="E66">
        <v>1</v>
      </c>
      <c r="F66">
        <v>1</v>
      </c>
      <c r="G66" s="2">
        <v>2</v>
      </c>
      <c r="H66" s="2">
        <v>3</v>
      </c>
      <c r="I66">
        <v>2</v>
      </c>
      <c r="J66">
        <v>0</v>
      </c>
      <c r="K66" s="2">
        <v>1</v>
      </c>
      <c r="L66">
        <v>0</v>
      </c>
      <c r="M66" s="7">
        <v>1</v>
      </c>
      <c r="N66" s="7">
        <v>1</v>
      </c>
      <c r="O66">
        <v>0</v>
      </c>
      <c r="P66" t="s">
        <v>14</v>
      </c>
      <c r="Q66">
        <v>1</v>
      </c>
      <c r="R66" s="8">
        <f>(Tabela2[[#This Row],[FAF_atividade_fisica_frequente_em_horas]]+ 0.1)</f>
        <v>1.1000000000000001</v>
      </c>
      <c r="S66" s="1">
        <f>(Tabela2[[#This Row],[TUE_tempo_uso_aparelhos_em_horas]]/Tabela2[[#This Row],[FAF_Var]])</f>
        <v>0.90909090909090906</v>
      </c>
      <c r="T66">
        <f>(Tabela2[[#This Row],[CAEC_lanche_entre_refeicoes]]*Tabela2[[#This Row],[FAVC_consumo_frequente_de_alimentos_mt_caloricos]])</f>
        <v>2</v>
      </c>
      <c r="U66" s="1">
        <f>IF(OR(Tabela2[[#This Row],[MTRANS]]="Walking",Tabela2[[#This Row],[MTRANS]]="Bike"),Tabela2[[#This Row],[FAF_atividade_fisica_frequente_em_horas]]+1,M66)</f>
        <v>1</v>
      </c>
      <c r="V66">
        <f>(Tabela2[[#This Row],[SMOKE]]+Tabela2[[#This Row],[CALC_bebe_alcool_frequentemente]])</f>
        <v>0</v>
      </c>
      <c r="W66" s="8">
        <f>(Tabela2[[#This Row],[Weight]]/(Tabela2[[#This Row],[Height]] ^2))</f>
        <v>20.685150239512268</v>
      </c>
    </row>
    <row r="67" spans="1:23" x14ac:dyDescent="0.25">
      <c r="A67" t="s">
        <v>13</v>
      </c>
      <c r="B67" s="7">
        <v>21</v>
      </c>
      <c r="C67" s="4">
        <v>1.62</v>
      </c>
      <c r="D67" s="7">
        <v>69</v>
      </c>
      <c r="E67">
        <v>1</v>
      </c>
      <c r="F67">
        <v>1</v>
      </c>
      <c r="G67" s="2">
        <v>1</v>
      </c>
      <c r="H67" s="2">
        <v>3</v>
      </c>
      <c r="I67">
        <v>2</v>
      </c>
      <c r="J67">
        <v>0</v>
      </c>
      <c r="K67" s="2">
        <v>2</v>
      </c>
      <c r="L67">
        <v>0</v>
      </c>
      <c r="M67" s="7">
        <v>0</v>
      </c>
      <c r="N67" s="7">
        <v>1</v>
      </c>
      <c r="O67">
        <v>0</v>
      </c>
      <c r="P67" t="s">
        <v>14</v>
      </c>
      <c r="Q67">
        <v>2</v>
      </c>
      <c r="R67" s="8">
        <f>(Tabela2[[#This Row],[FAF_atividade_fisica_frequente_em_horas]]+ 0.1)</f>
        <v>0.1</v>
      </c>
      <c r="S67" s="1">
        <f>(Tabela2[[#This Row],[TUE_tempo_uso_aparelhos_em_horas]]/Tabela2[[#This Row],[FAF_Var]])</f>
        <v>10</v>
      </c>
      <c r="T67">
        <f>(Tabela2[[#This Row],[CAEC_lanche_entre_refeicoes]]*Tabela2[[#This Row],[FAVC_consumo_frequente_de_alimentos_mt_caloricos]])</f>
        <v>2</v>
      </c>
      <c r="U67" s="1">
        <f>IF(OR(Tabela2[[#This Row],[MTRANS]]="Walking",Tabela2[[#This Row],[MTRANS]]="Bike"),Tabela2[[#This Row],[FAF_atividade_fisica_frequente_em_horas]]+1,M67)</f>
        <v>0</v>
      </c>
      <c r="V67">
        <f>(Tabela2[[#This Row],[SMOKE]]+Tabela2[[#This Row],[CALC_bebe_alcool_frequentemente]])</f>
        <v>0</v>
      </c>
      <c r="W67" s="8">
        <f>(Tabela2[[#This Row],[Weight]]/(Tabela2[[#This Row],[Height]] ^2))</f>
        <v>26.291723822588015</v>
      </c>
    </row>
    <row r="68" spans="1:23" x14ac:dyDescent="0.25">
      <c r="A68" t="s">
        <v>15</v>
      </c>
      <c r="B68" s="7">
        <v>23</v>
      </c>
      <c r="C68" s="4">
        <v>1.8</v>
      </c>
      <c r="D68" s="7">
        <v>90</v>
      </c>
      <c r="E68">
        <v>1</v>
      </c>
      <c r="F68">
        <v>1</v>
      </c>
      <c r="G68" s="2">
        <v>1</v>
      </c>
      <c r="H68" s="2">
        <v>3</v>
      </c>
      <c r="I68">
        <v>3</v>
      </c>
      <c r="J68">
        <v>0</v>
      </c>
      <c r="K68" s="2">
        <v>2</v>
      </c>
      <c r="L68">
        <v>0</v>
      </c>
      <c r="M68" s="7">
        <v>0</v>
      </c>
      <c r="N68" s="7">
        <v>2</v>
      </c>
      <c r="O68">
        <v>2</v>
      </c>
      <c r="P68" t="s">
        <v>14</v>
      </c>
      <c r="Q68">
        <v>3</v>
      </c>
      <c r="R68" s="8">
        <f>(Tabela2[[#This Row],[FAF_atividade_fisica_frequente_em_horas]]+ 0.1)</f>
        <v>0.1</v>
      </c>
      <c r="S68" s="1">
        <f>(Tabela2[[#This Row],[TUE_tempo_uso_aparelhos_em_horas]]/Tabela2[[#This Row],[FAF_Var]])</f>
        <v>20</v>
      </c>
      <c r="T68">
        <f>(Tabela2[[#This Row],[CAEC_lanche_entre_refeicoes]]*Tabela2[[#This Row],[FAVC_consumo_frequente_de_alimentos_mt_caloricos]])</f>
        <v>3</v>
      </c>
      <c r="U68" s="1">
        <f>IF(OR(Tabela2[[#This Row],[MTRANS]]="Walking",Tabela2[[#This Row],[MTRANS]]="Bike"),Tabela2[[#This Row],[FAF_atividade_fisica_frequente_em_horas]]+1,M68)</f>
        <v>0</v>
      </c>
      <c r="V68">
        <f>(Tabela2[[#This Row],[SMOKE]]+Tabela2[[#This Row],[CALC_bebe_alcool_frequentemente]])</f>
        <v>2</v>
      </c>
      <c r="W68" s="8">
        <f>(Tabela2[[#This Row],[Weight]]/(Tabela2[[#This Row],[Height]] ^2))</f>
        <v>27.777777777777775</v>
      </c>
    </row>
    <row r="69" spans="1:23" x14ac:dyDescent="0.25">
      <c r="A69" t="s">
        <v>15</v>
      </c>
      <c r="B69" s="7">
        <v>23</v>
      </c>
      <c r="C69" s="4">
        <v>1.65</v>
      </c>
      <c r="D69" s="7">
        <v>95</v>
      </c>
      <c r="E69">
        <v>1</v>
      </c>
      <c r="F69">
        <v>1</v>
      </c>
      <c r="G69" s="2">
        <v>2</v>
      </c>
      <c r="H69" s="2">
        <v>3</v>
      </c>
      <c r="I69">
        <v>3</v>
      </c>
      <c r="J69">
        <v>0</v>
      </c>
      <c r="K69" s="2">
        <v>2</v>
      </c>
      <c r="L69">
        <v>0</v>
      </c>
      <c r="M69" s="7">
        <v>0</v>
      </c>
      <c r="N69" s="7">
        <v>1</v>
      </c>
      <c r="O69">
        <v>2</v>
      </c>
      <c r="P69" t="s">
        <v>17</v>
      </c>
      <c r="Q69">
        <v>4</v>
      </c>
      <c r="R69" s="8">
        <f>(Tabela2[[#This Row],[FAF_atividade_fisica_frequente_em_horas]]+ 0.1)</f>
        <v>0.1</v>
      </c>
      <c r="S69" s="1">
        <f>(Tabela2[[#This Row],[TUE_tempo_uso_aparelhos_em_horas]]/Tabela2[[#This Row],[FAF_Var]])</f>
        <v>10</v>
      </c>
      <c r="T69">
        <f>(Tabela2[[#This Row],[CAEC_lanche_entre_refeicoes]]*Tabela2[[#This Row],[FAVC_consumo_frequente_de_alimentos_mt_caloricos]])</f>
        <v>3</v>
      </c>
      <c r="U69" s="1">
        <f>IF(OR(Tabela2[[#This Row],[MTRANS]]="Walking",Tabela2[[#This Row],[MTRANS]]="Bike"),Tabela2[[#This Row],[FAF_atividade_fisica_frequente_em_horas]]+1,M69)</f>
        <v>0</v>
      </c>
      <c r="V69">
        <f>(Tabela2[[#This Row],[SMOKE]]+Tabela2[[#This Row],[CALC_bebe_alcool_frequentemente]])</f>
        <v>2</v>
      </c>
      <c r="W69" s="8">
        <f>(Tabela2[[#This Row],[Weight]]/(Tabela2[[#This Row],[Height]] ^2))</f>
        <v>34.894398530762174</v>
      </c>
    </row>
    <row r="70" spans="1:23" x14ac:dyDescent="0.25">
      <c r="A70" t="s">
        <v>15</v>
      </c>
      <c r="B70" s="7">
        <v>30</v>
      </c>
      <c r="C70" s="4">
        <v>1.76</v>
      </c>
      <c r="D70" s="7">
        <v>112</v>
      </c>
      <c r="E70">
        <v>1</v>
      </c>
      <c r="F70">
        <v>1</v>
      </c>
      <c r="G70" s="2">
        <v>1</v>
      </c>
      <c r="H70" s="2">
        <v>3</v>
      </c>
      <c r="I70">
        <v>0</v>
      </c>
      <c r="J70">
        <v>1</v>
      </c>
      <c r="K70" s="2">
        <v>2</v>
      </c>
      <c r="L70">
        <v>1</v>
      </c>
      <c r="M70" s="7">
        <v>0</v>
      </c>
      <c r="N70" s="7">
        <v>0</v>
      </c>
      <c r="O70">
        <v>2</v>
      </c>
      <c r="P70" t="s">
        <v>17</v>
      </c>
      <c r="Q70">
        <v>5</v>
      </c>
      <c r="R70" s="8">
        <f>(Tabela2[[#This Row],[FAF_atividade_fisica_frequente_em_horas]]+ 0.1)</f>
        <v>0.1</v>
      </c>
      <c r="S70" s="1">
        <f>(Tabela2[[#This Row],[TUE_tempo_uso_aparelhos_em_horas]]/Tabela2[[#This Row],[FAF_Var]])</f>
        <v>0</v>
      </c>
      <c r="T70">
        <f>(Tabela2[[#This Row],[CAEC_lanche_entre_refeicoes]]*Tabela2[[#This Row],[FAVC_consumo_frequente_de_alimentos_mt_caloricos]])</f>
        <v>0</v>
      </c>
      <c r="U70" s="1">
        <f>IF(OR(Tabela2[[#This Row],[MTRANS]]="Walking",Tabela2[[#This Row],[MTRANS]]="Bike"),Tabela2[[#This Row],[FAF_atividade_fisica_frequente_em_horas]]+1,M70)</f>
        <v>0</v>
      </c>
      <c r="V70">
        <f>(Tabela2[[#This Row],[SMOKE]]+Tabela2[[#This Row],[CALC_bebe_alcool_frequentemente]])</f>
        <v>3</v>
      </c>
      <c r="W70" s="8">
        <f>(Tabela2[[#This Row],[Weight]]/(Tabela2[[#This Row],[Height]] ^2))</f>
        <v>36.15702479338843</v>
      </c>
    </row>
    <row r="71" spans="1:23" x14ac:dyDescent="0.25">
      <c r="A71" t="s">
        <v>15</v>
      </c>
      <c r="B71" s="7">
        <v>23</v>
      </c>
      <c r="C71" s="4">
        <v>1.8</v>
      </c>
      <c r="D71" s="7">
        <v>60</v>
      </c>
      <c r="E71">
        <v>1</v>
      </c>
      <c r="F71">
        <v>0</v>
      </c>
      <c r="G71" s="2">
        <v>2</v>
      </c>
      <c r="H71" s="2">
        <v>3</v>
      </c>
      <c r="I71">
        <v>0</v>
      </c>
      <c r="J71">
        <v>0</v>
      </c>
      <c r="K71" s="2">
        <v>3</v>
      </c>
      <c r="L71">
        <v>0</v>
      </c>
      <c r="M71" s="7">
        <v>0</v>
      </c>
      <c r="N71" s="7">
        <v>1</v>
      </c>
      <c r="O71">
        <v>1</v>
      </c>
      <c r="P71" t="s">
        <v>14</v>
      </c>
      <c r="Q71">
        <v>1</v>
      </c>
      <c r="R71" s="8">
        <f>(Tabela2[[#This Row],[FAF_atividade_fisica_frequente_em_horas]]+ 0.1)</f>
        <v>0.1</v>
      </c>
      <c r="S71" s="1">
        <f>(Tabela2[[#This Row],[TUE_tempo_uso_aparelhos_em_horas]]/Tabela2[[#This Row],[FAF_Var]])</f>
        <v>10</v>
      </c>
      <c r="T71">
        <f>(Tabela2[[#This Row],[CAEC_lanche_entre_refeicoes]]*Tabela2[[#This Row],[FAVC_consumo_frequente_de_alimentos_mt_caloricos]])</f>
        <v>0</v>
      </c>
      <c r="U71" s="1">
        <f>IF(OR(Tabela2[[#This Row],[MTRANS]]="Walking",Tabela2[[#This Row],[MTRANS]]="Bike"),Tabela2[[#This Row],[FAF_atividade_fisica_frequente_em_horas]]+1,M71)</f>
        <v>0</v>
      </c>
      <c r="V71">
        <f>(Tabela2[[#This Row],[SMOKE]]+Tabela2[[#This Row],[CALC_bebe_alcool_frequentemente]])</f>
        <v>1</v>
      </c>
      <c r="W71" s="8">
        <f>(Tabela2[[#This Row],[Weight]]/(Tabela2[[#This Row],[Height]] ^2))</f>
        <v>18.518518518518519</v>
      </c>
    </row>
    <row r="72" spans="1:23" x14ac:dyDescent="0.25">
      <c r="A72" t="s">
        <v>13</v>
      </c>
      <c r="B72" s="7">
        <v>23</v>
      </c>
      <c r="C72" s="4">
        <v>1.65</v>
      </c>
      <c r="D72" s="7">
        <v>80</v>
      </c>
      <c r="E72">
        <v>1</v>
      </c>
      <c r="F72">
        <v>1</v>
      </c>
      <c r="G72" s="2">
        <v>2</v>
      </c>
      <c r="H72" s="2">
        <v>3</v>
      </c>
      <c r="I72">
        <v>3</v>
      </c>
      <c r="J72">
        <v>0</v>
      </c>
      <c r="K72" s="2">
        <v>2</v>
      </c>
      <c r="L72">
        <v>0</v>
      </c>
      <c r="M72" s="7">
        <v>0</v>
      </c>
      <c r="N72" s="7">
        <v>2</v>
      </c>
      <c r="O72">
        <v>0</v>
      </c>
      <c r="P72" t="s">
        <v>14</v>
      </c>
      <c r="Q72">
        <v>3</v>
      </c>
      <c r="R72" s="8">
        <f>(Tabela2[[#This Row],[FAF_atividade_fisica_frequente_em_horas]]+ 0.1)</f>
        <v>0.1</v>
      </c>
      <c r="S72" s="1">
        <f>(Tabela2[[#This Row],[TUE_tempo_uso_aparelhos_em_horas]]/Tabela2[[#This Row],[FAF_Var]])</f>
        <v>20</v>
      </c>
      <c r="T72">
        <f>(Tabela2[[#This Row],[CAEC_lanche_entre_refeicoes]]*Tabela2[[#This Row],[FAVC_consumo_frequente_de_alimentos_mt_caloricos]])</f>
        <v>3</v>
      </c>
      <c r="U72" s="1">
        <f>IF(OR(Tabela2[[#This Row],[MTRANS]]="Walking",Tabela2[[#This Row],[MTRANS]]="Bike"),Tabela2[[#This Row],[FAF_atividade_fisica_frequente_em_horas]]+1,M72)</f>
        <v>0</v>
      </c>
      <c r="V72">
        <f>(Tabela2[[#This Row],[SMOKE]]+Tabela2[[#This Row],[CALC_bebe_alcool_frequentemente]])</f>
        <v>0</v>
      </c>
      <c r="W72" s="8">
        <f>(Tabela2[[#This Row],[Weight]]/(Tabela2[[#This Row],[Height]] ^2))</f>
        <v>29.384756657483933</v>
      </c>
    </row>
    <row r="73" spans="1:23" x14ac:dyDescent="0.25">
      <c r="A73" t="s">
        <v>13</v>
      </c>
      <c r="B73" s="7">
        <v>22</v>
      </c>
      <c r="C73" s="4">
        <v>1.67</v>
      </c>
      <c r="D73" s="7">
        <v>50</v>
      </c>
      <c r="E73">
        <v>1</v>
      </c>
      <c r="F73">
        <v>0</v>
      </c>
      <c r="G73" s="2">
        <v>3</v>
      </c>
      <c r="H73" s="2">
        <v>3</v>
      </c>
      <c r="I73">
        <v>0</v>
      </c>
      <c r="J73">
        <v>0</v>
      </c>
      <c r="K73" s="2">
        <v>3</v>
      </c>
      <c r="L73">
        <v>1</v>
      </c>
      <c r="M73" s="7">
        <v>2</v>
      </c>
      <c r="N73" s="7">
        <v>1</v>
      </c>
      <c r="O73">
        <v>1</v>
      </c>
      <c r="P73" t="s">
        <v>14</v>
      </c>
      <c r="Q73">
        <v>0</v>
      </c>
      <c r="R73" s="8">
        <f>(Tabela2[[#This Row],[FAF_atividade_fisica_frequente_em_horas]]+ 0.1)</f>
        <v>2.1</v>
      </c>
      <c r="S73" s="1">
        <f>(Tabela2[[#This Row],[TUE_tempo_uso_aparelhos_em_horas]]/Tabela2[[#This Row],[FAF_Var]])</f>
        <v>0.47619047619047616</v>
      </c>
      <c r="T73">
        <f>(Tabela2[[#This Row],[CAEC_lanche_entre_refeicoes]]*Tabela2[[#This Row],[FAVC_consumo_frequente_de_alimentos_mt_caloricos]])</f>
        <v>0</v>
      </c>
      <c r="U73" s="1">
        <f>IF(OR(Tabela2[[#This Row],[MTRANS]]="Walking",Tabela2[[#This Row],[MTRANS]]="Bike"),Tabela2[[#This Row],[FAF_atividade_fisica_frequente_em_horas]]+1,M73)</f>
        <v>2</v>
      </c>
      <c r="V73">
        <f>(Tabela2[[#This Row],[SMOKE]]+Tabela2[[#This Row],[CALC_bebe_alcool_frequentemente]])</f>
        <v>1</v>
      </c>
      <c r="W73" s="8">
        <f>(Tabela2[[#This Row],[Weight]]/(Tabela2[[#This Row],[Height]] ^2))</f>
        <v>17.928215425436552</v>
      </c>
    </row>
    <row r="74" spans="1:23" x14ac:dyDescent="0.25">
      <c r="A74" t="s">
        <v>13</v>
      </c>
      <c r="B74" s="7">
        <v>24</v>
      </c>
      <c r="C74" s="4">
        <v>1.65</v>
      </c>
      <c r="D74" s="7">
        <v>60</v>
      </c>
      <c r="E74">
        <v>1</v>
      </c>
      <c r="F74">
        <v>0</v>
      </c>
      <c r="G74" s="2">
        <v>2</v>
      </c>
      <c r="H74" s="2">
        <v>3</v>
      </c>
      <c r="I74">
        <v>1</v>
      </c>
      <c r="J74">
        <v>0</v>
      </c>
      <c r="K74" s="2">
        <v>3</v>
      </c>
      <c r="L74">
        <v>1</v>
      </c>
      <c r="M74" s="7">
        <v>1</v>
      </c>
      <c r="N74" s="7">
        <v>0</v>
      </c>
      <c r="O74">
        <v>0</v>
      </c>
      <c r="P74" t="s">
        <v>14</v>
      </c>
      <c r="Q74">
        <v>1</v>
      </c>
      <c r="R74" s="8">
        <f>(Tabela2[[#This Row],[FAF_atividade_fisica_frequente_em_horas]]+ 0.1)</f>
        <v>1.1000000000000001</v>
      </c>
      <c r="S74" s="1">
        <f>(Tabela2[[#This Row],[TUE_tempo_uso_aparelhos_em_horas]]/Tabela2[[#This Row],[FAF_Var]])</f>
        <v>0</v>
      </c>
      <c r="T74">
        <f>(Tabela2[[#This Row],[CAEC_lanche_entre_refeicoes]]*Tabela2[[#This Row],[FAVC_consumo_frequente_de_alimentos_mt_caloricos]])</f>
        <v>0</v>
      </c>
      <c r="U74" s="1">
        <f>IF(OR(Tabela2[[#This Row],[MTRANS]]="Walking",Tabela2[[#This Row],[MTRANS]]="Bike"),Tabela2[[#This Row],[FAF_atividade_fisica_frequente_em_horas]]+1,M74)</f>
        <v>1</v>
      </c>
      <c r="V74">
        <f>(Tabela2[[#This Row],[SMOKE]]+Tabela2[[#This Row],[CALC_bebe_alcool_frequentemente]])</f>
        <v>0</v>
      </c>
      <c r="W74" s="8">
        <f>(Tabela2[[#This Row],[Weight]]/(Tabela2[[#This Row],[Height]] ^2))</f>
        <v>22.03856749311295</v>
      </c>
    </row>
    <row r="75" spans="1:23" x14ac:dyDescent="0.25">
      <c r="A75" t="s">
        <v>15</v>
      </c>
      <c r="B75" s="7">
        <v>19</v>
      </c>
      <c r="C75" s="4">
        <v>1.85</v>
      </c>
      <c r="D75" s="7">
        <v>65</v>
      </c>
      <c r="E75">
        <v>1</v>
      </c>
      <c r="F75">
        <v>0</v>
      </c>
      <c r="G75" s="2">
        <v>2</v>
      </c>
      <c r="H75" s="2">
        <v>3</v>
      </c>
      <c r="I75">
        <v>1</v>
      </c>
      <c r="J75">
        <v>0</v>
      </c>
      <c r="K75" s="2">
        <v>3</v>
      </c>
      <c r="L75">
        <v>0</v>
      </c>
      <c r="M75" s="7">
        <v>2</v>
      </c>
      <c r="N75" s="7">
        <v>1</v>
      </c>
      <c r="O75">
        <v>1</v>
      </c>
      <c r="P75" t="s">
        <v>19</v>
      </c>
      <c r="Q75">
        <v>1</v>
      </c>
      <c r="R75" s="8">
        <f>(Tabela2[[#This Row],[FAF_atividade_fisica_frequente_em_horas]]+ 0.1)</f>
        <v>2.1</v>
      </c>
      <c r="S75" s="1">
        <f>(Tabela2[[#This Row],[TUE_tempo_uso_aparelhos_em_horas]]/Tabela2[[#This Row],[FAF_Var]])</f>
        <v>0.47619047619047616</v>
      </c>
      <c r="T75">
        <f>(Tabela2[[#This Row],[CAEC_lanche_entre_refeicoes]]*Tabela2[[#This Row],[FAVC_consumo_frequente_de_alimentos_mt_caloricos]])</f>
        <v>0</v>
      </c>
      <c r="U75" s="1">
        <f>IF(OR(Tabela2[[#This Row],[MTRANS]]="Walking",Tabela2[[#This Row],[MTRANS]]="Bike"),Tabela2[[#This Row],[FAF_atividade_fisica_frequente_em_horas]]+1,M75)</f>
        <v>3</v>
      </c>
      <c r="V75">
        <f>(Tabela2[[#This Row],[SMOKE]]+Tabela2[[#This Row],[CALC_bebe_alcool_frequentemente]])</f>
        <v>1</v>
      </c>
      <c r="W75" s="8">
        <f>(Tabela2[[#This Row],[Weight]]/(Tabela2[[#This Row],[Height]] ^2))</f>
        <v>18.991964937910883</v>
      </c>
    </row>
    <row r="76" spans="1:23" x14ac:dyDescent="0.25">
      <c r="A76" t="s">
        <v>15</v>
      </c>
      <c r="B76" s="7">
        <v>24</v>
      </c>
      <c r="C76" s="4">
        <v>1.7</v>
      </c>
      <c r="D76" s="7">
        <v>85</v>
      </c>
      <c r="E76">
        <v>1</v>
      </c>
      <c r="F76">
        <v>1</v>
      </c>
      <c r="G76" s="2">
        <v>2</v>
      </c>
      <c r="H76" s="2">
        <v>3</v>
      </c>
      <c r="I76">
        <v>2</v>
      </c>
      <c r="J76">
        <v>0</v>
      </c>
      <c r="K76" s="2">
        <v>3</v>
      </c>
      <c r="L76">
        <v>0</v>
      </c>
      <c r="M76" s="7">
        <v>0</v>
      </c>
      <c r="N76" s="7">
        <v>1</v>
      </c>
      <c r="O76">
        <v>2</v>
      </c>
      <c r="P76" t="s">
        <v>14</v>
      </c>
      <c r="Q76">
        <v>3</v>
      </c>
      <c r="R76" s="8">
        <f>(Tabela2[[#This Row],[FAF_atividade_fisica_frequente_em_horas]]+ 0.1)</f>
        <v>0.1</v>
      </c>
      <c r="S76" s="1">
        <f>(Tabela2[[#This Row],[TUE_tempo_uso_aparelhos_em_horas]]/Tabela2[[#This Row],[FAF_Var]])</f>
        <v>10</v>
      </c>
      <c r="T76">
        <f>(Tabela2[[#This Row],[CAEC_lanche_entre_refeicoes]]*Tabela2[[#This Row],[FAVC_consumo_frequente_de_alimentos_mt_caloricos]])</f>
        <v>2</v>
      </c>
      <c r="U76" s="1">
        <f>IF(OR(Tabela2[[#This Row],[MTRANS]]="Walking",Tabela2[[#This Row],[MTRANS]]="Bike"),Tabela2[[#This Row],[FAF_atividade_fisica_frequente_em_horas]]+1,M76)</f>
        <v>0</v>
      </c>
      <c r="V76">
        <f>(Tabela2[[#This Row],[SMOKE]]+Tabela2[[#This Row],[CALC_bebe_alcool_frequentemente]])</f>
        <v>2</v>
      </c>
      <c r="W76" s="8">
        <f>(Tabela2[[#This Row],[Weight]]/(Tabela2[[#This Row],[Height]] ^2))</f>
        <v>29.411764705882355</v>
      </c>
    </row>
    <row r="77" spans="1:23" x14ac:dyDescent="0.25">
      <c r="A77" t="s">
        <v>13</v>
      </c>
      <c r="B77" s="7">
        <v>23</v>
      </c>
      <c r="C77" s="4">
        <v>1.63</v>
      </c>
      <c r="D77" s="7">
        <v>45</v>
      </c>
      <c r="E77">
        <v>1</v>
      </c>
      <c r="F77">
        <v>0</v>
      </c>
      <c r="G77" s="2">
        <v>3</v>
      </c>
      <c r="H77" s="2">
        <v>3</v>
      </c>
      <c r="I77">
        <v>1</v>
      </c>
      <c r="J77">
        <v>0</v>
      </c>
      <c r="K77" s="2">
        <v>3</v>
      </c>
      <c r="L77">
        <v>1</v>
      </c>
      <c r="M77" s="7">
        <v>2</v>
      </c>
      <c r="N77" s="7">
        <v>0</v>
      </c>
      <c r="O77">
        <v>0</v>
      </c>
      <c r="P77" t="s">
        <v>14</v>
      </c>
      <c r="Q77">
        <v>0</v>
      </c>
      <c r="R77" s="8">
        <f>(Tabela2[[#This Row],[FAF_atividade_fisica_frequente_em_horas]]+ 0.1)</f>
        <v>2.1</v>
      </c>
      <c r="S77" s="1">
        <f>(Tabela2[[#This Row],[TUE_tempo_uso_aparelhos_em_horas]]/Tabela2[[#This Row],[FAF_Var]])</f>
        <v>0</v>
      </c>
      <c r="T77">
        <f>(Tabela2[[#This Row],[CAEC_lanche_entre_refeicoes]]*Tabela2[[#This Row],[FAVC_consumo_frequente_de_alimentos_mt_caloricos]])</f>
        <v>0</v>
      </c>
      <c r="U77" s="1">
        <f>IF(OR(Tabela2[[#This Row],[MTRANS]]="Walking",Tabela2[[#This Row],[MTRANS]]="Bike"),Tabela2[[#This Row],[FAF_atividade_fisica_frequente_em_horas]]+1,M77)</f>
        <v>2</v>
      </c>
      <c r="V77">
        <f>(Tabela2[[#This Row],[SMOKE]]+Tabela2[[#This Row],[CALC_bebe_alcool_frequentemente]])</f>
        <v>0</v>
      </c>
      <c r="W77" s="8">
        <f>(Tabela2[[#This Row],[Weight]]/(Tabela2[[#This Row],[Height]] ^2))</f>
        <v>16.937031879257784</v>
      </c>
    </row>
    <row r="78" spans="1:23" x14ac:dyDescent="0.25">
      <c r="A78" t="s">
        <v>13</v>
      </c>
      <c r="B78" s="7">
        <v>24</v>
      </c>
      <c r="C78" s="4">
        <v>1.6</v>
      </c>
      <c r="D78" s="7">
        <v>45</v>
      </c>
      <c r="E78">
        <v>1</v>
      </c>
      <c r="F78">
        <v>0</v>
      </c>
      <c r="G78" s="2">
        <v>2</v>
      </c>
      <c r="H78" s="2">
        <v>3</v>
      </c>
      <c r="I78">
        <v>0</v>
      </c>
      <c r="J78">
        <v>0</v>
      </c>
      <c r="K78" s="2">
        <v>2</v>
      </c>
      <c r="L78">
        <v>0</v>
      </c>
      <c r="M78" s="7">
        <v>1</v>
      </c>
      <c r="N78" s="7">
        <v>0</v>
      </c>
      <c r="O78">
        <v>0</v>
      </c>
      <c r="P78" t="s">
        <v>14</v>
      </c>
      <c r="Q78">
        <v>0</v>
      </c>
      <c r="R78" s="8">
        <f>(Tabela2[[#This Row],[FAF_atividade_fisica_frequente_em_horas]]+ 0.1)</f>
        <v>1.1000000000000001</v>
      </c>
      <c r="S78" s="1">
        <f>(Tabela2[[#This Row],[TUE_tempo_uso_aparelhos_em_horas]]/Tabela2[[#This Row],[FAF_Var]])</f>
        <v>0</v>
      </c>
      <c r="T78">
        <f>(Tabela2[[#This Row],[CAEC_lanche_entre_refeicoes]]*Tabela2[[#This Row],[FAVC_consumo_frequente_de_alimentos_mt_caloricos]])</f>
        <v>0</v>
      </c>
      <c r="U78" s="1">
        <f>IF(OR(Tabela2[[#This Row],[MTRANS]]="Walking",Tabela2[[#This Row],[MTRANS]]="Bike"),Tabela2[[#This Row],[FAF_atividade_fisica_frequente_em_horas]]+1,M78)</f>
        <v>1</v>
      </c>
      <c r="V78">
        <f>(Tabela2[[#This Row],[SMOKE]]+Tabela2[[#This Row],[CALC_bebe_alcool_frequentemente]])</f>
        <v>0</v>
      </c>
      <c r="W78" s="8">
        <f>(Tabela2[[#This Row],[Weight]]/(Tabela2[[#This Row],[Height]] ^2))</f>
        <v>17.578124999999996</v>
      </c>
    </row>
    <row r="79" spans="1:23" x14ac:dyDescent="0.25">
      <c r="A79" t="s">
        <v>13</v>
      </c>
      <c r="B79" s="7">
        <v>24</v>
      </c>
      <c r="C79" s="4">
        <v>1.7</v>
      </c>
      <c r="D79" s="7">
        <v>80</v>
      </c>
      <c r="E79">
        <v>1</v>
      </c>
      <c r="F79">
        <v>1</v>
      </c>
      <c r="G79" s="2">
        <v>2</v>
      </c>
      <c r="H79" s="2">
        <v>3</v>
      </c>
      <c r="I79">
        <v>1</v>
      </c>
      <c r="J79">
        <v>0</v>
      </c>
      <c r="K79" s="2">
        <v>3</v>
      </c>
      <c r="L79">
        <v>0</v>
      </c>
      <c r="M79" s="7">
        <v>0</v>
      </c>
      <c r="N79" s="7">
        <v>0</v>
      </c>
      <c r="O79">
        <v>0</v>
      </c>
      <c r="P79" t="s">
        <v>14</v>
      </c>
      <c r="Q79">
        <v>3</v>
      </c>
      <c r="R79" s="8">
        <f>(Tabela2[[#This Row],[FAF_atividade_fisica_frequente_em_horas]]+ 0.1)</f>
        <v>0.1</v>
      </c>
      <c r="S79" s="1">
        <f>(Tabela2[[#This Row],[TUE_tempo_uso_aparelhos_em_horas]]/Tabela2[[#This Row],[FAF_Var]])</f>
        <v>0</v>
      </c>
      <c r="T79">
        <f>(Tabela2[[#This Row],[CAEC_lanche_entre_refeicoes]]*Tabela2[[#This Row],[FAVC_consumo_frequente_de_alimentos_mt_caloricos]])</f>
        <v>1</v>
      </c>
      <c r="U79" s="1">
        <f>IF(OR(Tabela2[[#This Row],[MTRANS]]="Walking",Tabela2[[#This Row],[MTRANS]]="Bike"),Tabela2[[#This Row],[FAF_atividade_fisica_frequente_em_horas]]+1,M79)</f>
        <v>0</v>
      </c>
      <c r="V79">
        <f>(Tabela2[[#This Row],[SMOKE]]+Tabela2[[#This Row],[CALC_bebe_alcool_frequentemente]])</f>
        <v>0</v>
      </c>
      <c r="W79" s="8">
        <f>(Tabela2[[#This Row],[Weight]]/(Tabela2[[#This Row],[Height]] ^2))</f>
        <v>27.681660899653981</v>
      </c>
    </row>
    <row r="80" spans="1:23" x14ac:dyDescent="0.25">
      <c r="A80" t="s">
        <v>13</v>
      </c>
      <c r="B80" s="7">
        <v>23</v>
      </c>
      <c r="C80" s="4">
        <v>1.65</v>
      </c>
      <c r="D80" s="7">
        <v>90</v>
      </c>
      <c r="E80">
        <v>1</v>
      </c>
      <c r="F80">
        <v>1</v>
      </c>
      <c r="G80" s="2">
        <v>2</v>
      </c>
      <c r="H80" s="2">
        <v>3</v>
      </c>
      <c r="I80">
        <v>1</v>
      </c>
      <c r="J80">
        <v>0</v>
      </c>
      <c r="K80" s="2">
        <v>3</v>
      </c>
      <c r="L80">
        <v>0</v>
      </c>
      <c r="M80" s="7">
        <v>0</v>
      </c>
      <c r="N80" s="7">
        <v>1</v>
      </c>
      <c r="O80">
        <v>0</v>
      </c>
      <c r="P80" t="s">
        <v>14</v>
      </c>
      <c r="Q80">
        <v>4</v>
      </c>
      <c r="R80" s="8">
        <f>(Tabela2[[#This Row],[FAF_atividade_fisica_frequente_em_horas]]+ 0.1)</f>
        <v>0.1</v>
      </c>
      <c r="S80" s="1">
        <f>(Tabela2[[#This Row],[TUE_tempo_uso_aparelhos_em_horas]]/Tabela2[[#This Row],[FAF_Var]])</f>
        <v>10</v>
      </c>
      <c r="T80">
        <f>(Tabela2[[#This Row],[CAEC_lanche_entre_refeicoes]]*Tabela2[[#This Row],[FAVC_consumo_frequente_de_alimentos_mt_caloricos]])</f>
        <v>1</v>
      </c>
      <c r="U80" s="1">
        <f>IF(OR(Tabela2[[#This Row],[MTRANS]]="Walking",Tabela2[[#This Row],[MTRANS]]="Bike"),Tabela2[[#This Row],[FAF_atividade_fisica_frequente_em_horas]]+1,M80)</f>
        <v>0</v>
      </c>
      <c r="V80">
        <f>(Tabela2[[#This Row],[SMOKE]]+Tabela2[[#This Row],[CALC_bebe_alcool_frequentemente]])</f>
        <v>0</v>
      </c>
      <c r="W80" s="8">
        <f>(Tabela2[[#This Row],[Weight]]/(Tabela2[[#This Row],[Height]] ^2))</f>
        <v>33.057851239669425</v>
      </c>
    </row>
    <row r="81" spans="1:23" x14ac:dyDescent="0.25">
      <c r="A81" t="s">
        <v>15</v>
      </c>
      <c r="B81" s="7">
        <v>23</v>
      </c>
      <c r="C81" s="4">
        <v>1.65</v>
      </c>
      <c r="D81" s="7">
        <v>60</v>
      </c>
      <c r="E81">
        <v>1</v>
      </c>
      <c r="F81">
        <v>0</v>
      </c>
      <c r="G81" s="2">
        <v>2</v>
      </c>
      <c r="H81" s="2">
        <v>3</v>
      </c>
      <c r="I81">
        <v>1</v>
      </c>
      <c r="J81">
        <v>0</v>
      </c>
      <c r="K81" s="2">
        <v>2</v>
      </c>
      <c r="L81">
        <v>0</v>
      </c>
      <c r="M81" s="7">
        <v>0</v>
      </c>
      <c r="N81" s="7">
        <v>0</v>
      </c>
      <c r="O81">
        <v>1</v>
      </c>
      <c r="P81" t="s">
        <v>14</v>
      </c>
      <c r="Q81">
        <v>1</v>
      </c>
      <c r="R81" s="8">
        <f>(Tabela2[[#This Row],[FAF_atividade_fisica_frequente_em_horas]]+ 0.1)</f>
        <v>0.1</v>
      </c>
      <c r="S81" s="1">
        <f>(Tabela2[[#This Row],[TUE_tempo_uso_aparelhos_em_horas]]/Tabela2[[#This Row],[FAF_Var]])</f>
        <v>0</v>
      </c>
      <c r="T81">
        <f>(Tabela2[[#This Row],[CAEC_lanche_entre_refeicoes]]*Tabela2[[#This Row],[FAVC_consumo_frequente_de_alimentos_mt_caloricos]])</f>
        <v>0</v>
      </c>
      <c r="U81" s="1">
        <f>IF(OR(Tabela2[[#This Row],[MTRANS]]="Walking",Tabela2[[#This Row],[MTRANS]]="Bike"),Tabela2[[#This Row],[FAF_atividade_fisica_frequente_em_horas]]+1,M81)</f>
        <v>0</v>
      </c>
      <c r="V81">
        <f>(Tabela2[[#This Row],[SMOKE]]+Tabela2[[#This Row],[CALC_bebe_alcool_frequentemente]])</f>
        <v>1</v>
      </c>
      <c r="W81" s="8">
        <f>(Tabela2[[#This Row],[Weight]]/(Tabela2[[#This Row],[Height]] ^2))</f>
        <v>22.03856749311295</v>
      </c>
    </row>
    <row r="82" spans="1:23" x14ac:dyDescent="0.25">
      <c r="A82" t="s">
        <v>13</v>
      </c>
      <c r="B82" s="7">
        <v>19</v>
      </c>
      <c r="C82" s="4">
        <v>1.63</v>
      </c>
      <c r="D82" s="7">
        <v>58</v>
      </c>
      <c r="E82">
        <v>0</v>
      </c>
      <c r="F82">
        <v>0</v>
      </c>
      <c r="G82" s="2">
        <v>3</v>
      </c>
      <c r="H82" s="2">
        <v>3</v>
      </c>
      <c r="I82">
        <v>1</v>
      </c>
      <c r="J82">
        <v>0</v>
      </c>
      <c r="K82" s="2">
        <v>2</v>
      </c>
      <c r="L82">
        <v>1</v>
      </c>
      <c r="M82" s="7">
        <v>0</v>
      </c>
      <c r="N82" s="7">
        <v>0</v>
      </c>
      <c r="O82">
        <v>0</v>
      </c>
      <c r="P82" t="s">
        <v>14</v>
      </c>
      <c r="Q82">
        <v>1</v>
      </c>
      <c r="R82" s="8">
        <f>(Tabela2[[#This Row],[FAF_atividade_fisica_frequente_em_horas]]+ 0.1)</f>
        <v>0.1</v>
      </c>
      <c r="S82" s="1">
        <f>(Tabela2[[#This Row],[TUE_tempo_uso_aparelhos_em_horas]]/Tabela2[[#This Row],[FAF_Var]])</f>
        <v>0</v>
      </c>
      <c r="T82">
        <f>(Tabela2[[#This Row],[CAEC_lanche_entre_refeicoes]]*Tabela2[[#This Row],[FAVC_consumo_frequente_de_alimentos_mt_caloricos]])</f>
        <v>0</v>
      </c>
      <c r="U82" s="1">
        <f>IF(OR(Tabela2[[#This Row],[MTRANS]]="Walking",Tabela2[[#This Row],[MTRANS]]="Bike"),Tabela2[[#This Row],[FAF_atividade_fisica_frequente_em_horas]]+1,M82)</f>
        <v>0</v>
      </c>
      <c r="V82">
        <f>(Tabela2[[#This Row],[SMOKE]]+Tabela2[[#This Row],[CALC_bebe_alcool_frequentemente]])</f>
        <v>0</v>
      </c>
      <c r="W82" s="8">
        <f>(Tabela2[[#This Row],[Weight]]/(Tabela2[[#This Row],[Height]] ^2))</f>
        <v>21.829952199932254</v>
      </c>
    </row>
    <row r="83" spans="1:23" x14ac:dyDescent="0.25">
      <c r="A83" t="s">
        <v>15</v>
      </c>
      <c r="B83" s="7">
        <v>30</v>
      </c>
      <c r="C83" s="4">
        <v>1.8</v>
      </c>
      <c r="D83" s="7">
        <v>91</v>
      </c>
      <c r="E83">
        <v>1</v>
      </c>
      <c r="F83">
        <v>1</v>
      </c>
      <c r="G83" s="2">
        <v>2</v>
      </c>
      <c r="H83" s="2">
        <v>3</v>
      </c>
      <c r="I83">
        <v>2</v>
      </c>
      <c r="J83">
        <v>0</v>
      </c>
      <c r="K83" s="2">
        <v>2</v>
      </c>
      <c r="L83">
        <v>0</v>
      </c>
      <c r="M83" s="7">
        <v>0</v>
      </c>
      <c r="N83" s="7">
        <v>0</v>
      </c>
      <c r="O83">
        <v>1</v>
      </c>
      <c r="P83" t="s">
        <v>14</v>
      </c>
      <c r="Q83">
        <v>3</v>
      </c>
      <c r="R83" s="8">
        <f>(Tabela2[[#This Row],[FAF_atividade_fisica_frequente_em_horas]]+ 0.1)</f>
        <v>0.1</v>
      </c>
      <c r="S83" s="1">
        <f>(Tabela2[[#This Row],[TUE_tempo_uso_aparelhos_em_horas]]/Tabela2[[#This Row],[FAF_Var]])</f>
        <v>0</v>
      </c>
      <c r="T83">
        <f>(Tabela2[[#This Row],[CAEC_lanche_entre_refeicoes]]*Tabela2[[#This Row],[FAVC_consumo_frequente_de_alimentos_mt_caloricos]])</f>
        <v>2</v>
      </c>
      <c r="U83" s="1">
        <f>IF(OR(Tabela2[[#This Row],[MTRANS]]="Walking",Tabela2[[#This Row],[MTRANS]]="Bike"),Tabela2[[#This Row],[FAF_atividade_fisica_frequente_em_horas]]+1,M83)</f>
        <v>0</v>
      </c>
      <c r="V83">
        <f>(Tabela2[[#This Row],[SMOKE]]+Tabela2[[#This Row],[CALC_bebe_alcool_frequentemente]])</f>
        <v>1</v>
      </c>
      <c r="W83" s="8">
        <f>(Tabela2[[#This Row],[Weight]]/(Tabela2[[#This Row],[Height]] ^2))</f>
        <v>28.086419753086417</v>
      </c>
    </row>
    <row r="84" spans="1:23" x14ac:dyDescent="0.25">
      <c r="A84" t="s">
        <v>15</v>
      </c>
      <c r="B84" s="7">
        <v>23</v>
      </c>
      <c r="C84" s="4">
        <v>1.67</v>
      </c>
      <c r="D84" s="7">
        <v>85.5</v>
      </c>
      <c r="E84">
        <v>1</v>
      </c>
      <c r="F84">
        <v>1</v>
      </c>
      <c r="G84" s="2">
        <v>2</v>
      </c>
      <c r="H84" s="2">
        <v>3</v>
      </c>
      <c r="I84">
        <v>3</v>
      </c>
      <c r="J84">
        <v>0</v>
      </c>
      <c r="K84" s="2">
        <v>2</v>
      </c>
      <c r="L84">
        <v>0</v>
      </c>
      <c r="M84" s="7">
        <v>0</v>
      </c>
      <c r="N84" s="7">
        <v>1</v>
      </c>
      <c r="O84">
        <v>0</v>
      </c>
      <c r="P84" t="s">
        <v>14</v>
      </c>
      <c r="Q84">
        <v>4</v>
      </c>
      <c r="R84" s="8">
        <f>(Tabela2[[#This Row],[FAF_atividade_fisica_frequente_em_horas]]+ 0.1)</f>
        <v>0.1</v>
      </c>
      <c r="S84" s="1">
        <f>(Tabela2[[#This Row],[TUE_tempo_uso_aparelhos_em_horas]]/Tabela2[[#This Row],[FAF_Var]])</f>
        <v>10</v>
      </c>
      <c r="T84">
        <f>(Tabela2[[#This Row],[CAEC_lanche_entre_refeicoes]]*Tabela2[[#This Row],[FAVC_consumo_frequente_de_alimentos_mt_caloricos]])</f>
        <v>3</v>
      </c>
      <c r="U84" s="1">
        <f>IF(OR(Tabela2[[#This Row],[MTRANS]]="Walking",Tabela2[[#This Row],[MTRANS]]="Bike"),Tabela2[[#This Row],[FAF_atividade_fisica_frequente_em_horas]]+1,M84)</f>
        <v>0</v>
      </c>
      <c r="V84">
        <f>(Tabela2[[#This Row],[SMOKE]]+Tabela2[[#This Row],[CALC_bebe_alcool_frequentemente]])</f>
        <v>0</v>
      </c>
      <c r="W84" s="8">
        <f>(Tabela2[[#This Row],[Weight]]/(Tabela2[[#This Row],[Height]] ^2))</f>
        <v>30.657248377496504</v>
      </c>
    </row>
    <row r="85" spans="1:23" x14ac:dyDescent="0.25">
      <c r="A85" t="s">
        <v>13</v>
      </c>
      <c r="B85" s="7">
        <v>19</v>
      </c>
      <c r="C85" s="4">
        <v>1.6</v>
      </c>
      <c r="D85" s="7">
        <v>45</v>
      </c>
      <c r="E85">
        <v>0</v>
      </c>
      <c r="F85">
        <v>0</v>
      </c>
      <c r="G85" s="2">
        <v>3</v>
      </c>
      <c r="H85" s="2">
        <v>3</v>
      </c>
      <c r="I85">
        <v>0</v>
      </c>
      <c r="J85">
        <v>0</v>
      </c>
      <c r="K85" s="2">
        <v>3</v>
      </c>
      <c r="L85">
        <v>1</v>
      </c>
      <c r="M85" s="7">
        <v>2</v>
      </c>
      <c r="N85" s="7">
        <v>0</v>
      </c>
      <c r="O85">
        <v>0</v>
      </c>
      <c r="P85" t="s">
        <v>16</v>
      </c>
      <c r="Q85">
        <v>0</v>
      </c>
      <c r="R85" s="8">
        <f>(Tabela2[[#This Row],[FAF_atividade_fisica_frequente_em_horas]]+ 0.1)</f>
        <v>2.1</v>
      </c>
      <c r="S85" s="1">
        <f>(Tabela2[[#This Row],[TUE_tempo_uso_aparelhos_em_horas]]/Tabela2[[#This Row],[FAF_Var]])</f>
        <v>0</v>
      </c>
      <c r="T85">
        <f>(Tabela2[[#This Row],[CAEC_lanche_entre_refeicoes]]*Tabela2[[#This Row],[FAVC_consumo_frequente_de_alimentos_mt_caloricos]])</f>
        <v>0</v>
      </c>
      <c r="U85" s="1">
        <f>IF(OR(Tabela2[[#This Row],[MTRANS]]="Walking",Tabela2[[#This Row],[MTRANS]]="Bike"),Tabela2[[#This Row],[FAF_atividade_fisica_frequente_em_horas]]+1,M85)</f>
        <v>3</v>
      </c>
      <c r="V85">
        <f>(Tabela2[[#This Row],[SMOKE]]+Tabela2[[#This Row],[CALC_bebe_alcool_frequentemente]])</f>
        <v>0</v>
      </c>
      <c r="W85" s="8">
        <f>(Tabela2[[#This Row],[Weight]]/(Tabela2[[#This Row],[Height]] ^2))</f>
        <v>17.578124999999996</v>
      </c>
    </row>
    <row r="86" spans="1:23" x14ac:dyDescent="0.25">
      <c r="A86" t="s">
        <v>15</v>
      </c>
      <c r="B86" s="7">
        <v>25</v>
      </c>
      <c r="C86" s="4">
        <v>1.7</v>
      </c>
      <c r="D86" s="7">
        <v>83</v>
      </c>
      <c r="E86">
        <v>1</v>
      </c>
      <c r="F86">
        <v>1</v>
      </c>
      <c r="G86" s="2">
        <v>2</v>
      </c>
      <c r="H86" s="2">
        <v>3</v>
      </c>
      <c r="I86">
        <v>2</v>
      </c>
      <c r="J86">
        <v>0</v>
      </c>
      <c r="K86" s="2">
        <v>2</v>
      </c>
      <c r="L86">
        <v>0</v>
      </c>
      <c r="M86" s="7">
        <v>0</v>
      </c>
      <c r="N86" s="7">
        <v>1</v>
      </c>
      <c r="O86">
        <v>1</v>
      </c>
      <c r="P86" t="s">
        <v>14</v>
      </c>
      <c r="Q86">
        <v>3</v>
      </c>
      <c r="R86" s="8">
        <f>(Tabela2[[#This Row],[FAF_atividade_fisica_frequente_em_horas]]+ 0.1)</f>
        <v>0.1</v>
      </c>
      <c r="S86" s="1">
        <f>(Tabela2[[#This Row],[TUE_tempo_uso_aparelhos_em_horas]]/Tabela2[[#This Row],[FAF_Var]])</f>
        <v>10</v>
      </c>
      <c r="T86">
        <f>(Tabela2[[#This Row],[CAEC_lanche_entre_refeicoes]]*Tabela2[[#This Row],[FAVC_consumo_frequente_de_alimentos_mt_caloricos]])</f>
        <v>2</v>
      </c>
      <c r="U86" s="1">
        <f>IF(OR(Tabela2[[#This Row],[MTRANS]]="Walking",Tabela2[[#This Row],[MTRANS]]="Bike"),Tabela2[[#This Row],[FAF_atividade_fisica_frequente_em_horas]]+1,M86)</f>
        <v>0</v>
      </c>
      <c r="V86">
        <f>(Tabela2[[#This Row],[SMOKE]]+Tabela2[[#This Row],[CALC_bebe_alcool_frequentemente]])</f>
        <v>1</v>
      </c>
      <c r="W86" s="8">
        <f>(Tabela2[[#This Row],[Weight]]/(Tabela2[[#This Row],[Height]] ^2))</f>
        <v>28.719723183391007</v>
      </c>
    </row>
    <row r="87" spans="1:23" x14ac:dyDescent="0.25">
      <c r="A87" t="s">
        <v>15</v>
      </c>
      <c r="B87" s="7">
        <v>23</v>
      </c>
      <c r="C87" s="4">
        <v>1.65</v>
      </c>
      <c r="D87" s="7">
        <v>58.5</v>
      </c>
      <c r="E87">
        <v>1</v>
      </c>
      <c r="F87">
        <v>0</v>
      </c>
      <c r="G87" s="2">
        <v>2</v>
      </c>
      <c r="H87" s="2">
        <v>3</v>
      </c>
      <c r="I87">
        <v>1</v>
      </c>
      <c r="J87">
        <v>0</v>
      </c>
      <c r="K87" s="2">
        <v>2</v>
      </c>
      <c r="L87">
        <v>0</v>
      </c>
      <c r="M87" s="7">
        <v>0</v>
      </c>
      <c r="N87" s="7">
        <v>0</v>
      </c>
      <c r="O87">
        <v>0</v>
      </c>
      <c r="P87" t="s">
        <v>14</v>
      </c>
      <c r="Q87">
        <v>1</v>
      </c>
      <c r="R87" s="8">
        <f>(Tabela2[[#This Row],[FAF_atividade_fisica_frequente_em_horas]]+ 0.1)</f>
        <v>0.1</v>
      </c>
      <c r="S87" s="1">
        <f>(Tabela2[[#This Row],[TUE_tempo_uso_aparelhos_em_horas]]/Tabela2[[#This Row],[FAF_Var]])</f>
        <v>0</v>
      </c>
      <c r="T87">
        <f>(Tabela2[[#This Row],[CAEC_lanche_entre_refeicoes]]*Tabela2[[#This Row],[FAVC_consumo_frequente_de_alimentos_mt_caloricos]])</f>
        <v>0</v>
      </c>
      <c r="U87" s="1">
        <f>IF(OR(Tabela2[[#This Row],[MTRANS]]="Walking",Tabela2[[#This Row],[MTRANS]]="Bike"),Tabela2[[#This Row],[FAF_atividade_fisica_frequente_em_horas]]+1,M87)</f>
        <v>0</v>
      </c>
      <c r="V87">
        <f>(Tabela2[[#This Row],[SMOKE]]+Tabela2[[#This Row],[CALC_bebe_alcool_frequentemente]])</f>
        <v>0</v>
      </c>
      <c r="W87" s="8">
        <f>(Tabela2[[#This Row],[Weight]]/(Tabela2[[#This Row],[Height]] ^2))</f>
        <v>21.487603305785125</v>
      </c>
    </row>
    <row r="88" spans="1:23" x14ac:dyDescent="0.25">
      <c r="A88" t="s">
        <v>15</v>
      </c>
      <c r="B88" s="7">
        <v>21</v>
      </c>
      <c r="C88" s="4">
        <v>1.85</v>
      </c>
      <c r="D88" s="7">
        <v>83</v>
      </c>
      <c r="E88">
        <v>1</v>
      </c>
      <c r="F88">
        <v>1</v>
      </c>
      <c r="G88" s="2">
        <v>2</v>
      </c>
      <c r="H88" s="2">
        <v>1</v>
      </c>
      <c r="I88">
        <v>2</v>
      </c>
      <c r="J88">
        <v>0</v>
      </c>
      <c r="K88" s="2">
        <v>3</v>
      </c>
      <c r="L88">
        <v>0</v>
      </c>
      <c r="M88" s="7">
        <v>1</v>
      </c>
      <c r="N88" s="7">
        <v>0</v>
      </c>
      <c r="O88">
        <v>0</v>
      </c>
      <c r="P88" t="s">
        <v>14</v>
      </c>
      <c r="Q88">
        <v>1</v>
      </c>
      <c r="R88" s="8">
        <f>(Tabela2[[#This Row],[FAF_atividade_fisica_frequente_em_horas]]+ 0.1)</f>
        <v>1.1000000000000001</v>
      </c>
      <c r="S88" s="1">
        <f>(Tabela2[[#This Row],[TUE_tempo_uso_aparelhos_em_horas]]/Tabela2[[#This Row],[FAF_Var]])</f>
        <v>0</v>
      </c>
      <c r="T88">
        <f>(Tabela2[[#This Row],[CAEC_lanche_entre_refeicoes]]*Tabela2[[#This Row],[FAVC_consumo_frequente_de_alimentos_mt_caloricos]])</f>
        <v>2</v>
      </c>
      <c r="U88" s="1">
        <f>IF(OR(Tabela2[[#This Row],[MTRANS]]="Walking",Tabela2[[#This Row],[MTRANS]]="Bike"),Tabela2[[#This Row],[FAF_atividade_fisica_frequente_em_horas]]+1,M88)</f>
        <v>1</v>
      </c>
      <c r="V88">
        <f>(Tabela2[[#This Row],[SMOKE]]+Tabela2[[#This Row],[CALC_bebe_alcool_frequentemente]])</f>
        <v>0</v>
      </c>
      <c r="W88" s="8">
        <f>(Tabela2[[#This Row],[Weight]]/(Tabela2[[#This Row],[Height]] ^2))</f>
        <v>24.251278305332356</v>
      </c>
    </row>
    <row r="89" spans="1:23" x14ac:dyDescent="0.25">
      <c r="A89" t="s">
        <v>15</v>
      </c>
      <c r="B89" s="7">
        <v>19</v>
      </c>
      <c r="C89" s="4">
        <v>1.82</v>
      </c>
      <c r="D89" s="7">
        <v>87</v>
      </c>
      <c r="E89">
        <v>1</v>
      </c>
      <c r="F89">
        <v>1</v>
      </c>
      <c r="G89" s="2">
        <v>2</v>
      </c>
      <c r="H89" s="2">
        <v>3</v>
      </c>
      <c r="I89">
        <v>1</v>
      </c>
      <c r="J89">
        <v>0</v>
      </c>
      <c r="K89" s="2">
        <v>2</v>
      </c>
      <c r="L89">
        <v>0</v>
      </c>
      <c r="M89" s="7">
        <v>0</v>
      </c>
      <c r="N89" s="7">
        <v>0</v>
      </c>
      <c r="O89">
        <v>0</v>
      </c>
      <c r="P89" t="s">
        <v>14</v>
      </c>
      <c r="Q89">
        <v>2</v>
      </c>
      <c r="R89" s="8">
        <f>(Tabela2[[#This Row],[FAF_atividade_fisica_frequente_em_horas]]+ 0.1)</f>
        <v>0.1</v>
      </c>
      <c r="S89" s="1">
        <f>(Tabela2[[#This Row],[TUE_tempo_uso_aparelhos_em_horas]]/Tabela2[[#This Row],[FAF_Var]])</f>
        <v>0</v>
      </c>
      <c r="T89">
        <f>(Tabela2[[#This Row],[CAEC_lanche_entre_refeicoes]]*Tabela2[[#This Row],[FAVC_consumo_frequente_de_alimentos_mt_caloricos]])</f>
        <v>1</v>
      </c>
      <c r="U89" s="1">
        <f>IF(OR(Tabela2[[#This Row],[MTRANS]]="Walking",Tabela2[[#This Row],[MTRANS]]="Bike"),Tabela2[[#This Row],[FAF_atividade_fisica_frequente_em_horas]]+1,M89)</f>
        <v>0</v>
      </c>
      <c r="V89">
        <f>(Tabela2[[#This Row],[SMOKE]]+Tabela2[[#This Row],[CALC_bebe_alcool_frequentemente]])</f>
        <v>0</v>
      </c>
      <c r="W89" s="8">
        <f>(Tabela2[[#This Row],[Weight]]/(Tabela2[[#This Row],[Height]] ^2))</f>
        <v>26.26494384736143</v>
      </c>
    </row>
    <row r="90" spans="1:23" x14ac:dyDescent="0.25">
      <c r="A90" t="s">
        <v>13</v>
      </c>
      <c r="B90" s="7">
        <v>22</v>
      </c>
      <c r="C90" s="4">
        <v>1.65</v>
      </c>
      <c r="D90" s="7">
        <v>65</v>
      </c>
      <c r="E90">
        <v>1</v>
      </c>
      <c r="F90">
        <v>1</v>
      </c>
      <c r="G90" s="2">
        <v>2</v>
      </c>
      <c r="H90" s="2">
        <v>3</v>
      </c>
      <c r="I90">
        <v>2</v>
      </c>
      <c r="J90">
        <v>0</v>
      </c>
      <c r="K90" s="2">
        <v>2</v>
      </c>
      <c r="L90">
        <v>1</v>
      </c>
      <c r="M90" s="7">
        <v>1</v>
      </c>
      <c r="N90" s="7">
        <v>0</v>
      </c>
      <c r="O90">
        <v>0</v>
      </c>
      <c r="P90" t="s">
        <v>17</v>
      </c>
      <c r="Q90">
        <v>1</v>
      </c>
      <c r="R90" s="8">
        <f>(Tabela2[[#This Row],[FAF_atividade_fisica_frequente_em_horas]]+ 0.1)</f>
        <v>1.1000000000000001</v>
      </c>
      <c r="S90" s="1">
        <f>(Tabela2[[#This Row],[TUE_tempo_uso_aparelhos_em_horas]]/Tabela2[[#This Row],[FAF_Var]])</f>
        <v>0</v>
      </c>
      <c r="T90">
        <f>(Tabela2[[#This Row],[CAEC_lanche_entre_refeicoes]]*Tabela2[[#This Row],[FAVC_consumo_frequente_de_alimentos_mt_caloricos]])</f>
        <v>2</v>
      </c>
      <c r="U90" s="1">
        <f>IF(OR(Tabela2[[#This Row],[MTRANS]]="Walking",Tabela2[[#This Row],[MTRANS]]="Bike"),Tabela2[[#This Row],[FAF_atividade_fisica_frequente_em_horas]]+1,M90)</f>
        <v>1</v>
      </c>
      <c r="V90">
        <f>(Tabela2[[#This Row],[SMOKE]]+Tabela2[[#This Row],[CALC_bebe_alcool_frequentemente]])</f>
        <v>0</v>
      </c>
      <c r="W90" s="8">
        <f>(Tabela2[[#This Row],[Weight]]/(Tabela2[[#This Row],[Height]] ^2))</f>
        <v>23.875114784205696</v>
      </c>
    </row>
    <row r="91" spans="1:23" x14ac:dyDescent="0.25">
      <c r="A91" t="s">
        <v>13</v>
      </c>
      <c r="B91" s="7">
        <v>29</v>
      </c>
      <c r="C91" s="4">
        <v>1.7</v>
      </c>
      <c r="D91" s="7">
        <v>78</v>
      </c>
      <c r="E91">
        <v>1</v>
      </c>
      <c r="F91">
        <v>1</v>
      </c>
      <c r="G91" s="2">
        <v>3</v>
      </c>
      <c r="H91" s="2">
        <v>3</v>
      </c>
      <c r="I91">
        <v>1</v>
      </c>
      <c r="J91">
        <v>0</v>
      </c>
      <c r="K91" s="2">
        <v>1</v>
      </c>
      <c r="L91">
        <v>0</v>
      </c>
      <c r="M91" s="7">
        <v>2</v>
      </c>
      <c r="N91" s="7">
        <v>1</v>
      </c>
      <c r="O91">
        <v>2</v>
      </c>
      <c r="P91" t="s">
        <v>17</v>
      </c>
      <c r="Q91">
        <v>3</v>
      </c>
      <c r="R91" s="8">
        <f>(Tabela2[[#This Row],[FAF_atividade_fisica_frequente_em_horas]]+ 0.1)</f>
        <v>2.1</v>
      </c>
      <c r="S91" s="1">
        <f>(Tabela2[[#This Row],[TUE_tempo_uso_aparelhos_em_horas]]/Tabela2[[#This Row],[FAF_Var]])</f>
        <v>0.47619047619047616</v>
      </c>
      <c r="T91">
        <f>(Tabela2[[#This Row],[CAEC_lanche_entre_refeicoes]]*Tabela2[[#This Row],[FAVC_consumo_frequente_de_alimentos_mt_caloricos]])</f>
        <v>1</v>
      </c>
      <c r="U91" s="1">
        <f>IF(OR(Tabela2[[#This Row],[MTRANS]]="Walking",Tabela2[[#This Row],[MTRANS]]="Bike"),Tabela2[[#This Row],[FAF_atividade_fisica_frequente_em_horas]]+1,M91)</f>
        <v>2</v>
      </c>
      <c r="V91">
        <f>(Tabela2[[#This Row],[SMOKE]]+Tabela2[[#This Row],[CALC_bebe_alcool_frequentemente]])</f>
        <v>2</v>
      </c>
      <c r="W91" s="8">
        <f>(Tabela2[[#This Row],[Weight]]/(Tabela2[[#This Row],[Height]] ^2))</f>
        <v>26.989619377162633</v>
      </c>
    </row>
    <row r="92" spans="1:23" x14ac:dyDescent="0.25">
      <c r="A92" t="s">
        <v>13</v>
      </c>
      <c r="B92" s="7">
        <v>25</v>
      </c>
      <c r="C92" s="4">
        <v>1.63</v>
      </c>
      <c r="D92" s="7">
        <v>93</v>
      </c>
      <c r="E92">
        <v>0</v>
      </c>
      <c r="F92">
        <v>0</v>
      </c>
      <c r="G92" s="2">
        <v>3</v>
      </c>
      <c r="H92" s="2">
        <v>4</v>
      </c>
      <c r="I92">
        <v>3</v>
      </c>
      <c r="J92">
        <v>0</v>
      </c>
      <c r="K92" s="2">
        <v>1</v>
      </c>
      <c r="L92">
        <v>0</v>
      </c>
      <c r="M92" s="7">
        <v>2</v>
      </c>
      <c r="N92" s="7">
        <v>0</v>
      </c>
      <c r="O92">
        <v>0</v>
      </c>
      <c r="P92" t="s">
        <v>14</v>
      </c>
      <c r="Q92">
        <v>5</v>
      </c>
      <c r="R92" s="8">
        <f>(Tabela2[[#This Row],[FAF_atividade_fisica_frequente_em_horas]]+ 0.1)</f>
        <v>2.1</v>
      </c>
      <c r="S92" s="1">
        <f>(Tabela2[[#This Row],[TUE_tempo_uso_aparelhos_em_horas]]/Tabela2[[#This Row],[FAF_Var]])</f>
        <v>0</v>
      </c>
      <c r="T92">
        <f>(Tabela2[[#This Row],[CAEC_lanche_entre_refeicoes]]*Tabela2[[#This Row],[FAVC_consumo_frequente_de_alimentos_mt_caloricos]])</f>
        <v>0</v>
      </c>
      <c r="U92" s="1">
        <f>IF(OR(Tabela2[[#This Row],[MTRANS]]="Walking",Tabela2[[#This Row],[MTRANS]]="Bike"),Tabela2[[#This Row],[FAF_atividade_fisica_frequente_em_horas]]+1,M92)</f>
        <v>2</v>
      </c>
      <c r="V92">
        <f>(Tabela2[[#This Row],[SMOKE]]+Tabela2[[#This Row],[CALC_bebe_alcool_frequentemente]])</f>
        <v>0</v>
      </c>
      <c r="W92" s="8">
        <f>(Tabela2[[#This Row],[Weight]]/(Tabela2[[#This Row],[Height]] ^2))</f>
        <v>35.003199217132753</v>
      </c>
    </row>
    <row r="93" spans="1:23" x14ac:dyDescent="0.25">
      <c r="A93" t="s">
        <v>13</v>
      </c>
      <c r="B93" s="7">
        <v>20</v>
      </c>
      <c r="C93" s="4">
        <v>1.61</v>
      </c>
      <c r="D93" s="7">
        <v>64</v>
      </c>
      <c r="E93">
        <v>1</v>
      </c>
      <c r="F93">
        <v>0</v>
      </c>
      <c r="G93" s="2">
        <v>3</v>
      </c>
      <c r="H93" s="2">
        <v>3</v>
      </c>
      <c r="I93">
        <v>3</v>
      </c>
      <c r="J93">
        <v>0</v>
      </c>
      <c r="K93" s="2">
        <v>2</v>
      </c>
      <c r="L93">
        <v>1</v>
      </c>
      <c r="M93" s="7">
        <v>0</v>
      </c>
      <c r="N93" s="7">
        <v>1</v>
      </c>
      <c r="O93">
        <v>2</v>
      </c>
      <c r="P93" t="s">
        <v>14</v>
      </c>
      <c r="Q93">
        <v>1</v>
      </c>
      <c r="R93" s="8">
        <f>(Tabela2[[#This Row],[FAF_atividade_fisica_frequente_em_horas]]+ 0.1)</f>
        <v>0.1</v>
      </c>
      <c r="S93" s="1">
        <f>(Tabela2[[#This Row],[TUE_tempo_uso_aparelhos_em_horas]]/Tabela2[[#This Row],[FAF_Var]])</f>
        <v>10</v>
      </c>
      <c r="T93">
        <f>(Tabela2[[#This Row],[CAEC_lanche_entre_refeicoes]]*Tabela2[[#This Row],[FAVC_consumo_frequente_de_alimentos_mt_caloricos]])</f>
        <v>0</v>
      </c>
      <c r="U93" s="1">
        <f>IF(OR(Tabela2[[#This Row],[MTRANS]]="Walking",Tabela2[[#This Row],[MTRANS]]="Bike"),Tabela2[[#This Row],[FAF_atividade_fisica_frequente_em_horas]]+1,M93)</f>
        <v>0</v>
      </c>
      <c r="V93">
        <f>(Tabela2[[#This Row],[SMOKE]]+Tabela2[[#This Row],[CALC_bebe_alcool_frequentemente]])</f>
        <v>2</v>
      </c>
      <c r="W93" s="8">
        <f>(Tabela2[[#This Row],[Weight]]/(Tabela2[[#This Row],[Height]] ^2))</f>
        <v>24.690405462752206</v>
      </c>
    </row>
    <row r="94" spans="1:23" x14ac:dyDescent="0.25">
      <c r="A94" t="s">
        <v>15</v>
      </c>
      <c r="B94" s="7">
        <v>55</v>
      </c>
      <c r="C94" s="4">
        <v>1.78</v>
      </c>
      <c r="D94" s="7">
        <v>84</v>
      </c>
      <c r="E94">
        <v>1</v>
      </c>
      <c r="F94">
        <v>0</v>
      </c>
      <c r="G94" s="2">
        <v>3</v>
      </c>
      <c r="H94" s="2">
        <v>4</v>
      </c>
      <c r="I94">
        <v>2</v>
      </c>
      <c r="J94">
        <v>0</v>
      </c>
      <c r="K94" s="2">
        <v>3</v>
      </c>
      <c r="L94">
        <v>1</v>
      </c>
      <c r="M94" s="7">
        <v>3</v>
      </c>
      <c r="N94" s="7">
        <v>0</v>
      </c>
      <c r="O94">
        <v>2</v>
      </c>
      <c r="P94" t="s">
        <v>16</v>
      </c>
      <c r="Q94">
        <v>2</v>
      </c>
      <c r="R94" s="8">
        <f>(Tabela2[[#This Row],[FAF_atividade_fisica_frequente_em_horas]]+ 0.1)</f>
        <v>3.1</v>
      </c>
      <c r="S94" s="1">
        <f>(Tabela2[[#This Row],[TUE_tempo_uso_aparelhos_em_horas]]/Tabela2[[#This Row],[FAF_Var]])</f>
        <v>0</v>
      </c>
      <c r="T94">
        <f>(Tabela2[[#This Row],[CAEC_lanche_entre_refeicoes]]*Tabela2[[#This Row],[FAVC_consumo_frequente_de_alimentos_mt_caloricos]])</f>
        <v>0</v>
      </c>
      <c r="U94" s="1">
        <f>IF(OR(Tabela2[[#This Row],[MTRANS]]="Walking",Tabela2[[#This Row],[MTRANS]]="Bike"),Tabela2[[#This Row],[FAF_atividade_fisica_frequente_em_horas]]+1,M94)</f>
        <v>4</v>
      </c>
      <c r="V94">
        <f>(Tabela2[[#This Row],[SMOKE]]+Tabela2[[#This Row],[CALC_bebe_alcool_frequentemente]])</f>
        <v>2</v>
      </c>
      <c r="W94" s="8">
        <f>(Tabela2[[#This Row],[Weight]]/(Tabela2[[#This Row],[Height]] ^2))</f>
        <v>26.511804065143288</v>
      </c>
    </row>
    <row r="95" spans="1:23" x14ac:dyDescent="0.25">
      <c r="A95" t="s">
        <v>13</v>
      </c>
      <c r="B95" s="7">
        <v>20</v>
      </c>
      <c r="C95" s="4">
        <v>1.6</v>
      </c>
      <c r="D95" s="7">
        <v>57</v>
      </c>
      <c r="E95">
        <v>0</v>
      </c>
      <c r="F95">
        <v>0</v>
      </c>
      <c r="G95" s="2">
        <v>3</v>
      </c>
      <c r="H95" s="2">
        <v>3</v>
      </c>
      <c r="I95">
        <v>3</v>
      </c>
      <c r="J95">
        <v>0</v>
      </c>
      <c r="K95" s="2">
        <v>2</v>
      </c>
      <c r="L95">
        <v>0</v>
      </c>
      <c r="M95" s="7">
        <v>1</v>
      </c>
      <c r="N95" s="7">
        <v>0</v>
      </c>
      <c r="O95">
        <v>0</v>
      </c>
      <c r="P95" t="s">
        <v>16</v>
      </c>
      <c r="Q95">
        <v>1</v>
      </c>
      <c r="R95" s="8">
        <f>(Tabela2[[#This Row],[FAF_atividade_fisica_frequente_em_horas]]+ 0.1)</f>
        <v>1.1000000000000001</v>
      </c>
      <c r="S95" s="1">
        <f>(Tabela2[[#This Row],[TUE_tempo_uso_aparelhos_em_horas]]/Tabela2[[#This Row],[FAF_Var]])</f>
        <v>0</v>
      </c>
      <c r="T95">
        <f>(Tabela2[[#This Row],[CAEC_lanche_entre_refeicoes]]*Tabela2[[#This Row],[FAVC_consumo_frequente_de_alimentos_mt_caloricos]])</f>
        <v>0</v>
      </c>
      <c r="U95" s="1">
        <f>IF(OR(Tabela2[[#This Row],[MTRANS]]="Walking",Tabela2[[#This Row],[MTRANS]]="Bike"),Tabela2[[#This Row],[FAF_atividade_fisica_frequente_em_horas]]+1,M95)</f>
        <v>2</v>
      </c>
      <c r="V95">
        <f>(Tabela2[[#This Row],[SMOKE]]+Tabela2[[#This Row],[CALC_bebe_alcool_frequentemente]])</f>
        <v>0</v>
      </c>
      <c r="W95" s="8">
        <f>(Tabela2[[#This Row],[Weight]]/(Tabela2[[#This Row],[Height]] ^2))</f>
        <v>22.265624999999996</v>
      </c>
    </row>
    <row r="96" spans="1:23" x14ac:dyDescent="0.25">
      <c r="A96" t="s">
        <v>13</v>
      </c>
      <c r="B96" s="7">
        <v>24</v>
      </c>
      <c r="C96" s="4">
        <v>1.6</v>
      </c>
      <c r="D96" s="7">
        <v>48</v>
      </c>
      <c r="E96">
        <v>0</v>
      </c>
      <c r="F96">
        <v>1</v>
      </c>
      <c r="G96" s="2">
        <v>3</v>
      </c>
      <c r="H96" s="2">
        <v>3</v>
      </c>
      <c r="I96">
        <v>1</v>
      </c>
      <c r="J96">
        <v>0</v>
      </c>
      <c r="K96" s="2">
        <v>2</v>
      </c>
      <c r="L96">
        <v>0</v>
      </c>
      <c r="M96" s="7">
        <v>2</v>
      </c>
      <c r="N96" s="7">
        <v>0</v>
      </c>
      <c r="O96">
        <v>0</v>
      </c>
      <c r="P96" t="s">
        <v>14</v>
      </c>
      <c r="Q96">
        <v>1</v>
      </c>
      <c r="R96" s="8">
        <f>(Tabela2[[#This Row],[FAF_atividade_fisica_frequente_em_horas]]+ 0.1)</f>
        <v>2.1</v>
      </c>
      <c r="S96" s="1">
        <f>(Tabela2[[#This Row],[TUE_tempo_uso_aparelhos_em_horas]]/Tabela2[[#This Row],[FAF_Var]])</f>
        <v>0</v>
      </c>
      <c r="T96">
        <f>(Tabela2[[#This Row],[CAEC_lanche_entre_refeicoes]]*Tabela2[[#This Row],[FAVC_consumo_frequente_de_alimentos_mt_caloricos]])</f>
        <v>1</v>
      </c>
      <c r="U96" s="1">
        <f>IF(OR(Tabela2[[#This Row],[MTRANS]]="Walking",Tabela2[[#This Row],[MTRANS]]="Bike"),Tabela2[[#This Row],[FAF_atividade_fisica_frequente_em_horas]]+1,M96)</f>
        <v>2</v>
      </c>
      <c r="V96">
        <f>(Tabela2[[#This Row],[SMOKE]]+Tabela2[[#This Row],[CALC_bebe_alcool_frequentemente]])</f>
        <v>0</v>
      </c>
      <c r="W96" s="8">
        <f>(Tabela2[[#This Row],[Weight]]/(Tabela2[[#This Row],[Height]] ^2))</f>
        <v>18.749999999999996</v>
      </c>
    </row>
    <row r="97" spans="1:23" x14ac:dyDescent="0.25">
      <c r="A97" t="s">
        <v>15</v>
      </c>
      <c r="B97" s="7">
        <v>26</v>
      </c>
      <c r="C97" s="4">
        <v>1.7</v>
      </c>
      <c r="D97" s="7">
        <v>70</v>
      </c>
      <c r="E97">
        <v>1</v>
      </c>
      <c r="F97">
        <v>0</v>
      </c>
      <c r="G97" s="2">
        <v>3</v>
      </c>
      <c r="H97" s="2">
        <v>1</v>
      </c>
      <c r="I97">
        <v>2</v>
      </c>
      <c r="J97">
        <v>0</v>
      </c>
      <c r="K97" s="2">
        <v>2</v>
      </c>
      <c r="L97">
        <v>0</v>
      </c>
      <c r="M97" s="7">
        <v>2</v>
      </c>
      <c r="N97" s="7">
        <v>0</v>
      </c>
      <c r="O97">
        <v>2</v>
      </c>
      <c r="P97" t="s">
        <v>14</v>
      </c>
      <c r="Q97">
        <v>1</v>
      </c>
      <c r="R97" s="8">
        <f>(Tabela2[[#This Row],[FAF_atividade_fisica_frequente_em_horas]]+ 0.1)</f>
        <v>2.1</v>
      </c>
      <c r="S97" s="1">
        <f>(Tabela2[[#This Row],[TUE_tempo_uso_aparelhos_em_horas]]/Tabela2[[#This Row],[FAF_Var]])</f>
        <v>0</v>
      </c>
      <c r="T97">
        <f>(Tabela2[[#This Row],[CAEC_lanche_entre_refeicoes]]*Tabela2[[#This Row],[FAVC_consumo_frequente_de_alimentos_mt_caloricos]])</f>
        <v>0</v>
      </c>
      <c r="U97" s="1">
        <f>IF(OR(Tabela2[[#This Row],[MTRANS]]="Walking",Tabela2[[#This Row],[MTRANS]]="Bike"),Tabela2[[#This Row],[FAF_atividade_fisica_frequente_em_horas]]+1,M97)</f>
        <v>2</v>
      </c>
      <c r="V97">
        <f>(Tabela2[[#This Row],[SMOKE]]+Tabela2[[#This Row],[CALC_bebe_alcool_frequentemente]])</f>
        <v>2</v>
      </c>
      <c r="W97" s="8">
        <f>(Tabela2[[#This Row],[Weight]]/(Tabela2[[#This Row],[Height]] ^2))</f>
        <v>24.221453287197235</v>
      </c>
    </row>
    <row r="98" spans="1:23" x14ac:dyDescent="0.25">
      <c r="A98" t="s">
        <v>13</v>
      </c>
      <c r="B98" s="7">
        <v>23</v>
      </c>
      <c r="C98" s="4">
        <v>1.66</v>
      </c>
      <c r="D98" s="7">
        <v>60</v>
      </c>
      <c r="E98">
        <v>1</v>
      </c>
      <c r="F98">
        <v>0</v>
      </c>
      <c r="G98" s="2">
        <v>2</v>
      </c>
      <c r="H98" s="2">
        <v>3</v>
      </c>
      <c r="I98">
        <v>1</v>
      </c>
      <c r="J98">
        <v>0</v>
      </c>
      <c r="K98" s="2">
        <v>2</v>
      </c>
      <c r="L98">
        <v>0</v>
      </c>
      <c r="M98" s="7">
        <v>3</v>
      </c>
      <c r="N98" s="7">
        <v>0</v>
      </c>
      <c r="O98">
        <v>1</v>
      </c>
      <c r="P98" t="s">
        <v>14</v>
      </c>
      <c r="Q98">
        <v>1</v>
      </c>
      <c r="R98" s="8">
        <f>(Tabela2[[#This Row],[FAF_atividade_fisica_frequente_em_horas]]+ 0.1)</f>
        <v>3.1</v>
      </c>
      <c r="S98" s="1">
        <f>(Tabela2[[#This Row],[TUE_tempo_uso_aparelhos_em_horas]]/Tabela2[[#This Row],[FAF_Var]])</f>
        <v>0</v>
      </c>
      <c r="T98">
        <f>(Tabela2[[#This Row],[CAEC_lanche_entre_refeicoes]]*Tabela2[[#This Row],[FAVC_consumo_frequente_de_alimentos_mt_caloricos]])</f>
        <v>0</v>
      </c>
      <c r="U98" s="1">
        <f>IF(OR(Tabela2[[#This Row],[MTRANS]]="Walking",Tabela2[[#This Row],[MTRANS]]="Bike"),Tabela2[[#This Row],[FAF_atividade_fisica_frequente_em_horas]]+1,M98)</f>
        <v>3</v>
      </c>
      <c r="V98">
        <f>(Tabela2[[#This Row],[SMOKE]]+Tabela2[[#This Row],[CALC_bebe_alcool_frequentemente]])</f>
        <v>1</v>
      </c>
      <c r="W98" s="8">
        <f>(Tabela2[[#This Row],[Weight]]/(Tabela2[[#This Row],[Height]] ^2))</f>
        <v>21.773842357381334</v>
      </c>
    </row>
    <row r="99" spans="1:23" x14ac:dyDescent="0.25">
      <c r="A99" t="s">
        <v>13</v>
      </c>
      <c r="B99" s="7">
        <v>21</v>
      </c>
      <c r="C99" s="4">
        <v>1.52</v>
      </c>
      <c r="D99" s="7">
        <v>42</v>
      </c>
      <c r="E99">
        <v>0</v>
      </c>
      <c r="F99">
        <v>0</v>
      </c>
      <c r="G99" s="2">
        <v>3</v>
      </c>
      <c r="H99" s="2">
        <v>1</v>
      </c>
      <c r="I99">
        <v>2</v>
      </c>
      <c r="J99">
        <v>0</v>
      </c>
      <c r="K99" s="2">
        <v>1</v>
      </c>
      <c r="L99">
        <v>0</v>
      </c>
      <c r="M99" s="7">
        <v>0</v>
      </c>
      <c r="N99" s="7">
        <v>0</v>
      </c>
      <c r="O99">
        <v>1</v>
      </c>
      <c r="P99" t="s">
        <v>14</v>
      </c>
      <c r="Q99">
        <v>0</v>
      </c>
      <c r="R99" s="8">
        <f>(Tabela2[[#This Row],[FAF_atividade_fisica_frequente_em_horas]]+ 0.1)</f>
        <v>0.1</v>
      </c>
      <c r="S99" s="1">
        <f>(Tabela2[[#This Row],[TUE_tempo_uso_aparelhos_em_horas]]/Tabela2[[#This Row],[FAF_Var]])</f>
        <v>0</v>
      </c>
      <c r="T99">
        <f>(Tabela2[[#This Row],[CAEC_lanche_entre_refeicoes]]*Tabela2[[#This Row],[FAVC_consumo_frequente_de_alimentos_mt_caloricos]])</f>
        <v>0</v>
      </c>
      <c r="U99" s="1">
        <f>IF(OR(Tabela2[[#This Row],[MTRANS]]="Walking",Tabela2[[#This Row],[MTRANS]]="Bike"),Tabela2[[#This Row],[FAF_atividade_fisica_frequente_em_horas]]+1,M99)</f>
        <v>0</v>
      </c>
      <c r="V99">
        <f>(Tabela2[[#This Row],[SMOKE]]+Tabela2[[#This Row],[CALC_bebe_alcool_frequentemente]])</f>
        <v>1</v>
      </c>
      <c r="W99" s="8">
        <f>(Tabela2[[#This Row],[Weight]]/(Tabela2[[#This Row],[Height]] ^2))</f>
        <v>18.178670360110804</v>
      </c>
    </row>
    <row r="100" spans="1:23" x14ac:dyDescent="0.25">
      <c r="A100" t="s">
        <v>13</v>
      </c>
      <c r="B100" s="7">
        <v>21</v>
      </c>
      <c r="C100" s="4">
        <v>1.52</v>
      </c>
      <c r="D100" s="7">
        <v>42</v>
      </c>
      <c r="E100">
        <v>0</v>
      </c>
      <c r="F100">
        <v>0</v>
      </c>
      <c r="G100" s="2">
        <v>3</v>
      </c>
      <c r="H100" s="2">
        <v>1</v>
      </c>
      <c r="I100">
        <v>2</v>
      </c>
      <c r="J100">
        <v>0</v>
      </c>
      <c r="K100" s="2">
        <v>1</v>
      </c>
      <c r="L100">
        <v>0</v>
      </c>
      <c r="M100" s="7">
        <v>0</v>
      </c>
      <c r="N100" s="7">
        <v>0</v>
      </c>
      <c r="O100">
        <v>1</v>
      </c>
      <c r="P100" t="s">
        <v>14</v>
      </c>
      <c r="Q100">
        <v>0</v>
      </c>
      <c r="R100" s="8">
        <f>(Tabela2[[#This Row],[FAF_atividade_fisica_frequente_em_horas]]+ 0.1)</f>
        <v>0.1</v>
      </c>
      <c r="S100" s="1">
        <f>(Tabela2[[#This Row],[TUE_tempo_uso_aparelhos_em_horas]]/Tabela2[[#This Row],[FAF_Var]])</f>
        <v>0</v>
      </c>
      <c r="T100">
        <f>(Tabela2[[#This Row],[CAEC_lanche_entre_refeicoes]]*Tabela2[[#This Row],[FAVC_consumo_frequente_de_alimentos_mt_caloricos]])</f>
        <v>0</v>
      </c>
      <c r="U100" s="1">
        <f>IF(OR(Tabela2[[#This Row],[MTRANS]]="Walking",Tabela2[[#This Row],[MTRANS]]="Bike"),Tabela2[[#This Row],[FAF_atividade_fisica_frequente_em_horas]]+1,M100)</f>
        <v>0</v>
      </c>
      <c r="V100">
        <f>(Tabela2[[#This Row],[SMOKE]]+Tabela2[[#This Row],[CALC_bebe_alcool_frequentemente]])</f>
        <v>1</v>
      </c>
      <c r="W100" s="8">
        <f>(Tabela2[[#This Row],[Weight]]/(Tabela2[[#This Row],[Height]] ^2))</f>
        <v>18.178670360110804</v>
      </c>
    </row>
    <row r="101" spans="1:23" x14ac:dyDescent="0.25">
      <c r="A101" t="s">
        <v>15</v>
      </c>
      <c r="B101" s="7">
        <v>23</v>
      </c>
      <c r="C101" s="4">
        <v>1.72</v>
      </c>
      <c r="D101" s="7">
        <v>70</v>
      </c>
      <c r="E101">
        <v>0</v>
      </c>
      <c r="F101">
        <v>0</v>
      </c>
      <c r="G101" s="2">
        <v>2</v>
      </c>
      <c r="H101" s="2">
        <v>3</v>
      </c>
      <c r="I101">
        <v>1</v>
      </c>
      <c r="J101">
        <v>0</v>
      </c>
      <c r="K101" s="2">
        <v>2</v>
      </c>
      <c r="L101">
        <v>0</v>
      </c>
      <c r="M101" s="7">
        <v>3</v>
      </c>
      <c r="N101" s="7">
        <v>1</v>
      </c>
      <c r="O101">
        <v>2</v>
      </c>
      <c r="P101" t="s">
        <v>14</v>
      </c>
      <c r="Q101">
        <v>1</v>
      </c>
      <c r="R101" s="8">
        <f>(Tabela2[[#This Row],[FAF_atividade_fisica_frequente_em_horas]]+ 0.1)</f>
        <v>3.1</v>
      </c>
      <c r="S101" s="1">
        <f>(Tabela2[[#This Row],[TUE_tempo_uso_aparelhos_em_horas]]/Tabela2[[#This Row],[FAF_Var]])</f>
        <v>0.32258064516129031</v>
      </c>
      <c r="T101">
        <f>(Tabela2[[#This Row],[CAEC_lanche_entre_refeicoes]]*Tabela2[[#This Row],[FAVC_consumo_frequente_de_alimentos_mt_caloricos]])</f>
        <v>0</v>
      </c>
      <c r="U101" s="1">
        <f>IF(OR(Tabela2[[#This Row],[MTRANS]]="Walking",Tabela2[[#This Row],[MTRANS]]="Bike"),Tabela2[[#This Row],[FAF_atividade_fisica_frequente_em_horas]]+1,M101)</f>
        <v>3</v>
      </c>
      <c r="V101">
        <f>(Tabela2[[#This Row],[SMOKE]]+Tabela2[[#This Row],[CALC_bebe_alcool_frequentemente]])</f>
        <v>2</v>
      </c>
      <c r="W101" s="8">
        <f>(Tabela2[[#This Row],[Weight]]/(Tabela2[[#This Row],[Height]] ^2))</f>
        <v>23.661438615467823</v>
      </c>
    </row>
    <row r="102" spans="1:23" x14ac:dyDescent="0.25">
      <c r="A102" t="s">
        <v>13</v>
      </c>
      <c r="B102" s="7">
        <v>21</v>
      </c>
      <c r="C102" s="4">
        <v>1.69</v>
      </c>
      <c r="D102" s="7">
        <v>63</v>
      </c>
      <c r="E102">
        <v>0</v>
      </c>
      <c r="F102">
        <v>1</v>
      </c>
      <c r="G102" s="2">
        <v>3</v>
      </c>
      <c r="H102" s="2">
        <v>1</v>
      </c>
      <c r="I102">
        <v>1</v>
      </c>
      <c r="J102">
        <v>0</v>
      </c>
      <c r="K102" s="2">
        <v>1</v>
      </c>
      <c r="L102">
        <v>0</v>
      </c>
      <c r="M102" s="7">
        <v>0</v>
      </c>
      <c r="N102" s="7">
        <v>0</v>
      </c>
      <c r="O102">
        <v>1</v>
      </c>
      <c r="P102" t="s">
        <v>14</v>
      </c>
      <c r="Q102">
        <v>1</v>
      </c>
      <c r="R102" s="8">
        <f>(Tabela2[[#This Row],[FAF_atividade_fisica_frequente_em_horas]]+ 0.1)</f>
        <v>0.1</v>
      </c>
      <c r="S102" s="1">
        <f>(Tabela2[[#This Row],[TUE_tempo_uso_aparelhos_em_horas]]/Tabela2[[#This Row],[FAF_Var]])</f>
        <v>0</v>
      </c>
      <c r="T102">
        <f>(Tabela2[[#This Row],[CAEC_lanche_entre_refeicoes]]*Tabela2[[#This Row],[FAVC_consumo_frequente_de_alimentos_mt_caloricos]])</f>
        <v>1</v>
      </c>
      <c r="U102" s="1">
        <f>IF(OR(Tabela2[[#This Row],[MTRANS]]="Walking",Tabela2[[#This Row],[MTRANS]]="Bike"),Tabela2[[#This Row],[FAF_atividade_fisica_frequente_em_horas]]+1,M102)</f>
        <v>0</v>
      </c>
      <c r="V102">
        <f>(Tabela2[[#This Row],[SMOKE]]+Tabela2[[#This Row],[CALC_bebe_alcool_frequentemente]])</f>
        <v>1</v>
      </c>
      <c r="W102" s="8">
        <f>(Tabela2[[#This Row],[Weight]]/(Tabela2[[#This Row],[Height]] ^2))</f>
        <v>22.058051188683873</v>
      </c>
    </row>
    <row r="103" spans="1:23" x14ac:dyDescent="0.25">
      <c r="A103" t="s">
        <v>15</v>
      </c>
      <c r="B103" s="7">
        <v>22</v>
      </c>
      <c r="C103" s="4">
        <v>1.7</v>
      </c>
      <c r="D103" s="7">
        <v>66.400000000000006</v>
      </c>
      <c r="E103">
        <v>1</v>
      </c>
      <c r="F103">
        <v>0</v>
      </c>
      <c r="G103" s="2">
        <v>2</v>
      </c>
      <c r="H103" s="2">
        <v>3</v>
      </c>
      <c r="I103">
        <v>2</v>
      </c>
      <c r="J103">
        <v>0</v>
      </c>
      <c r="K103" s="2">
        <v>2</v>
      </c>
      <c r="L103">
        <v>0</v>
      </c>
      <c r="M103" s="7">
        <v>0</v>
      </c>
      <c r="N103" s="7">
        <v>0</v>
      </c>
      <c r="O103">
        <v>0</v>
      </c>
      <c r="P103" t="s">
        <v>14</v>
      </c>
      <c r="Q103">
        <v>1</v>
      </c>
      <c r="R103" s="8">
        <f>(Tabela2[[#This Row],[FAF_atividade_fisica_frequente_em_horas]]+ 0.1)</f>
        <v>0.1</v>
      </c>
      <c r="S103" s="1">
        <f>(Tabela2[[#This Row],[TUE_tempo_uso_aparelhos_em_horas]]/Tabela2[[#This Row],[FAF_Var]])</f>
        <v>0</v>
      </c>
      <c r="T103">
        <f>(Tabela2[[#This Row],[CAEC_lanche_entre_refeicoes]]*Tabela2[[#This Row],[FAVC_consumo_frequente_de_alimentos_mt_caloricos]])</f>
        <v>0</v>
      </c>
      <c r="U103" s="1">
        <f>IF(OR(Tabela2[[#This Row],[MTRANS]]="Walking",Tabela2[[#This Row],[MTRANS]]="Bike"),Tabela2[[#This Row],[FAF_atividade_fisica_frequente_em_horas]]+1,M103)</f>
        <v>0</v>
      </c>
      <c r="V103">
        <f>(Tabela2[[#This Row],[SMOKE]]+Tabela2[[#This Row],[CALC_bebe_alcool_frequentemente]])</f>
        <v>0</v>
      </c>
      <c r="W103" s="8">
        <f>(Tabela2[[#This Row],[Weight]]/(Tabela2[[#This Row],[Height]] ^2))</f>
        <v>22.975778546712807</v>
      </c>
    </row>
    <row r="104" spans="1:23" x14ac:dyDescent="0.25">
      <c r="A104" t="s">
        <v>13</v>
      </c>
      <c r="B104" s="7">
        <v>21</v>
      </c>
      <c r="C104" s="4">
        <v>1.55</v>
      </c>
      <c r="D104" s="7">
        <v>57</v>
      </c>
      <c r="E104">
        <v>0</v>
      </c>
      <c r="F104">
        <v>1</v>
      </c>
      <c r="G104" s="2">
        <v>2</v>
      </c>
      <c r="H104" s="2">
        <v>4</v>
      </c>
      <c r="I104">
        <v>2</v>
      </c>
      <c r="J104">
        <v>0</v>
      </c>
      <c r="K104" s="2">
        <v>2</v>
      </c>
      <c r="L104">
        <v>1</v>
      </c>
      <c r="M104" s="7">
        <v>2</v>
      </c>
      <c r="N104" s="7">
        <v>0</v>
      </c>
      <c r="O104">
        <v>1</v>
      </c>
      <c r="P104" t="s">
        <v>17</v>
      </c>
      <c r="Q104">
        <v>1</v>
      </c>
      <c r="R104" s="8">
        <f>(Tabela2[[#This Row],[FAF_atividade_fisica_frequente_em_horas]]+ 0.1)</f>
        <v>2.1</v>
      </c>
      <c r="S104" s="1">
        <f>(Tabela2[[#This Row],[TUE_tempo_uso_aparelhos_em_horas]]/Tabela2[[#This Row],[FAF_Var]])</f>
        <v>0</v>
      </c>
      <c r="T104">
        <f>(Tabela2[[#This Row],[CAEC_lanche_entre_refeicoes]]*Tabela2[[#This Row],[FAVC_consumo_frequente_de_alimentos_mt_caloricos]])</f>
        <v>2</v>
      </c>
      <c r="U104" s="1">
        <f>IF(OR(Tabela2[[#This Row],[MTRANS]]="Walking",Tabela2[[#This Row],[MTRANS]]="Bike"),Tabela2[[#This Row],[FAF_atividade_fisica_frequente_em_horas]]+1,M104)</f>
        <v>2</v>
      </c>
      <c r="V104">
        <f>(Tabela2[[#This Row],[SMOKE]]+Tabela2[[#This Row],[CALC_bebe_alcool_frequentemente]])</f>
        <v>1</v>
      </c>
      <c r="W104" s="8">
        <f>(Tabela2[[#This Row],[Weight]]/(Tabela2[[#This Row],[Height]] ^2))</f>
        <v>23.725286160249738</v>
      </c>
    </row>
    <row r="105" spans="1:23" x14ac:dyDescent="0.25">
      <c r="A105" t="s">
        <v>13</v>
      </c>
      <c r="B105" s="7">
        <v>22</v>
      </c>
      <c r="C105" s="4">
        <v>1.65</v>
      </c>
      <c r="D105" s="7">
        <v>58</v>
      </c>
      <c r="E105">
        <v>1</v>
      </c>
      <c r="F105">
        <v>1</v>
      </c>
      <c r="G105" s="2">
        <v>3</v>
      </c>
      <c r="H105" s="2">
        <v>4</v>
      </c>
      <c r="I105">
        <v>2</v>
      </c>
      <c r="J105">
        <v>0</v>
      </c>
      <c r="K105" s="2">
        <v>2</v>
      </c>
      <c r="L105">
        <v>0</v>
      </c>
      <c r="M105" s="7">
        <v>1</v>
      </c>
      <c r="N105" s="7">
        <v>0</v>
      </c>
      <c r="O105">
        <v>1</v>
      </c>
      <c r="P105" t="s">
        <v>14</v>
      </c>
      <c r="Q105">
        <v>1</v>
      </c>
      <c r="R105" s="8">
        <f>(Tabela2[[#This Row],[FAF_atividade_fisica_frequente_em_horas]]+ 0.1)</f>
        <v>1.1000000000000001</v>
      </c>
      <c r="S105" s="1">
        <f>(Tabela2[[#This Row],[TUE_tempo_uso_aparelhos_em_horas]]/Tabela2[[#This Row],[FAF_Var]])</f>
        <v>0</v>
      </c>
      <c r="T105">
        <f>(Tabela2[[#This Row],[CAEC_lanche_entre_refeicoes]]*Tabela2[[#This Row],[FAVC_consumo_frequente_de_alimentos_mt_caloricos]])</f>
        <v>2</v>
      </c>
      <c r="U105" s="1">
        <f>IF(OR(Tabela2[[#This Row],[MTRANS]]="Walking",Tabela2[[#This Row],[MTRANS]]="Bike"),Tabela2[[#This Row],[FAF_atividade_fisica_frequente_em_horas]]+1,M105)</f>
        <v>1</v>
      </c>
      <c r="V105">
        <f>(Tabela2[[#This Row],[SMOKE]]+Tabela2[[#This Row],[CALC_bebe_alcool_frequentemente]])</f>
        <v>1</v>
      </c>
      <c r="W105" s="8">
        <f>(Tabela2[[#This Row],[Weight]]/(Tabela2[[#This Row],[Height]] ^2))</f>
        <v>21.30394857667585</v>
      </c>
    </row>
    <row r="106" spans="1:23" x14ac:dyDescent="0.25">
      <c r="A106" t="s">
        <v>13</v>
      </c>
      <c r="B106" s="7">
        <v>38</v>
      </c>
      <c r="C106" s="4">
        <v>1.56</v>
      </c>
      <c r="D106" s="7">
        <v>80</v>
      </c>
      <c r="E106">
        <v>1</v>
      </c>
      <c r="F106">
        <v>1</v>
      </c>
      <c r="G106" s="2">
        <v>2</v>
      </c>
      <c r="H106" s="2">
        <v>3</v>
      </c>
      <c r="I106">
        <v>1</v>
      </c>
      <c r="J106">
        <v>0</v>
      </c>
      <c r="K106" s="2">
        <v>2</v>
      </c>
      <c r="L106">
        <v>0</v>
      </c>
      <c r="M106" s="7">
        <v>0</v>
      </c>
      <c r="N106" s="7">
        <v>0</v>
      </c>
      <c r="O106">
        <v>1</v>
      </c>
      <c r="P106" t="s">
        <v>17</v>
      </c>
      <c r="Q106">
        <v>4</v>
      </c>
      <c r="R106" s="8">
        <f>(Tabela2[[#This Row],[FAF_atividade_fisica_frequente_em_horas]]+ 0.1)</f>
        <v>0.1</v>
      </c>
      <c r="S106" s="1">
        <f>(Tabela2[[#This Row],[TUE_tempo_uso_aparelhos_em_horas]]/Tabela2[[#This Row],[FAF_Var]])</f>
        <v>0</v>
      </c>
      <c r="T106">
        <f>(Tabela2[[#This Row],[CAEC_lanche_entre_refeicoes]]*Tabela2[[#This Row],[FAVC_consumo_frequente_de_alimentos_mt_caloricos]])</f>
        <v>1</v>
      </c>
      <c r="U106" s="1">
        <f>IF(OR(Tabela2[[#This Row],[MTRANS]]="Walking",Tabela2[[#This Row],[MTRANS]]="Bike"),Tabela2[[#This Row],[FAF_atividade_fisica_frequente_em_horas]]+1,M106)</f>
        <v>0</v>
      </c>
      <c r="V106">
        <f>(Tabela2[[#This Row],[SMOKE]]+Tabela2[[#This Row],[CALC_bebe_alcool_frequentemente]])</f>
        <v>1</v>
      </c>
      <c r="W106" s="8">
        <f>(Tabela2[[#This Row],[Weight]]/(Tabela2[[#This Row],[Height]] ^2))</f>
        <v>32.873109796186718</v>
      </c>
    </row>
    <row r="107" spans="1:23" x14ac:dyDescent="0.25">
      <c r="A107" t="s">
        <v>13</v>
      </c>
      <c r="B107" s="7">
        <v>25</v>
      </c>
      <c r="C107" s="4">
        <v>1.57</v>
      </c>
      <c r="D107" s="7">
        <v>55</v>
      </c>
      <c r="E107">
        <v>0</v>
      </c>
      <c r="F107">
        <v>1</v>
      </c>
      <c r="G107" s="2">
        <v>2</v>
      </c>
      <c r="H107" s="2">
        <v>1</v>
      </c>
      <c r="I107">
        <v>1</v>
      </c>
      <c r="J107">
        <v>0</v>
      </c>
      <c r="K107" s="2">
        <v>2</v>
      </c>
      <c r="L107">
        <v>0</v>
      </c>
      <c r="M107" s="7">
        <v>2</v>
      </c>
      <c r="N107" s="7">
        <v>0</v>
      </c>
      <c r="O107">
        <v>1</v>
      </c>
      <c r="P107" t="s">
        <v>14</v>
      </c>
      <c r="Q107">
        <v>1</v>
      </c>
      <c r="R107" s="8">
        <f>(Tabela2[[#This Row],[FAF_atividade_fisica_frequente_em_horas]]+ 0.1)</f>
        <v>2.1</v>
      </c>
      <c r="S107" s="1">
        <f>(Tabela2[[#This Row],[TUE_tempo_uso_aparelhos_em_horas]]/Tabela2[[#This Row],[FAF_Var]])</f>
        <v>0</v>
      </c>
      <c r="T107">
        <f>(Tabela2[[#This Row],[CAEC_lanche_entre_refeicoes]]*Tabela2[[#This Row],[FAVC_consumo_frequente_de_alimentos_mt_caloricos]])</f>
        <v>1</v>
      </c>
      <c r="U107" s="1">
        <f>IF(OR(Tabela2[[#This Row],[MTRANS]]="Walking",Tabela2[[#This Row],[MTRANS]]="Bike"),Tabela2[[#This Row],[FAF_atividade_fisica_frequente_em_horas]]+1,M107)</f>
        <v>2</v>
      </c>
      <c r="V107">
        <f>(Tabela2[[#This Row],[SMOKE]]+Tabela2[[#This Row],[CALC_bebe_alcool_frequentemente]])</f>
        <v>1</v>
      </c>
      <c r="W107" s="8">
        <f>(Tabela2[[#This Row],[Weight]]/(Tabela2[[#This Row],[Height]] ^2))</f>
        <v>22.313278429145196</v>
      </c>
    </row>
    <row r="108" spans="1:23" x14ac:dyDescent="0.25">
      <c r="A108" t="s">
        <v>13</v>
      </c>
      <c r="B108" s="7">
        <v>25</v>
      </c>
      <c r="C108" s="4">
        <v>1.57</v>
      </c>
      <c r="D108" s="7">
        <v>55</v>
      </c>
      <c r="E108">
        <v>0</v>
      </c>
      <c r="F108">
        <v>1</v>
      </c>
      <c r="G108" s="2">
        <v>2</v>
      </c>
      <c r="H108" s="2">
        <v>1</v>
      </c>
      <c r="I108">
        <v>1</v>
      </c>
      <c r="J108">
        <v>0</v>
      </c>
      <c r="K108" s="2">
        <v>2</v>
      </c>
      <c r="L108">
        <v>0</v>
      </c>
      <c r="M108" s="7">
        <v>2</v>
      </c>
      <c r="N108" s="7">
        <v>0</v>
      </c>
      <c r="O108">
        <v>1</v>
      </c>
      <c r="P108" t="s">
        <v>14</v>
      </c>
      <c r="Q108">
        <v>1</v>
      </c>
      <c r="R108" s="8">
        <f>(Tabela2[[#This Row],[FAF_atividade_fisica_frequente_em_horas]]+ 0.1)</f>
        <v>2.1</v>
      </c>
      <c r="S108" s="1">
        <f>(Tabela2[[#This Row],[TUE_tempo_uso_aparelhos_em_horas]]/Tabela2[[#This Row],[FAF_Var]])</f>
        <v>0</v>
      </c>
      <c r="T108">
        <f>(Tabela2[[#This Row],[CAEC_lanche_entre_refeicoes]]*Tabela2[[#This Row],[FAVC_consumo_frequente_de_alimentos_mt_caloricos]])</f>
        <v>1</v>
      </c>
      <c r="U108" s="1">
        <f>IF(OR(Tabela2[[#This Row],[MTRANS]]="Walking",Tabela2[[#This Row],[MTRANS]]="Bike"),Tabela2[[#This Row],[FAF_atividade_fisica_frequente_em_horas]]+1,M108)</f>
        <v>2</v>
      </c>
      <c r="V108">
        <f>(Tabela2[[#This Row],[SMOKE]]+Tabela2[[#This Row],[CALC_bebe_alcool_frequentemente]])</f>
        <v>1</v>
      </c>
      <c r="W108" s="8">
        <f>(Tabela2[[#This Row],[Weight]]/(Tabela2[[#This Row],[Height]] ^2))</f>
        <v>22.313278429145196</v>
      </c>
    </row>
    <row r="109" spans="1:23" x14ac:dyDescent="0.25">
      <c r="A109" t="s">
        <v>15</v>
      </c>
      <c r="B109" s="7">
        <v>22</v>
      </c>
      <c r="C109" s="4">
        <v>1.88</v>
      </c>
      <c r="D109" s="7">
        <v>90</v>
      </c>
      <c r="E109">
        <v>1</v>
      </c>
      <c r="F109">
        <v>1</v>
      </c>
      <c r="G109" s="2">
        <v>2</v>
      </c>
      <c r="H109" s="2">
        <v>3</v>
      </c>
      <c r="I109">
        <v>3</v>
      </c>
      <c r="J109">
        <v>0</v>
      </c>
      <c r="K109" s="2">
        <v>1</v>
      </c>
      <c r="L109">
        <v>0</v>
      </c>
      <c r="M109" s="7">
        <v>0</v>
      </c>
      <c r="N109" s="7">
        <v>1</v>
      </c>
      <c r="O109">
        <v>1</v>
      </c>
      <c r="P109" t="s">
        <v>17</v>
      </c>
      <c r="Q109">
        <v>2</v>
      </c>
      <c r="R109" s="8">
        <f>(Tabela2[[#This Row],[FAF_atividade_fisica_frequente_em_horas]]+ 0.1)</f>
        <v>0.1</v>
      </c>
      <c r="S109" s="1">
        <f>(Tabela2[[#This Row],[TUE_tempo_uso_aparelhos_em_horas]]/Tabela2[[#This Row],[FAF_Var]])</f>
        <v>10</v>
      </c>
      <c r="T109">
        <f>(Tabela2[[#This Row],[CAEC_lanche_entre_refeicoes]]*Tabela2[[#This Row],[FAVC_consumo_frequente_de_alimentos_mt_caloricos]])</f>
        <v>3</v>
      </c>
      <c r="U109" s="1">
        <f>IF(OR(Tabela2[[#This Row],[MTRANS]]="Walking",Tabela2[[#This Row],[MTRANS]]="Bike"),Tabela2[[#This Row],[FAF_atividade_fisica_frequente_em_horas]]+1,M109)</f>
        <v>0</v>
      </c>
      <c r="V109">
        <f>(Tabela2[[#This Row],[SMOKE]]+Tabela2[[#This Row],[CALC_bebe_alcool_frequentemente]])</f>
        <v>1</v>
      </c>
      <c r="W109" s="8">
        <f>(Tabela2[[#This Row],[Weight]]/(Tabela2[[#This Row],[Height]] ^2))</f>
        <v>25.464010864644639</v>
      </c>
    </row>
    <row r="110" spans="1:23" x14ac:dyDescent="0.25">
      <c r="A110" t="s">
        <v>15</v>
      </c>
      <c r="B110" s="7">
        <v>22</v>
      </c>
      <c r="C110" s="4">
        <v>1.75</v>
      </c>
      <c r="D110" s="7">
        <v>95</v>
      </c>
      <c r="E110">
        <v>1</v>
      </c>
      <c r="F110">
        <v>0</v>
      </c>
      <c r="G110" s="2">
        <v>2</v>
      </c>
      <c r="H110" s="2">
        <v>3</v>
      </c>
      <c r="I110">
        <v>1</v>
      </c>
      <c r="J110">
        <v>0</v>
      </c>
      <c r="K110" s="2">
        <v>3</v>
      </c>
      <c r="L110">
        <v>0</v>
      </c>
      <c r="M110" s="7">
        <v>3</v>
      </c>
      <c r="N110" s="7">
        <v>2</v>
      </c>
      <c r="O110">
        <v>0</v>
      </c>
      <c r="P110" t="s">
        <v>16</v>
      </c>
      <c r="Q110">
        <v>4</v>
      </c>
      <c r="R110" s="8">
        <f>(Tabela2[[#This Row],[FAF_atividade_fisica_frequente_em_horas]]+ 0.1)</f>
        <v>3.1</v>
      </c>
      <c r="S110" s="1">
        <f>(Tabela2[[#This Row],[TUE_tempo_uso_aparelhos_em_horas]]/Tabela2[[#This Row],[FAF_Var]])</f>
        <v>0.64516129032258063</v>
      </c>
      <c r="T110">
        <f>(Tabela2[[#This Row],[CAEC_lanche_entre_refeicoes]]*Tabela2[[#This Row],[FAVC_consumo_frequente_de_alimentos_mt_caloricos]])</f>
        <v>0</v>
      </c>
      <c r="U110" s="1">
        <f>IF(OR(Tabela2[[#This Row],[MTRANS]]="Walking",Tabela2[[#This Row],[MTRANS]]="Bike"),Tabela2[[#This Row],[FAF_atividade_fisica_frequente_em_horas]]+1,M110)</f>
        <v>4</v>
      </c>
      <c r="V110">
        <f>(Tabela2[[#This Row],[SMOKE]]+Tabela2[[#This Row],[CALC_bebe_alcool_frequentemente]])</f>
        <v>0</v>
      </c>
      <c r="W110" s="8">
        <f>(Tabela2[[#This Row],[Weight]]/(Tabela2[[#This Row],[Height]] ^2))</f>
        <v>31.020408163265305</v>
      </c>
    </row>
    <row r="111" spans="1:23" x14ac:dyDescent="0.25">
      <c r="A111" t="s">
        <v>13</v>
      </c>
      <c r="B111" s="7">
        <v>21</v>
      </c>
      <c r="C111" s="4">
        <v>1.65</v>
      </c>
      <c r="D111" s="7">
        <v>88</v>
      </c>
      <c r="E111">
        <v>1</v>
      </c>
      <c r="F111">
        <v>1</v>
      </c>
      <c r="G111" s="2">
        <v>3</v>
      </c>
      <c r="H111" s="2">
        <v>1</v>
      </c>
      <c r="I111">
        <v>1</v>
      </c>
      <c r="J111">
        <v>0</v>
      </c>
      <c r="K111" s="2">
        <v>3</v>
      </c>
      <c r="L111">
        <v>0</v>
      </c>
      <c r="M111" s="7">
        <v>2</v>
      </c>
      <c r="N111" s="7">
        <v>1</v>
      </c>
      <c r="O111">
        <v>0</v>
      </c>
      <c r="P111" t="s">
        <v>14</v>
      </c>
      <c r="Q111">
        <v>4</v>
      </c>
      <c r="R111" s="8">
        <f>(Tabela2[[#This Row],[FAF_atividade_fisica_frequente_em_horas]]+ 0.1)</f>
        <v>2.1</v>
      </c>
      <c r="S111" s="1">
        <f>(Tabela2[[#This Row],[TUE_tempo_uso_aparelhos_em_horas]]/Tabela2[[#This Row],[FAF_Var]])</f>
        <v>0.47619047619047616</v>
      </c>
      <c r="T111">
        <f>(Tabela2[[#This Row],[CAEC_lanche_entre_refeicoes]]*Tabela2[[#This Row],[FAVC_consumo_frequente_de_alimentos_mt_caloricos]])</f>
        <v>1</v>
      </c>
      <c r="U111" s="1">
        <f>IF(OR(Tabela2[[#This Row],[MTRANS]]="Walking",Tabela2[[#This Row],[MTRANS]]="Bike"),Tabela2[[#This Row],[FAF_atividade_fisica_frequente_em_horas]]+1,M111)</f>
        <v>2</v>
      </c>
      <c r="V111">
        <f>(Tabela2[[#This Row],[SMOKE]]+Tabela2[[#This Row],[CALC_bebe_alcool_frequentemente]])</f>
        <v>0</v>
      </c>
      <c r="W111" s="8">
        <f>(Tabela2[[#This Row],[Weight]]/(Tabela2[[#This Row],[Height]] ^2))</f>
        <v>32.323232323232325</v>
      </c>
    </row>
    <row r="112" spans="1:23" x14ac:dyDescent="0.25">
      <c r="A112" t="s">
        <v>15</v>
      </c>
      <c r="B112" s="7">
        <v>21</v>
      </c>
      <c r="C112" s="4">
        <v>1.75</v>
      </c>
      <c r="D112" s="7">
        <v>75</v>
      </c>
      <c r="E112">
        <v>1</v>
      </c>
      <c r="F112">
        <v>1</v>
      </c>
      <c r="G112" s="2">
        <v>3</v>
      </c>
      <c r="H112" s="2">
        <v>3</v>
      </c>
      <c r="I112">
        <v>1</v>
      </c>
      <c r="J112">
        <v>0</v>
      </c>
      <c r="K112" s="2">
        <v>2</v>
      </c>
      <c r="L112">
        <v>0</v>
      </c>
      <c r="M112" s="7">
        <v>0</v>
      </c>
      <c r="N112" s="7">
        <v>1</v>
      </c>
      <c r="O112">
        <v>1</v>
      </c>
      <c r="P112" t="s">
        <v>14</v>
      </c>
      <c r="Q112">
        <v>1</v>
      </c>
      <c r="R112" s="8">
        <f>(Tabela2[[#This Row],[FAF_atividade_fisica_frequente_em_horas]]+ 0.1)</f>
        <v>0.1</v>
      </c>
      <c r="S112" s="1">
        <f>(Tabela2[[#This Row],[TUE_tempo_uso_aparelhos_em_horas]]/Tabela2[[#This Row],[FAF_Var]])</f>
        <v>10</v>
      </c>
      <c r="T112">
        <f>(Tabela2[[#This Row],[CAEC_lanche_entre_refeicoes]]*Tabela2[[#This Row],[FAVC_consumo_frequente_de_alimentos_mt_caloricos]])</f>
        <v>1</v>
      </c>
      <c r="U112" s="1">
        <f>IF(OR(Tabela2[[#This Row],[MTRANS]]="Walking",Tabela2[[#This Row],[MTRANS]]="Bike"),Tabela2[[#This Row],[FAF_atividade_fisica_frequente_em_horas]]+1,M112)</f>
        <v>0</v>
      </c>
      <c r="V112">
        <f>(Tabela2[[#This Row],[SMOKE]]+Tabela2[[#This Row],[CALC_bebe_alcool_frequentemente]])</f>
        <v>1</v>
      </c>
      <c r="W112" s="8">
        <f>(Tabela2[[#This Row],[Weight]]/(Tabela2[[#This Row],[Height]] ^2))</f>
        <v>24.489795918367346</v>
      </c>
    </row>
    <row r="113" spans="1:23" x14ac:dyDescent="0.25">
      <c r="A113" t="s">
        <v>13</v>
      </c>
      <c r="B113" s="7">
        <v>22</v>
      </c>
      <c r="C113" s="4">
        <v>1.58</v>
      </c>
      <c r="D113" s="7">
        <v>58</v>
      </c>
      <c r="E113">
        <v>1</v>
      </c>
      <c r="F113">
        <v>1</v>
      </c>
      <c r="G113" s="2">
        <v>2</v>
      </c>
      <c r="H113" s="2">
        <v>1</v>
      </c>
      <c r="I113">
        <v>1</v>
      </c>
      <c r="J113">
        <v>0</v>
      </c>
      <c r="K113" s="2">
        <v>1</v>
      </c>
      <c r="L113">
        <v>0</v>
      </c>
      <c r="M113" s="7">
        <v>0</v>
      </c>
      <c r="N113" s="7">
        <v>0</v>
      </c>
      <c r="O113">
        <v>0</v>
      </c>
      <c r="P113" t="s">
        <v>14</v>
      </c>
      <c r="Q113">
        <v>1</v>
      </c>
      <c r="R113" s="8">
        <f>(Tabela2[[#This Row],[FAF_atividade_fisica_frequente_em_horas]]+ 0.1)</f>
        <v>0.1</v>
      </c>
      <c r="S113" s="1">
        <f>(Tabela2[[#This Row],[TUE_tempo_uso_aparelhos_em_horas]]/Tabela2[[#This Row],[FAF_Var]])</f>
        <v>0</v>
      </c>
      <c r="T113">
        <f>(Tabela2[[#This Row],[CAEC_lanche_entre_refeicoes]]*Tabela2[[#This Row],[FAVC_consumo_frequente_de_alimentos_mt_caloricos]])</f>
        <v>1</v>
      </c>
      <c r="U113" s="1">
        <f>IF(OR(Tabela2[[#This Row],[MTRANS]]="Walking",Tabela2[[#This Row],[MTRANS]]="Bike"),Tabela2[[#This Row],[FAF_atividade_fisica_frequente_em_horas]]+1,M113)</f>
        <v>0</v>
      </c>
      <c r="V113">
        <f>(Tabela2[[#This Row],[SMOKE]]+Tabela2[[#This Row],[CALC_bebe_alcool_frequentemente]])</f>
        <v>0</v>
      </c>
      <c r="W113" s="8">
        <f>(Tabela2[[#This Row],[Weight]]/(Tabela2[[#This Row],[Height]] ^2))</f>
        <v>23.233456176894723</v>
      </c>
    </row>
    <row r="114" spans="1:23" x14ac:dyDescent="0.25">
      <c r="A114" t="s">
        <v>13</v>
      </c>
      <c r="B114" s="7">
        <v>18</v>
      </c>
      <c r="C114" s="4">
        <v>1.56</v>
      </c>
      <c r="D114" s="7">
        <v>51</v>
      </c>
      <c r="E114">
        <v>1</v>
      </c>
      <c r="F114">
        <v>1</v>
      </c>
      <c r="G114" s="2">
        <v>2</v>
      </c>
      <c r="H114" s="2">
        <v>4</v>
      </c>
      <c r="I114">
        <v>2</v>
      </c>
      <c r="J114">
        <v>0</v>
      </c>
      <c r="K114" s="2">
        <v>2</v>
      </c>
      <c r="L114">
        <v>0</v>
      </c>
      <c r="M114" s="7">
        <v>1</v>
      </c>
      <c r="N114" s="7">
        <v>0</v>
      </c>
      <c r="O114">
        <v>1</v>
      </c>
      <c r="P114" t="s">
        <v>14</v>
      </c>
      <c r="Q114">
        <v>1</v>
      </c>
      <c r="R114" s="8">
        <f>(Tabela2[[#This Row],[FAF_atividade_fisica_frequente_em_horas]]+ 0.1)</f>
        <v>1.1000000000000001</v>
      </c>
      <c r="S114" s="1">
        <f>(Tabela2[[#This Row],[TUE_tempo_uso_aparelhos_em_horas]]/Tabela2[[#This Row],[FAF_Var]])</f>
        <v>0</v>
      </c>
      <c r="T114">
        <f>(Tabela2[[#This Row],[CAEC_lanche_entre_refeicoes]]*Tabela2[[#This Row],[FAVC_consumo_frequente_de_alimentos_mt_caloricos]])</f>
        <v>2</v>
      </c>
      <c r="U114" s="1">
        <f>IF(OR(Tabela2[[#This Row],[MTRANS]]="Walking",Tabela2[[#This Row],[MTRANS]]="Bike"),Tabela2[[#This Row],[FAF_atividade_fisica_frequente_em_horas]]+1,M114)</f>
        <v>1</v>
      </c>
      <c r="V114">
        <f>(Tabela2[[#This Row],[SMOKE]]+Tabela2[[#This Row],[CALC_bebe_alcool_frequentemente]])</f>
        <v>1</v>
      </c>
      <c r="W114" s="8">
        <f>(Tabela2[[#This Row],[Weight]]/(Tabela2[[#This Row],[Height]] ^2))</f>
        <v>20.956607495069033</v>
      </c>
    </row>
    <row r="115" spans="1:23" x14ac:dyDescent="0.25">
      <c r="A115" t="s">
        <v>13</v>
      </c>
      <c r="B115" s="7">
        <v>22</v>
      </c>
      <c r="C115" s="4">
        <v>1.5</v>
      </c>
      <c r="D115" s="7">
        <v>49</v>
      </c>
      <c r="E115">
        <v>1</v>
      </c>
      <c r="F115">
        <v>0</v>
      </c>
      <c r="G115" s="2">
        <v>2</v>
      </c>
      <c r="H115" s="2">
        <v>1</v>
      </c>
      <c r="I115">
        <v>1</v>
      </c>
      <c r="J115">
        <v>0</v>
      </c>
      <c r="K115" s="2">
        <v>2</v>
      </c>
      <c r="L115">
        <v>0</v>
      </c>
      <c r="M115" s="7">
        <v>3</v>
      </c>
      <c r="N115" s="7">
        <v>0</v>
      </c>
      <c r="O115">
        <v>0</v>
      </c>
      <c r="P115" t="s">
        <v>16</v>
      </c>
      <c r="Q115">
        <v>1</v>
      </c>
      <c r="R115" s="8">
        <f>(Tabela2[[#This Row],[FAF_atividade_fisica_frequente_em_horas]]+ 0.1)</f>
        <v>3.1</v>
      </c>
      <c r="S115" s="1">
        <f>(Tabela2[[#This Row],[TUE_tempo_uso_aparelhos_em_horas]]/Tabela2[[#This Row],[FAF_Var]])</f>
        <v>0</v>
      </c>
      <c r="T115">
        <f>(Tabela2[[#This Row],[CAEC_lanche_entre_refeicoes]]*Tabela2[[#This Row],[FAVC_consumo_frequente_de_alimentos_mt_caloricos]])</f>
        <v>0</v>
      </c>
      <c r="U115" s="1">
        <f>IF(OR(Tabela2[[#This Row],[MTRANS]]="Walking",Tabela2[[#This Row],[MTRANS]]="Bike"),Tabela2[[#This Row],[FAF_atividade_fisica_frequente_em_horas]]+1,M115)</f>
        <v>4</v>
      </c>
      <c r="V115">
        <f>(Tabela2[[#This Row],[SMOKE]]+Tabela2[[#This Row],[CALC_bebe_alcool_frequentemente]])</f>
        <v>0</v>
      </c>
      <c r="W115" s="8">
        <f>(Tabela2[[#This Row],[Weight]]/(Tabela2[[#This Row],[Height]] ^2))</f>
        <v>21.777777777777779</v>
      </c>
    </row>
    <row r="116" spans="1:23" x14ac:dyDescent="0.25">
      <c r="A116" t="s">
        <v>13</v>
      </c>
      <c r="B116" s="7">
        <v>19</v>
      </c>
      <c r="C116" s="4">
        <v>1.61</v>
      </c>
      <c r="D116" s="7">
        <v>62</v>
      </c>
      <c r="E116">
        <v>1</v>
      </c>
      <c r="F116">
        <v>1</v>
      </c>
      <c r="G116" s="2">
        <v>3</v>
      </c>
      <c r="H116" s="2">
        <v>1</v>
      </c>
      <c r="I116">
        <v>2</v>
      </c>
      <c r="J116">
        <v>0</v>
      </c>
      <c r="K116" s="2">
        <v>2</v>
      </c>
      <c r="L116">
        <v>0</v>
      </c>
      <c r="M116" s="7">
        <v>1</v>
      </c>
      <c r="N116" s="7">
        <v>0</v>
      </c>
      <c r="O116">
        <v>2</v>
      </c>
      <c r="P116" t="s">
        <v>14</v>
      </c>
      <c r="Q116">
        <v>1</v>
      </c>
      <c r="R116" s="8">
        <f>(Tabela2[[#This Row],[FAF_atividade_fisica_frequente_em_horas]]+ 0.1)</f>
        <v>1.1000000000000001</v>
      </c>
      <c r="S116" s="1">
        <f>(Tabela2[[#This Row],[TUE_tempo_uso_aparelhos_em_horas]]/Tabela2[[#This Row],[FAF_Var]])</f>
        <v>0</v>
      </c>
      <c r="T116">
        <f>(Tabela2[[#This Row],[CAEC_lanche_entre_refeicoes]]*Tabela2[[#This Row],[FAVC_consumo_frequente_de_alimentos_mt_caloricos]])</f>
        <v>2</v>
      </c>
      <c r="U116" s="1">
        <f>IF(OR(Tabela2[[#This Row],[MTRANS]]="Walking",Tabela2[[#This Row],[MTRANS]]="Bike"),Tabela2[[#This Row],[FAF_atividade_fisica_frequente_em_horas]]+1,M116)</f>
        <v>1</v>
      </c>
      <c r="V116">
        <f>(Tabela2[[#This Row],[SMOKE]]+Tabela2[[#This Row],[CALC_bebe_alcool_frequentemente]])</f>
        <v>2</v>
      </c>
      <c r="W116" s="8">
        <f>(Tabela2[[#This Row],[Weight]]/(Tabela2[[#This Row],[Height]] ^2))</f>
        <v>23.9188302920412</v>
      </c>
    </row>
    <row r="117" spans="1:23" x14ac:dyDescent="0.25">
      <c r="A117" t="s">
        <v>13</v>
      </c>
      <c r="B117" s="7">
        <v>17</v>
      </c>
      <c r="C117" s="4">
        <v>1.75</v>
      </c>
      <c r="D117" s="7">
        <v>57</v>
      </c>
      <c r="E117">
        <v>1</v>
      </c>
      <c r="F117">
        <v>1</v>
      </c>
      <c r="G117" s="2">
        <v>3</v>
      </c>
      <c r="H117" s="2">
        <v>3</v>
      </c>
      <c r="I117">
        <v>2</v>
      </c>
      <c r="J117">
        <v>0</v>
      </c>
      <c r="K117" s="2">
        <v>2</v>
      </c>
      <c r="L117">
        <v>0</v>
      </c>
      <c r="M117" s="7">
        <v>0</v>
      </c>
      <c r="N117" s="7">
        <v>1</v>
      </c>
      <c r="O117">
        <v>0</v>
      </c>
      <c r="P117" t="s">
        <v>14</v>
      </c>
      <c r="Q117">
        <v>1</v>
      </c>
      <c r="R117" s="8">
        <f>(Tabela2[[#This Row],[FAF_atividade_fisica_frequente_em_horas]]+ 0.1)</f>
        <v>0.1</v>
      </c>
      <c r="S117" s="1">
        <f>(Tabela2[[#This Row],[TUE_tempo_uso_aparelhos_em_horas]]/Tabela2[[#This Row],[FAF_Var]])</f>
        <v>10</v>
      </c>
      <c r="T117">
        <f>(Tabela2[[#This Row],[CAEC_lanche_entre_refeicoes]]*Tabela2[[#This Row],[FAVC_consumo_frequente_de_alimentos_mt_caloricos]])</f>
        <v>2</v>
      </c>
      <c r="U117" s="1">
        <f>IF(OR(Tabela2[[#This Row],[MTRANS]]="Walking",Tabela2[[#This Row],[MTRANS]]="Bike"),Tabela2[[#This Row],[FAF_atividade_fisica_frequente_em_horas]]+1,M117)</f>
        <v>0</v>
      </c>
      <c r="V117">
        <f>(Tabela2[[#This Row],[SMOKE]]+Tabela2[[#This Row],[CALC_bebe_alcool_frequentemente]])</f>
        <v>0</v>
      </c>
      <c r="W117" s="8">
        <f>(Tabela2[[#This Row],[Weight]]/(Tabela2[[#This Row],[Height]] ^2))</f>
        <v>18.612244897959183</v>
      </c>
    </row>
    <row r="118" spans="1:23" x14ac:dyDescent="0.25">
      <c r="A118" t="s">
        <v>13</v>
      </c>
      <c r="B118" s="7">
        <v>15</v>
      </c>
      <c r="C118" s="4">
        <v>1.65</v>
      </c>
      <c r="D118" s="7">
        <v>86</v>
      </c>
      <c r="E118">
        <v>1</v>
      </c>
      <c r="F118">
        <v>1</v>
      </c>
      <c r="G118" s="2">
        <v>3</v>
      </c>
      <c r="H118" s="2">
        <v>3</v>
      </c>
      <c r="I118">
        <v>1</v>
      </c>
      <c r="J118">
        <v>0</v>
      </c>
      <c r="K118" s="2">
        <v>1</v>
      </c>
      <c r="L118">
        <v>0</v>
      </c>
      <c r="M118" s="7">
        <v>3</v>
      </c>
      <c r="N118" s="7">
        <v>2</v>
      </c>
      <c r="O118">
        <v>0</v>
      </c>
      <c r="P118" t="s">
        <v>16</v>
      </c>
      <c r="Q118">
        <v>4</v>
      </c>
      <c r="R118" s="8">
        <f>(Tabela2[[#This Row],[FAF_atividade_fisica_frequente_em_horas]]+ 0.1)</f>
        <v>3.1</v>
      </c>
      <c r="S118" s="1">
        <f>(Tabela2[[#This Row],[TUE_tempo_uso_aparelhos_em_horas]]/Tabela2[[#This Row],[FAF_Var]])</f>
        <v>0.64516129032258063</v>
      </c>
      <c r="T118">
        <f>(Tabela2[[#This Row],[CAEC_lanche_entre_refeicoes]]*Tabela2[[#This Row],[FAVC_consumo_frequente_de_alimentos_mt_caloricos]])</f>
        <v>1</v>
      </c>
      <c r="U118" s="1">
        <f>IF(OR(Tabela2[[#This Row],[MTRANS]]="Walking",Tabela2[[#This Row],[MTRANS]]="Bike"),Tabela2[[#This Row],[FAF_atividade_fisica_frequente_em_horas]]+1,M118)</f>
        <v>4</v>
      </c>
      <c r="V118">
        <f>(Tabela2[[#This Row],[SMOKE]]+Tabela2[[#This Row],[CALC_bebe_alcool_frequentemente]])</f>
        <v>0</v>
      </c>
      <c r="W118" s="8">
        <f>(Tabela2[[#This Row],[Weight]]/(Tabela2[[#This Row],[Height]] ^2))</f>
        <v>31.588613406795229</v>
      </c>
    </row>
    <row r="119" spans="1:23" x14ac:dyDescent="0.25">
      <c r="A119" t="s">
        <v>13</v>
      </c>
      <c r="B119" s="7">
        <v>17</v>
      </c>
      <c r="C119" s="4">
        <v>1.7</v>
      </c>
      <c r="D119" s="7">
        <v>85</v>
      </c>
      <c r="E119">
        <v>1</v>
      </c>
      <c r="F119">
        <v>0</v>
      </c>
      <c r="G119" s="2">
        <v>2</v>
      </c>
      <c r="H119" s="2">
        <v>3</v>
      </c>
      <c r="I119">
        <v>2</v>
      </c>
      <c r="J119">
        <v>0</v>
      </c>
      <c r="K119" s="2">
        <v>2</v>
      </c>
      <c r="L119">
        <v>0</v>
      </c>
      <c r="M119" s="7">
        <v>1</v>
      </c>
      <c r="N119" s="7">
        <v>1</v>
      </c>
      <c r="O119">
        <v>0</v>
      </c>
      <c r="P119" t="s">
        <v>14</v>
      </c>
      <c r="Q119">
        <v>3</v>
      </c>
      <c r="R119" s="8">
        <f>(Tabela2[[#This Row],[FAF_atividade_fisica_frequente_em_horas]]+ 0.1)</f>
        <v>1.1000000000000001</v>
      </c>
      <c r="S119" s="1">
        <f>(Tabela2[[#This Row],[TUE_tempo_uso_aparelhos_em_horas]]/Tabela2[[#This Row],[FAF_Var]])</f>
        <v>0.90909090909090906</v>
      </c>
      <c r="T119">
        <f>(Tabela2[[#This Row],[CAEC_lanche_entre_refeicoes]]*Tabela2[[#This Row],[FAVC_consumo_frequente_de_alimentos_mt_caloricos]])</f>
        <v>0</v>
      </c>
      <c r="U119" s="1">
        <f>IF(OR(Tabela2[[#This Row],[MTRANS]]="Walking",Tabela2[[#This Row],[MTRANS]]="Bike"),Tabela2[[#This Row],[FAF_atividade_fisica_frequente_em_horas]]+1,M119)</f>
        <v>1</v>
      </c>
      <c r="V119">
        <f>(Tabela2[[#This Row],[SMOKE]]+Tabela2[[#This Row],[CALC_bebe_alcool_frequentemente]])</f>
        <v>0</v>
      </c>
      <c r="W119" s="8">
        <f>(Tabela2[[#This Row],[Weight]]/(Tabela2[[#This Row],[Height]] ^2))</f>
        <v>29.411764705882355</v>
      </c>
    </row>
    <row r="120" spans="1:23" x14ac:dyDescent="0.25">
      <c r="A120" t="s">
        <v>15</v>
      </c>
      <c r="B120" s="7">
        <v>23</v>
      </c>
      <c r="C120" s="4">
        <v>1.62</v>
      </c>
      <c r="D120" s="7">
        <v>53</v>
      </c>
      <c r="E120">
        <v>1</v>
      </c>
      <c r="F120">
        <v>1</v>
      </c>
      <c r="G120" s="2">
        <v>2</v>
      </c>
      <c r="H120" s="2">
        <v>3</v>
      </c>
      <c r="I120">
        <v>1</v>
      </c>
      <c r="J120">
        <v>0</v>
      </c>
      <c r="K120" s="2">
        <v>2</v>
      </c>
      <c r="L120">
        <v>0</v>
      </c>
      <c r="M120" s="7">
        <v>1</v>
      </c>
      <c r="N120" s="7">
        <v>1</v>
      </c>
      <c r="O120">
        <v>1</v>
      </c>
      <c r="P120" t="s">
        <v>14</v>
      </c>
      <c r="Q120">
        <v>1</v>
      </c>
      <c r="R120" s="8">
        <f>(Tabela2[[#This Row],[FAF_atividade_fisica_frequente_em_horas]]+ 0.1)</f>
        <v>1.1000000000000001</v>
      </c>
      <c r="S120" s="1">
        <f>(Tabela2[[#This Row],[TUE_tempo_uso_aparelhos_em_horas]]/Tabela2[[#This Row],[FAF_Var]])</f>
        <v>0.90909090909090906</v>
      </c>
      <c r="T120">
        <f>(Tabela2[[#This Row],[CAEC_lanche_entre_refeicoes]]*Tabela2[[#This Row],[FAVC_consumo_frequente_de_alimentos_mt_caloricos]])</f>
        <v>1</v>
      </c>
      <c r="U120" s="1">
        <f>IF(OR(Tabela2[[#This Row],[MTRANS]]="Walking",Tabela2[[#This Row],[MTRANS]]="Bike"),Tabela2[[#This Row],[FAF_atividade_fisica_frequente_em_horas]]+1,M120)</f>
        <v>1</v>
      </c>
      <c r="V120">
        <f>(Tabela2[[#This Row],[SMOKE]]+Tabela2[[#This Row],[CALC_bebe_alcool_frequentemente]])</f>
        <v>1</v>
      </c>
      <c r="W120" s="8">
        <f>(Tabela2[[#This Row],[Weight]]/(Tabela2[[#This Row],[Height]] ^2))</f>
        <v>20.195092211553114</v>
      </c>
    </row>
    <row r="121" spans="1:23" x14ac:dyDescent="0.25">
      <c r="A121" t="s">
        <v>13</v>
      </c>
      <c r="B121" s="7">
        <v>19</v>
      </c>
      <c r="C121" s="4">
        <v>1.63</v>
      </c>
      <c r="D121" s="7">
        <v>76</v>
      </c>
      <c r="E121">
        <v>1</v>
      </c>
      <c r="F121">
        <v>0</v>
      </c>
      <c r="G121" s="2">
        <v>3</v>
      </c>
      <c r="H121" s="2">
        <v>3</v>
      </c>
      <c r="I121">
        <v>2</v>
      </c>
      <c r="J121">
        <v>1</v>
      </c>
      <c r="K121" s="2">
        <v>3</v>
      </c>
      <c r="L121">
        <v>0</v>
      </c>
      <c r="M121" s="7">
        <v>2</v>
      </c>
      <c r="N121" s="7">
        <v>1</v>
      </c>
      <c r="O121">
        <v>1</v>
      </c>
      <c r="P121" t="s">
        <v>17</v>
      </c>
      <c r="Q121">
        <v>3</v>
      </c>
      <c r="R121" s="8">
        <f>(Tabela2[[#This Row],[FAF_atividade_fisica_frequente_em_horas]]+ 0.1)</f>
        <v>2.1</v>
      </c>
      <c r="S121" s="1">
        <f>(Tabela2[[#This Row],[TUE_tempo_uso_aparelhos_em_horas]]/Tabela2[[#This Row],[FAF_Var]])</f>
        <v>0.47619047619047616</v>
      </c>
      <c r="T121">
        <f>(Tabela2[[#This Row],[CAEC_lanche_entre_refeicoes]]*Tabela2[[#This Row],[FAVC_consumo_frequente_de_alimentos_mt_caloricos]])</f>
        <v>0</v>
      </c>
      <c r="U121" s="1">
        <f>IF(OR(Tabela2[[#This Row],[MTRANS]]="Walking",Tabela2[[#This Row],[MTRANS]]="Bike"),Tabela2[[#This Row],[FAF_atividade_fisica_frequente_em_horas]]+1,M121)</f>
        <v>2</v>
      </c>
      <c r="V121">
        <f>(Tabela2[[#This Row],[SMOKE]]+Tabela2[[#This Row],[CALC_bebe_alcool_frequentemente]])</f>
        <v>2</v>
      </c>
      <c r="W121" s="8">
        <f>(Tabela2[[#This Row],[Weight]]/(Tabela2[[#This Row],[Height]] ^2))</f>
        <v>28.604764951635367</v>
      </c>
    </row>
    <row r="122" spans="1:23" x14ac:dyDescent="0.25">
      <c r="A122" t="s">
        <v>13</v>
      </c>
      <c r="B122" s="7">
        <v>23</v>
      </c>
      <c r="C122" s="4">
        <v>1.67</v>
      </c>
      <c r="D122" s="7">
        <v>75</v>
      </c>
      <c r="E122">
        <v>1</v>
      </c>
      <c r="F122">
        <v>1</v>
      </c>
      <c r="G122" s="2">
        <v>2</v>
      </c>
      <c r="H122" s="2">
        <v>3</v>
      </c>
      <c r="I122">
        <v>2</v>
      </c>
      <c r="J122">
        <v>1</v>
      </c>
      <c r="K122" s="2">
        <v>2</v>
      </c>
      <c r="L122">
        <v>0</v>
      </c>
      <c r="M122" s="7">
        <v>0</v>
      </c>
      <c r="N122" s="7">
        <v>2</v>
      </c>
      <c r="O122">
        <v>0</v>
      </c>
      <c r="P122" t="s">
        <v>16</v>
      </c>
      <c r="Q122">
        <v>2</v>
      </c>
      <c r="R122" s="8">
        <f>(Tabela2[[#This Row],[FAF_atividade_fisica_frequente_em_horas]]+ 0.1)</f>
        <v>0.1</v>
      </c>
      <c r="S122" s="1">
        <f>(Tabela2[[#This Row],[TUE_tempo_uso_aparelhos_em_horas]]/Tabela2[[#This Row],[FAF_Var]])</f>
        <v>20</v>
      </c>
      <c r="T122">
        <f>(Tabela2[[#This Row],[CAEC_lanche_entre_refeicoes]]*Tabela2[[#This Row],[FAVC_consumo_frequente_de_alimentos_mt_caloricos]])</f>
        <v>2</v>
      </c>
      <c r="U122" s="1">
        <f>IF(OR(Tabela2[[#This Row],[MTRANS]]="Walking",Tabela2[[#This Row],[MTRANS]]="Bike"),Tabela2[[#This Row],[FAF_atividade_fisica_frequente_em_horas]]+1,M122)</f>
        <v>1</v>
      </c>
      <c r="V122">
        <f>(Tabela2[[#This Row],[SMOKE]]+Tabela2[[#This Row],[CALC_bebe_alcool_frequentemente]])</f>
        <v>1</v>
      </c>
      <c r="W122" s="8">
        <f>(Tabela2[[#This Row],[Weight]]/(Tabela2[[#This Row],[Height]] ^2))</f>
        <v>26.892323138154829</v>
      </c>
    </row>
    <row r="123" spans="1:23" x14ac:dyDescent="0.25">
      <c r="A123" t="s">
        <v>15</v>
      </c>
      <c r="B123" s="7">
        <v>23</v>
      </c>
      <c r="C123" s="4">
        <v>1.87</v>
      </c>
      <c r="D123" s="7">
        <v>95</v>
      </c>
      <c r="E123">
        <v>1</v>
      </c>
      <c r="F123">
        <v>1</v>
      </c>
      <c r="G123" s="2">
        <v>1</v>
      </c>
      <c r="H123" s="2">
        <v>3</v>
      </c>
      <c r="I123">
        <v>2</v>
      </c>
      <c r="J123">
        <v>0</v>
      </c>
      <c r="K123" s="2">
        <v>2</v>
      </c>
      <c r="L123">
        <v>0</v>
      </c>
      <c r="M123" s="7">
        <v>0</v>
      </c>
      <c r="N123" s="7">
        <v>2</v>
      </c>
      <c r="O123">
        <v>2</v>
      </c>
      <c r="P123" t="s">
        <v>14</v>
      </c>
      <c r="Q123">
        <v>3</v>
      </c>
      <c r="R123" s="8">
        <f>(Tabela2[[#This Row],[FAF_atividade_fisica_frequente_em_horas]]+ 0.1)</f>
        <v>0.1</v>
      </c>
      <c r="S123" s="1">
        <f>(Tabela2[[#This Row],[TUE_tempo_uso_aparelhos_em_horas]]/Tabela2[[#This Row],[FAF_Var]])</f>
        <v>20</v>
      </c>
      <c r="T123">
        <f>(Tabela2[[#This Row],[CAEC_lanche_entre_refeicoes]]*Tabela2[[#This Row],[FAVC_consumo_frequente_de_alimentos_mt_caloricos]])</f>
        <v>2</v>
      </c>
      <c r="U123" s="1">
        <f>IF(OR(Tabela2[[#This Row],[MTRANS]]="Walking",Tabela2[[#This Row],[MTRANS]]="Bike"),Tabela2[[#This Row],[FAF_atividade_fisica_frequente_em_horas]]+1,M123)</f>
        <v>0</v>
      </c>
      <c r="V123">
        <f>(Tabela2[[#This Row],[SMOKE]]+Tabela2[[#This Row],[CALC_bebe_alcool_frequentemente]])</f>
        <v>2</v>
      </c>
      <c r="W123" s="8">
        <f>(Tabela2[[#This Row],[Weight]]/(Tabela2[[#This Row],[Height]] ^2))</f>
        <v>27.166919271354622</v>
      </c>
    </row>
    <row r="124" spans="1:23" x14ac:dyDescent="0.25">
      <c r="A124" t="s">
        <v>15</v>
      </c>
      <c r="B124" s="7">
        <v>21</v>
      </c>
      <c r="C124" s="4">
        <v>1.75</v>
      </c>
      <c r="D124" s="7">
        <v>50</v>
      </c>
      <c r="E124">
        <v>1</v>
      </c>
      <c r="F124">
        <v>0</v>
      </c>
      <c r="G124" s="2">
        <v>3</v>
      </c>
      <c r="H124" s="2">
        <v>4</v>
      </c>
      <c r="I124">
        <v>2</v>
      </c>
      <c r="J124">
        <v>0</v>
      </c>
      <c r="K124" s="2">
        <v>1</v>
      </c>
      <c r="L124">
        <v>0</v>
      </c>
      <c r="M124" s="7">
        <v>1</v>
      </c>
      <c r="N124" s="7">
        <v>0</v>
      </c>
      <c r="O124">
        <v>0</v>
      </c>
      <c r="P124" t="s">
        <v>16</v>
      </c>
      <c r="Q124">
        <v>0</v>
      </c>
      <c r="R124" s="8">
        <f>(Tabela2[[#This Row],[FAF_atividade_fisica_frequente_em_horas]]+ 0.1)</f>
        <v>1.1000000000000001</v>
      </c>
      <c r="S124" s="1">
        <f>(Tabela2[[#This Row],[TUE_tempo_uso_aparelhos_em_horas]]/Tabela2[[#This Row],[FAF_Var]])</f>
        <v>0</v>
      </c>
      <c r="T124">
        <f>(Tabela2[[#This Row],[CAEC_lanche_entre_refeicoes]]*Tabela2[[#This Row],[FAVC_consumo_frequente_de_alimentos_mt_caloricos]])</f>
        <v>0</v>
      </c>
      <c r="U124" s="1">
        <f>IF(OR(Tabela2[[#This Row],[MTRANS]]="Walking",Tabela2[[#This Row],[MTRANS]]="Bike"),Tabela2[[#This Row],[FAF_atividade_fisica_frequente_em_horas]]+1,M124)</f>
        <v>2</v>
      </c>
      <c r="V124">
        <f>(Tabela2[[#This Row],[SMOKE]]+Tabela2[[#This Row],[CALC_bebe_alcool_frequentemente]])</f>
        <v>0</v>
      </c>
      <c r="W124" s="8">
        <f>(Tabela2[[#This Row],[Weight]]/(Tabela2[[#This Row],[Height]] ^2))</f>
        <v>16.326530612244898</v>
      </c>
    </row>
    <row r="125" spans="1:23" x14ac:dyDescent="0.25">
      <c r="A125" t="s">
        <v>15</v>
      </c>
      <c r="B125" s="7">
        <v>24</v>
      </c>
      <c r="C125" s="4">
        <v>1.66</v>
      </c>
      <c r="D125" s="7">
        <v>67</v>
      </c>
      <c r="E125">
        <v>1</v>
      </c>
      <c r="F125">
        <v>1</v>
      </c>
      <c r="G125" s="2">
        <v>3</v>
      </c>
      <c r="H125" s="2">
        <v>1</v>
      </c>
      <c r="I125">
        <v>1</v>
      </c>
      <c r="J125">
        <v>0</v>
      </c>
      <c r="K125" s="2">
        <v>2</v>
      </c>
      <c r="L125">
        <v>0</v>
      </c>
      <c r="M125" s="7">
        <v>1</v>
      </c>
      <c r="N125" s="7">
        <v>0</v>
      </c>
      <c r="O125">
        <v>0</v>
      </c>
      <c r="P125" t="s">
        <v>14</v>
      </c>
      <c r="Q125">
        <v>1</v>
      </c>
      <c r="R125" s="8">
        <f>(Tabela2[[#This Row],[FAF_atividade_fisica_frequente_em_horas]]+ 0.1)</f>
        <v>1.1000000000000001</v>
      </c>
      <c r="S125" s="1">
        <f>(Tabela2[[#This Row],[TUE_tempo_uso_aparelhos_em_horas]]/Tabela2[[#This Row],[FAF_Var]])</f>
        <v>0</v>
      </c>
      <c r="T125">
        <f>(Tabela2[[#This Row],[CAEC_lanche_entre_refeicoes]]*Tabela2[[#This Row],[FAVC_consumo_frequente_de_alimentos_mt_caloricos]])</f>
        <v>1</v>
      </c>
      <c r="U125" s="1">
        <f>IF(OR(Tabela2[[#This Row],[MTRANS]]="Walking",Tabela2[[#This Row],[MTRANS]]="Bike"),Tabela2[[#This Row],[FAF_atividade_fisica_frequente_em_horas]]+1,M125)</f>
        <v>1</v>
      </c>
      <c r="V125">
        <f>(Tabela2[[#This Row],[SMOKE]]+Tabela2[[#This Row],[CALC_bebe_alcool_frequentemente]])</f>
        <v>0</v>
      </c>
      <c r="W125" s="8">
        <f>(Tabela2[[#This Row],[Weight]]/(Tabela2[[#This Row],[Height]] ^2))</f>
        <v>24.314123965742489</v>
      </c>
    </row>
    <row r="126" spans="1:23" x14ac:dyDescent="0.25">
      <c r="A126" t="s">
        <v>15</v>
      </c>
      <c r="B126" s="7">
        <v>23</v>
      </c>
      <c r="C126" s="4">
        <v>1.76</v>
      </c>
      <c r="D126" s="7">
        <v>90</v>
      </c>
      <c r="E126">
        <v>0</v>
      </c>
      <c r="F126">
        <v>1</v>
      </c>
      <c r="G126" s="2">
        <v>3</v>
      </c>
      <c r="H126" s="2">
        <v>3</v>
      </c>
      <c r="I126">
        <v>1</v>
      </c>
      <c r="J126">
        <v>0</v>
      </c>
      <c r="K126" s="2">
        <v>1</v>
      </c>
      <c r="L126">
        <v>0</v>
      </c>
      <c r="M126" s="7">
        <v>0</v>
      </c>
      <c r="N126" s="7">
        <v>0</v>
      </c>
      <c r="O126">
        <v>0</v>
      </c>
      <c r="P126" t="s">
        <v>14</v>
      </c>
      <c r="Q126">
        <v>3</v>
      </c>
      <c r="R126" s="8">
        <f>(Tabela2[[#This Row],[FAF_atividade_fisica_frequente_em_horas]]+ 0.1)</f>
        <v>0.1</v>
      </c>
      <c r="S126" s="1">
        <f>(Tabela2[[#This Row],[TUE_tempo_uso_aparelhos_em_horas]]/Tabela2[[#This Row],[FAF_Var]])</f>
        <v>0</v>
      </c>
      <c r="T126">
        <f>(Tabela2[[#This Row],[CAEC_lanche_entre_refeicoes]]*Tabela2[[#This Row],[FAVC_consumo_frequente_de_alimentos_mt_caloricos]])</f>
        <v>1</v>
      </c>
      <c r="U126" s="1">
        <f>IF(OR(Tabela2[[#This Row],[MTRANS]]="Walking",Tabela2[[#This Row],[MTRANS]]="Bike"),Tabela2[[#This Row],[FAF_atividade_fisica_frequente_em_horas]]+1,M126)</f>
        <v>0</v>
      </c>
      <c r="V126">
        <f>(Tabela2[[#This Row],[SMOKE]]+Tabela2[[#This Row],[CALC_bebe_alcool_frequentemente]])</f>
        <v>0</v>
      </c>
      <c r="W126" s="8">
        <f>(Tabela2[[#This Row],[Weight]]/(Tabela2[[#This Row],[Height]] ^2))</f>
        <v>29.054752066115704</v>
      </c>
    </row>
    <row r="127" spans="1:23" x14ac:dyDescent="0.25">
      <c r="A127" t="s">
        <v>15</v>
      </c>
      <c r="B127" s="7">
        <v>18</v>
      </c>
      <c r="C127" s="4">
        <v>1.75</v>
      </c>
      <c r="D127" s="7">
        <v>80</v>
      </c>
      <c r="E127">
        <v>1</v>
      </c>
      <c r="F127">
        <v>1</v>
      </c>
      <c r="G127" s="2">
        <v>2</v>
      </c>
      <c r="H127" s="2">
        <v>3</v>
      </c>
      <c r="I127">
        <v>3</v>
      </c>
      <c r="J127">
        <v>0</v>
      </c>
      <c r="K127" s="2">
        <v>2</v>
      </c>
      <c r="L127">
        <v>0</v>
      </c>
      <c r="M127" s="7">
        <v>0</v>
      </c>
      <c r="N127" s="7">
        <v>0</v>
      </c>
      <c r="O127">
        <v>2</v>
      </c>
      <c r="P127" t="s">
        <v>14</v>
      </c>
      <c r="Q127">
        <v>2</v>
      </c>
      <c r="R127" s="8">
        <f>(Tabela2[[#This Row],[FAF_atividade_fisica_frequente_em_horas]]+ 0.1)</f>
        <v>0.1</v>
      </c>
      <c r="S127" s="1">
        <f>(Tabela2[[#This Row],[TUE_tempo_uso_aparelhos_em_horas]]/Tabela2[[#This Row],[FAF_Var]])</f>
        <v>0</v>
      </c>
      <c r="T127">
        <f>(Tabela2[[#This Row],[CAEC_lanche_entre_refeicoes]]*Tabela2[[#This Row],[FAVC_consumo_frequente_de_alimentos_mt_caloricos]])</f>
        <v>3</v>
      </c>
      <c r="U127" s="1">
        <f>IF(OR(Tabela2[[#This Row],[MTRANS]]="Walking",Tabela2[[#This Row],[MTRANS]]="Bike"),Tabela2[[#This Row],[FAF_atividade_fisica_frequente_em_horas]]+1,M127)</f>
        <v>0</v>
      </c>
      <c r="V127">
        <f>(Tabela2[[#This Row],[SMOKE]]+Tabela2[[#This Row],[CALC_bebe_alcool_frequentemente]])</f>
        <v>2</v>
      </c>
      <c r="W127" s="8">
        <f>(Tabela2[[#This Row],[Weight]]/(Tabela2[[#This Row],[Height]] ^2))</f>
        <v>26.122448979591837</v>
      </c>
    </row>
    <row r="128" spans="1:23" x14ac:dyDescent="0.25">
      <c r="A128" t="s">
        <v>15</v>
      </c>
      <c r="B128" s="7">
        <v>19</v>
      </c>
      <c r="C128" s="4">
        <v>1.67</v>
      </c>
      <c r="D128" s="7">
        <v>68</v>
      </c>
      <c r="E128">
        <v>0</v>
      </c>
      <c r="F128">
        <v>1</v>
      </c>
      <c r="G128" s="2">
        <v>2</v>
      </c>
      <c r="H128" s="2">
        <v>3</v>
      </c>
      <c r="I128">
        <v>1</v>
      </c>
      <c r="J128">
        <v>0</v>
      </c>
      <c r="K128" s="2">
        <v>2</v>
      </c>
      <c r="L128">
        <v>0</v>
      </c>
      <c r="M128" s="7">
        <v>1</v>
      </c>
      <c r="N128" s="7">
        <v>0</v>
      </c>
      <c r="O128">
        <v>1</v>
      </c>
      <c r="P128" t="s">
        <v>14</v>
      </c>
      <c r="Q128">
        <v>1</v>
      </c>
      <c r="R128" s="8">
        <f>(Tabela2[[#This Row],[FAF_atividade_fisica_frequente_em_horas]]+ 0.1)</f>
        <v>1.1000000000000001</v>
      </c>
      <c r="S128" s="1">
        <f>(Tabela2[[#This Row],[TUE_tempo_uso_aparelhos_em_horas]]/Tabela2[[#This Row],[FAF_Var]])</f>
        <v>0</v>
      </c>
      <c r="T128">
        <f>(Tabela2[[#This Row],[CAEC_lanche_entre_refeicoes]]*Tabela2[[#This Row],[FAVC_consumo_frequente_de_alimentos_mt_caloricos]])</f>
        <v>1</v>
      </c>
      <c r="U128" s="1">
        <f>IF(OR(Tabela2[[#This Row],[MTRANS]]="Walking",Tabela2[[#This Row],[MTRANS]]="Bike"),Tabela2[[#This Row],[FAF_atividade_fisica_frequente_em_horas]]+1,M128)</f>
        <v>1</v>
      </c>
      <c r="V128">
        <f>(Tabela2[[#This Row],[SMOKE]]+Tabela2[[#This Row],[CALC_bebe_alcool_frequentemente]])</f>
        <v>1</v>
      </c>
      <c r="W128" s="8">
        <f>(Tabela2[[#This Row],[Weight]]/(Tabela2[[#This Row],[Height]] ^2))</f>
        <v>24.382372978593711</v>
      </c>
    </row>
    <row r="129" spans="1:23" x14ac:dyDescent="0.25">
      <c r="A129" t="s">
        <v>13</v>
      </c>
      <c r="B129" s="7">
        <v>19</v>
      </c>
      <c r="C129" s="4">
        <v>1.65</v>
      </c>
      <c r="D129" s="7">
        <v>61</v>
      </c>
      <c r="E129">
        <v>0</v>
      </c>
      <c r="F129">
        <v>1</v>
      </c>
      <c r="G129" s="2">
        <v>3</v>
      </c>
      <c r="H129" s="2">
        <v>1</v>
      </c>
      <c r="I129">
        <v>1</v>
      </c>
      <c r="J129">
        <v>0</v>
      </c>
      <c r="K129" s="2">
        <v>3</v>
      </c>
      <c r="L129">
        <v>1</v>
      </c>
      <c r="M129" s="7">
        <v>1</v>
      </c>
      <c r="N129" s="7">
        <v>0</v>
      </c>
      <c r="O129">
        <v>1</v>
      </c>
      <c r="P129" t="s">
        <v>14</v>
      </c>
      <c r="Q129">
        <v>1</v>
      </c>
      <c r="R129" s="8">
        <f>(Tabela2[[#This Row],[FAF_atividade_fisica_frequente_em_horas]]+ 0.1)</f>
        <v>1.1000000000000001</v>
      </c>
      <c r="S129" s="1">
        <f>(Tabela2[[#This Row],[TUE_tempo_uso_aparelhos_em_horas]]/Tabela2[[#This Row],[FAF_Var]])</f>
        <v>0</v>
      </c>
      <c r="T129">
        <f>(Tabela2[[#This Row],[CAEC_lanche_entre_refeicoes]]*Tabela2[[#This Row],[FAVC_consumo_frequente_de_alimentos_mt_caloricos]])</f>
        <v>1</v>
      </c>
      <c r="U129" s="1">
        <f>IF(OR(Tabela2[[#This Row],[MTRANS]]="Walking",Tabela2[[#This Row],[MTRANS]]="Bike"),Tabela2[[#This Row],[FAF_atividade_fisica_frequente_em_horas]]+1,M129)</f>
        <v>1</v>
      </c>
      <c r="V129">
        <f>(Tabela2[[#This Row],[SMOKE]]+Tabela2[[#This Row],[CALC_bebe_alcool_frequentemente]])</f>
        <v>1</v>
      </c>
      <c r="W129" s="8">
        <f>(Tabela2[[#This Row],[Weight]]/(Tabela2[[#This Row],[Height]] ^2))</f>
        <v>22.4058769513315</v>
      </c>
    </row>
    <row r="130" spans="1:23" x14ac:dyDescent="0.25">
      <c r="A130" t="s">
        <v>15</v>
      </c>
      <c r="B130" s="7">
        <v>20</v>
      </c>
      <c r="C130" s="4">
        <v>1.72</v>
      </c>
      <c r="D130" s="7">
        <v>70</v>
      </c>
      <c r="E130">
        <v>1</v>
      </c>
      <c r="F130">
        <v>1</v>
      </c>
      <c r="G130" s="2">
        <v>3</v>
      </c>
      <c r="H130" s="2">
        <v>3</v>
      </c>
      <c r="I130">
        <v>2</v>
      </c>
      <c r="J130">
        <v>0</v>
      </c>
      <c r="K130" s="2">
        <v>1</v>
      </c>
      <c r="L130">
        <v>0</v>
      </c>
      <c r="M130" s="7">
        <v>0</v>
      </c>
      <c r="N130" s="7">
        <v>0</v>
      </c>
      <c r="O130">
        <v>1</v>
      </c>
      <c r="P130" t="s">
        <v>14</v>
      </c>
      <c r="Q130">
        <v>1</v>
      </c>
      <c r="R130" s="8">
        <f>(Tabela2[[#This Row],[FAF_atividade_fisica_frequente_em_horas]]+ 0.1)</f>
        <v>0.1</v>
      </c>
      <c r="S130" s="1">
        <f>(Tabela2[[#This Row],[TUE_tempo_uso_aparelhos_em_horas]]/Tabela2[[#This Row],[FAF_Var]])</f>
        <v>0</v>
      </c>
      <c r="T130">
        <f>(Tabela2[[#This Row],[CAEC_lanche_entre_refeicoes]]*Tabela2[[#This Row],[FAVC_consumo_frequente_de_alimentos_mt_caloricos]])</f>
        <v>2</v>
      </c>
      <c r="U130" s="1">
        <f>IF(OR(Tabela2[[#This Row],[MTRANS]]="Walking",Tabela2[[#This Row],[MTRANS]]="Bike"),Tabela2[[#This Row],[FAF_atividade_fisica_frequente_em_horas]]+1,M130)</f>
        <v>0</v>
      </c>
      <c r="V130">
        <f>(Tabela2[[#This Row],[SMOKE]]+Tabela2[[#This Row],[CALC_bebe_alcool_frequentemente]])</f>
        <v>1</v>
      </c>
      <c r="W130" s="8">
        <f>(Tabela2[[#This Row],[Weight]]/(Tabela2[[#This Row],[Height]] ^2))</f>
        <v>23.661438615467823</v>
      </c>
    </row>
    <row r="131" spans="1:23" x14ac:dyDescent="0.25">
      <c r="A131" t="s">
        <v>15</v>
      </c>
      <c r="B131" s="7">
        <v>27</v>
      </c>
      <c r="C131" s="4">
        <v>1.7</v>
      </c>
      <c r="D131" s="7">
        <v>78</v>
      </c>
      <c r="E131">
        <v>0</v>
      </c>
      <c r="F131">
        <v>1</v>
      </c>
      <c r="G131" s="2">
        <v>3</v>
      </c>
      <c r="H131" s="2">
        <v>3</v>
      </c>
      <c r="I131">
        <v>1</v>
      </c>
      <c r="J131">
        <v>0</v>
      </c>
      <c r="K131" s="2">
        <v>3</v>
      </c>
      <c r="L131">
        <v>0</v>
      </c>
      <c r="M131" s="7">
        <v>1</v>
      </c>
      <c r="N131" s="7">
        <v>1</v>
      </c>
      <c r="O131">
        <v>2</v>
      </c>
      <c r="P131" t="s">
        <v>14</v>
      </c>
      <c r="Q131">
        <v>3</v>
      </c>
      <c r="R131" s="8">
        <f>(Tabela2[[#This Row],[FAF_atividade_fisica_frequente_em_horas]]+ 0.1)</f>
        <v>1.1000000000000001</v>
      </c>
      <c r="S131" s="1">
        <f>(Tabela2[[#This Row],[TUE_tempo_uso_aparelhos_em_horas]]/Tabela2[[#This Row],[FAF_Var]])</f>
        <v>0.90909090909090906</v>
      </c>
      <c r="T131">
        <f>(Tabela2[[#This Row],[CAEC_lanche_entre_refeicoes]]*Tabela2[[#This Row],[FAVC_consumo_frequente_de_alimentos_mt_caloricos]])</f>
        <v>1</v>
      </c>
      <c r="U131" s="1">
        <f>IF(OR(Tabela2[[#This Row],[MTRANS]]="Walking",Tabela2[[#This Row],[MTRANS]]="Bike"),Tabela2[[#This Row],[FAF_atividade_fisica_frequente_em_horas]]+1,M131)</f>
        <v>1</v>
      </c>
      <c r="V131">
        <f>(Tabela2[[#This Row],[SMOKE]]+Tabela2[[#This Row],[CALC_bebe_alcool_frequentemente]])</f>
        <v>2</v>
      </c>
      <c r="W131" s="8">
        <f>(Tabela2[[#This Row],[Weight]]/(Tabela2[[#This Row],[Height]] ^2))</f>
        <v>26.989619377162633</v>
      </c>
    </row>
    <row r="132" spans="1:23" x14ac:dyDescent="0.25">
      <c r="A132" t="s">
        <v>13</v>
      </c>
      <c r="B132" s="7">
        <v>20</v>
      </c>
      <c r="C132" s="4">
        <v>1.58</v>
      </c>
      <c r="D132" s="7">
        <v>53</v>
      </c>
      <c r="E132">
        <v>1</v>
      </c>
      <c r="F132">
        <v>1</v>
      </c>
      <c r="G132" s="2">
        <v>2</v>
      </c>
      <c r="H132" s="2">
        <v>4</v>
      </c>
      <c r="I132">
        <v>2</v>
      </c>
      <c r="J132">
        <v>0</v>
      </c>
      <c r="K132" s="2">
        <v>2</v>
      </c>
      <c r="L132">
        <v>0</v>
      </c>
      <c r="M132" s="7">
        <v>1</v>
      </c>
      <c r="N132" s="7">
        <v>1</v>
      </c>
      <c r="O132">
        <v>0</v>
      </c>
      <c r="P132" t="s">
        <v>14</v>
      </c>
      <c r="Q132">
        <v>1</v>
      </c>
      <c r="R132" s="8">
        <f>(Tabela2[[#This Row],[FAF_atividade_fisica_frequente_em_horas]]+ 0.1)</f>
        <v>1.1000000000000001</v>
      </c>
      <c r="S132" s="1">
        <f>(Tabela2[[#This Row],[TUE_tempo_uso_aparelhos_em_horas]]/Tabela2[[#This Row],[FAF_Var]])</f>
        <v>0.90909090909090906</v>
      </c>
      <c r="T132">
        <f>(Tabela2[[#This Row],[CAEC_lanche_entre_refeicoes]]*Tabela2[[#This Row],[FAVC_consumo_frequente_de_alimentos_mt_caloricos]])</f>
        <v>2</v>
      </c>
      <c r="U132" s="1">
        <f>IF(OR(Tabela2[[#This Row],[MTRANS]]="Walking",Tabela2[[#This Row],[MTRANS]]="Bike"),Tabela2[[#This Row],[FAF_atividade_fisica_frequente_em_horas]]+1,M132)</f>
        <v>1</v>
      </c>
      <c r="V132">
        <f>(Tabela2[[#This Row],[SMOKE]]+Tabela2[[#This Row],[CALC_bebe_alcool_frequentemente]])</f>
        <v>0</v>
      </c>
      <c r="W132" s="8">
        <f>(Tabela2[[#This Row],[Weight]]/(Tabela2[[#This Row],[Height]] ^2))</f>
        <v>21.230572023714146</v>
      </c>
    </row>
    <row r="133" spans="1:23" x14ac:dyDescent="0.25">
      <c r="A133" t="s">
        <v>15</v>
      </c>
      <c r="B133" s="7">
        <v>23</v>
      </c>
      <c r="C133" s="4">
        <v>1.62</v>
      </c>
      <c r="D133" s="7">
        <v>58</v>
      </c>
      <c r="E133">
        <v>0</v>
      </c>
      <c r="F133">
        <v>0</v>
      </c>
      <c r="G133" s="2">
        <v>2</v>
      </c>
      <c r="H133" s="2">
        <v>3</v>
      </c>
      <c r="I133">
        <v>1</v>
      </c>
      <c r="J133">
        <v>0</v>
      </c>
      <c r="K133" s="2">
        <v>1</v>
      </c>
      <c r="L133">
        <v>0</v>
      </c>
      <c r="M133" s="7">
        <v>1</v>
      </c>
      <c r="N133" s="7">
        <v>0</v>
      </c>
      <c r="O133">
        <v>0</v>
      </c>
      <c r="P133" t="s">
        <v>14</v>
      </c>
      <c r="Q133">
        <v>1</v>
      </c>
      <c r="R133" s="8">
        <f>(Tabela2[[#This Row],[FAF_atividade_fisica_frequente_em_horas]]+ 0.1)</f>
        <v>1.1000000000000001</v>
      </c>
      <c r="S133" s="1">
        <f>(Tabela2[[#This Row],[TUE_tempo_uso_aparelhos_em_horas]]/Tabela2[[#This Row],[FAF_Var]])</f>
        <v>0</v>
      </c>
      <c r="T133">
        <f>(Tabela2[[#This Row],[CAEC_lanche_entre_refeicoes]]*Tabela2[[#This Row],[FAVC_consumo_frequente_de_alimentos_mt_caloricos]])</f>
        <v>0</v>
      </c>
      <c r="U133" s="1">
        <f>IF(OR(Tabela2[[#This Row],[MTRANS]]="Walking",Tabela2[[#This Row],[MTRANS]]="Bike"),Tabela2[[#This Row],[FAF_atividade_fisica_frequente_em_horas]]+1,M133)</f>
        <v>1</v>
      </c>
      <c r="V133">
        <f>(Tabela2[[#This Row],[SMOKE]]+Tabela2[[#This Row],[CALC_bebe_alcool_frequentemente]])</f>
        <v>0</v>
      </c>
      <c r="W133" s="8">
        <f>(Tabela2[[#This Row],[Weight]]/(Tabela2[[#This Row],[Height]] ^2))</f>
        <v>22.10028959000152</v>
      </c>
    </row>
    <row r="134" spans="1:23" x14ac:dyDescent="0.25">
      <c r="A134" t="s">
        <v>13</v>
      </c>
      <c r="B134" s="7">
        <v>19</v>
      </c>
      <c r="C134" s="4">
        <v>1.65</v>
      </c>
      <c r="D134" s="7">
        <v>56</v>
      </c>
      <c r="E134">
        <v>1</v>
      </c>
      <c r="F134">
        <v>1</v>
      </c>
      <c r="G134" s="2">
        <v>3</v>
      </c>
      <c r="H134" s="2">
        <v>3</v>
      </c>
      <c r="I134">
        <v>2</v>
      </c>
      <c r="J134">
        <v>1</v>
      </c>
      <c r="K134" s="2">
        <v>3</v>
      </c>
      <c r="L134">
        <v>1</v>
      </c>
      <c r="M134" s="7">
        <v>1</v>
      </c>
      <c r="N134" s="7">
        <v>2</v>
      </c>
      <c r="O134">
        <v>2</v>
      </c>
      <c r="P134" t="s">
        <v>14</v>
      </c>
      <c r="Q134">
        <v>1</v>
      </c>
      <c r="R134" s="8">
        <f>(Tabela2[[#This Row],[FAF_atividade_fisica_frequente_em_horas]]+ 0.1)</f>
        <v>1.1000000000000001</v>
      </c>
      <c r="S134" s="1">
        <f>(Tabela2[[#This Row],[TUE_tempo_uso_aparelhos_em_horas]]/Tabela2[[#This Row],[FAF_Var]])</f>
        <v>1.8181818181818181</v>
      </c>
      <c r="T134">
        <f>(Tabela2[[#This Row],[CAEC_lanche_entre_refeicoes]]*Tabela2[[#This Row],[FAVC_consumo_frequente_de_alimentos_mt_caloricos]])</f>
        <v>2</v>
      </c>
      <c r="U134" s="1">
        <f>IF(OR(Tabela2[[#This Row],[MTRANS]]="Walking",Tabela2[[#This Row],[MTRANS]]="Bike"),Tabela2[[#This Row],[FAF_atividade_fisica_frequente_em_horas]]+1,M134)</f>
        <v>1</v>
      </c>
      <c r="V134">
        <f>(Tabela2[[#This Row],[SMOKE]]+Tabela2[[#This Row],[CALC_bebe_alcool_frequentemente]])</f>
        <v>3</v>
      </c>
      <c r="W134" s="8">
        <f>(Tabela2[[#This Row],[Weight]]/(Tabela2[[#This Row],[Height]] ^2))</f>
        <v>20.569329660238754</v>
      </c>
    </row>
    <row r="135" spans="1:23" x14ac:dyDescent="0.25">
      <c r="A135" t="s">
        <v>13</v>
      </c>
      <c r="B135" s="7">
        <v>61</v>
      </c>
      <c r="C135" s="4">
        <v>1.65</v>
      </c>
      <c r="D135" s="7">
        <v>66</v>
      </c>
      <c r="E135">
        <v>0</v>
      </c>
      <c r="F135">
        <v>1</v>
      </c>
      <c r="G135" s="2">
        <v>3</v>
      </c>
      <c r="H135" s="2">
        <v>3</v>
      </c>
      <c r="I135">
        <v>3</v>
      </c>
      <c r="J135">
        <v>0</v>
      </c>
      <c r="K135" s="2">
        <v>2</v>
      </c>
      <c r="L135">
        <v>0</v>
      </c>
      <c r="M135" s="7">
        <v>1</v>
      </c>
      <c r="N135" s="7">
        <v>1</v>
      </c>
      <c r="O135">
        <v>2</v>
      </c>
      <c r="P135" t="s">
        <v>14</v>
      </c>
      <c r="Q135">
        <v>1</v>
      </c>
      <c r="R135" s="8">
        <f>(Tabela2[[#This Row],[FAF_atividade_fisica_frequente_em_horas]]+ 0.1)</f>
        <v>1.1000000000000001</v>
      </c>
      <c r="S135" s="1">
        <f>(Tabela2[[#This Row],[TUE_tempo_uso_aparelhos_em_horas]]/Tabela2[[#This Row],[FAF_Var]])</f>
        <v>0.90909090909090906</v>
      </c>
      <c r="T135">
        <f>(Tabela2[[#This Row],[CAEC_lanche_entre_refeicoes]]*Tabela2[[#This Row],[FAVC_consumo_frequente_de_alimentos_mt_caloricos]])</f>
        <v>3</v>
      </c>
      <c r="U135" s="1">
        <f>IF(OR(Tabela2[[#This Row],[MTRANS]]="Walking",Tabela2[[#This Row],[MTRANS]]="Bike"),Tabela2[[#This Row],[FAF_atividade_fisica_frequente_em_horas]]+1,M135)</f>
        <v>1</v>
      </c>
      <c r="V135">
        <f>(Tabela2[[#This Row],[SMOKE]]+Tabela2[[#This Row],[CALC_bebe_alcool_frequentemente]])</f>
        <v>2</v>
      </c>
      <c r="W135" s="8">
        <f>(Tabela2[[#This Row],[Weight]]/(Tabela2[[#This Row],[Height]] ^2))</f>
        <v>24.242424242424246</v>
      </c>
    </row>
    <row r="136" spans="1:23" x14ac:dyDescent="0.25">
      <c r="A136" t="s">
        <v>15</v>
      </c>
      <c r="B136" s="7">
        <v>30</v>
      </c>
      <c r="C136" s="4">
        <v>1.77</v>
      </c>
      <c r="D136" s="7">
        <v>109</v>
      </c>
      <c r="E136">
        <v>1</v>
      </c>
      <c r="F136">
        <v>1</v>
      </c>
      <c r="G136" s="2">
        <v>3</v>
      </c>
      <c r="H136" s="2">
        <v>3</v>
      </c>
      <c r="I136">
        <v>1</v>
      </c>
      <c r="J136">
        <v>0</v>
      </c>
      <c r="K136" s="2">
        <v>1</v>
      </c>
      <c r="L136">
        <v>0</v>
      </c>
      <c r="M136" s="7">
        <v>2</v>
      </c>
      <c r="N136" s="7">
        <v>0</v>
      </c>
      <c r="O136">
        <v>1</v>
      </c>
      <c r="P136" t="s">
        <v>17</v>
      </c>
      <c r="Q136">
        <v>4</v>
      </c>
      <c r="R136" s="8">
        <f>(Tabela2[[#This Row],[FAF_atividade_fisica_frequente_em_horas]]+ 0.1)</f>
        <v>2.1</v>
      </c>
      <c r="S136" s="1">
        <f>(Tabela2[[#This Row],[TUE_tempo_uso_aparelhos_em_horas]]/Tabela2[[#This Row],[FAF_Var]])</f>
        <v>0</v>
      </c>
      <c r="T136">
        <f>(Tabela2[[#This Row],[CAEC_lanche_entre_refeicoes]]*Tabela2[[#This Row],[FAVC_consumo_frequente_de_alimentos_mt_caloricos]])</f>
        <v>1</v>
      </c>
      <c r="U136" s="1">
        <f>IF(OR(Tabela2[[#This Row],[MTRANS]]="Walking",Tabela2[[#This Row],[MTRANS]]="Bike"),Tabela2[[#This Row],[FAF_atividade_fisica_frequente_em_horas]]+1,M136)</f>
        <v>2</v>
      </c>
      <c r="V136">
        <f>(Tabela2[[#This Row],[SMOKE]]+Tabela2[[#This Row],[CALC_bebe_alcool_frequentemente]])</f>
        <v>1</v>
      </c>
      <c r="W136" s="8">
        <f>(Tabela2[[#This Row],[Weight]]/(Tabela2[[#This Row],[Height]] ^2))</f>
        <v>34.792045708449038</v>
      </c>
    </row>
    <row r="137" spans="1:23" x14ac:dyDescent="0.25">
      <c r="A137" t="s">
        <v>15</v>
      </c>
      <c r="B137" s="7">
        <v>24</v>
      </c>
      <c r="C137" s="4">
        <v>1.7</v>
      </c>
      <c r="D137" s="7">
        <v>75</v>
      </c>
      <c r="E137">
        <v>1</v>
      </c>
      <c r="F137">
        <v>1</v>
      </c>
      <c r="G137" s="2">
        <v>2</v>
      </c>
      <c r="H137" s="2">
        <v>3</v>
      </c>
      <c r="I137">
        <v>1</v>
      </c>
      <c r="J137">
        <v>0</v>
      </c>
      <c r="K137" s="2">
        <v>2</v>
      </c>
      <c r="L137">
        <v>0</v>
      </c>
      <c r="M137" s="7">
        <v>1</v>
      </c>
      <c r="N137" s="7">
        <v>0</v>
      </c>
      <c r="O137">
        <v>1</v>
      </c>
      <c r="P137" t="s">
        <v>17</v>
      </c>
      <c r="Q137">
        <v>2</v>
      </c>
      <c r="R137" s="8">
        <f>(Tabela2[[#This Row],[FAF_atividade_fisica_frequente_em_horas]]+ 0.1)</f>
        <v>1.1000000000000001</v>
      </c>
      <c r="S137" s="1">
        <f>(Tabela2[[#This Row],[TUE_tempo_uso_aparelhos_em_horas]]/Tabela2[[#This Row],[FAF_Var]])</f>
        <v>0</v>
      </c>
      <c r="T137">
        <f>(Tabela2[[#This Row],[CAEC_lanche_entre_refeicoes]]*Tabela2[[#This Row],[FAVC_consumo_frequente_de_alimentos_mt_caloricos]])</f>
        <v>1</v>
      </c>
      <c r="U137" s="1">
        <f>IF(OR(Tabela2[[#This Row],[MTRANS]]="Walking",Tabela2[[#This Row],[MTRANS]]="Bike"),Tabela2[[#This Row],[FAF_atividade_fisica_frequente_em_horas]]+1,M137)</f>
        <v>1</v>
      </c>
      <c r="V137">
        <f>(Tabela2[[#This Row],[SMOKE]]+Tabela2[[#This Row],[CALC_bebe_alcool_frequentemente]])</f>
        <v>1</v>
      </c>
      <c r="W137" s="8">
        <f>(Tabela2[[#This Row],[Weight]]/(Tabela2[[#This Row],[Height]] ^2))</f>
        <v>25.95155709342561</v>
      </c>
    </row>
    <row r="138" spans="1:23" x14ac:dyDescent="0.25">
      <c r="A138" t="s">
        <v>15</v>
      </c>
      <c r="B138" s="7">
        <v>25</v>
      </c>
      <c r="C138" s="4">
        <v>1.79</v>
      </c>
      <c r="D138" s="7">
        <v>72</v>
      </c>
      <c r="E138">
        <v>1</v>
      </c>
      <c r="F138">
        <v>1</v>
      </c>
      <c r="G138" s="2">
        <v>2</v>
      </c>
      <c r="H138" s="2">
        <v>3</v>
      </c>
      <c r="I138">
        <v>1</v>
      </c>
      <c r="J138">
        <v>0</v>
      </c>
      <c r="K138" s="2">
        <v>2</v>
      </c>
      <c r="L138">
        <v>0</v>
      </c>
      <c r="M138" s="7">
        <v>1</v>
      </c>
      <c r="N138" s="7">
        <v>1</v>
      </c>
      <c r="O138">
        <v>1</v>
      </c>
      <c r="P138" t="s">
        <v>14</v>
      </c>
      <c r="Q138">
        <v>1</v>
      </c>
      <c r="R138" s="8">
        <f>(Tabela2[[#This Row],[FAF_atividade_fisica_frequente_em_horas]]+ 0.1)</f>
        <v>1.1000000000000001</v>
      </c>
      <c r="S138" s="1">
        <f>(Tabela2[[#This Row],[TUE_tempo_uso_aparelhos_em_horas]]/Tabela2[[#This Row],[FAF_Var]])</f>
        <v>0.90909090909090906</v>
      </c>
      <c r="T138">
        <f>(Tabela2[[#This Row],[CAEC_lanche_entre_refeicoes]]*Tabela2[[#This Row],[FAVC_consumo_frequente_de_alimentos_mt_caloricos]])</f>
        <v>1</v>
      </c>
      <c r="U138" s="1">
        <f>IF(OR(Tabela2[[#This Row],[MTRANS]]="Walking",Tabela2[[#This Row],[MTRANS]]="Bike"),Tabela2[[#This Row],[FAF_atividade_fisica_frequente_em_horas]]+1,M138)</f>
        <v>1</v>
      </c>
      <c r="V138">
        <f>(Tabela2[[#This Row],[SMOKE]]+Tabela2[[#This Row],[CALC_bebe_alcool_frequentemente]])</f>
        <v>1</v>
      </c>
      <c r="W138" s="8">
        <f>(Tabela2[[#This Row],[Weight]]/(Tabela2[[#This Row],[Height]] ^2))</f>
        <v>22.471208763771418</v>
      </c>
    </row>
    <row r="139" spans="1:23" x14ac:dyDescent="0.25">
      <c r="A139" t="s">
        <v>15</v>
      </c>
      <c r="B139" s="7">
        <v>44</v>
      </c>
      <c r="C139" s="4">
        <v>1.6</v>
      </c>
      <c r="D139" s="7">
        <v>80</v>
      </c>
      <c r="E139">
        <v>1</v>
      </c>
      <c r="F139">
        <v>0</v>
      </c>
      <c r="G139" s="2">
        <v>2</v>
      </c>
      <c r="H139" s="2">
        <v>3</v>
      </c>
      <c r="I139">
        <v>1</v>
      </c>
      <c r="J139">
        <v>1</v>
      </c>
      <c r="K139" s="2">
        <v>3</v>
      </c>
      <c r="L139">
        <v>0</v>
      </c>
      <c r="M139" s="7">
        <v>0</v>
      </c>
      <c r="N139" s="7">
        <v>0</v>
      </c>
      <c r="O139">
        <v>0</v>
      </c>
      <c r="P139" t="s">
        <v>18</v>
      </c>
      <c r="Q139">
        <v>4</v>
      </c>
      <c r="R139" s="8">
        <f>(Tabela2[[#This Row],[FAF_atividade_fisica_frequente_em_horas]]+ 0.1)</f>
        <v>0.1</v>
      </c>
      <c r="S139" s="1">
        <f>(Tabela2[[#This Row],[TUE_tempo_uso_aparelhos_em_horas]]/Tabela2[[#This Row],[FAF_Var]])</f>
        <v>0</v>
      </c>
      <c r="T139">
        <f>(Tabela2[[#This Row],[CAEC_lanche_entre_refeicoes]]*Tabela2[[#This Row],[FAVC_consumo_frequente_de_alimentos_mt_caloricos]])</f>
        <v>0</v>
      </c>
      <c r="U139" s="1">
        <f>IF(OR(Tabela2[[#This Row],[MTRANS]]="Walking",Tabela2[[#This Row],[MTRANS]]="Bike"),Tabela2[[#This Row],[FAF_atividade_fisica_frequente_em_horas]]+1,M139)</f>
        <v>0</v>
      </c>
      <c r="V139">
        <f>(Tabela2[[#This Row],[SMOKE]]+Tabela2[[#This Row],[CALC_bebe_alcool_frequentemente]])</f>
        <v>1</v>
      </c>
      <c r="W139" s="8">
        <f>(Tabela2[[#This Row],[Weight]]/(Tabela2[[#This Row],[Height]] ^2))</f>
        <v>31.249999999999993</v>
      </c>
    </row>
    <row r="140" spans="1:23" x14ac:dyDescent="0.25">
      <c r="A140" t="s">
        <v>15</v>
      </c>
      <c r="B140" s="7">
        <v>31</v>
      </c>
      <c r="C140" s="4">
        <v>1.76</v>
      </c>
      <c r="D140" s="7">
        <v>75</v>
      </c>
      <c r="E140">
        <v>1</v>
      </c>
      <c r="F140">
        <v>0</v>
      </c>
      <c r="G140" s="2">
        <v>3</v>
      </c>
      <c r="H140" s="2">
        <v>3</v>
      </c>
      <c r="I140">
        <v>3</v>
      </c>
      <c r="J140">
        <v>0</v>
      </c>
      <c r="K140" s="2">
        <v>3</v>
      </c>
      <c r="L140">
        <v>1</v>
      </c>
      <c r="M140" s="7">
        <v>3</v>
      </c>
      <c r="N140" s="7">
        <v>0</v>
      </c>
      <c r="O140">
        <v>0</v>
      </c>
      <c r="P140" t="s">
        <v>19</v>
      </c>
      <c r="Q140">
        <v>1</v>
      </c>
      <c r="R140" s="8">
        <f>(Tabela2[[#This Row],[FAF_atividade_fisica_frequente_em_horas]]+ 0.1)</f>
        <v>3.1</v>
      </c>
      <c r="S140" s="1">
        <f>(Tabela2[[#This Row],[TUE_tempo_uso_aparelhos_em_horas]]/Tabela2[[#This Row],[FAF_Var]])</f>
        <v>0</v>
      </c>
      <c r="T140">
        <f>(Tabela2[[#This Row],[CAEC_lanche_entre_refeicoes]]*Tabela2[[#This Row],[FAVC_consumo_frequente_de_alimentos_mt_caloricos]])</f>
        <v>0</v>
      </c>
      <c r="U140" s="1">
        <f>IF(OR(Tabela2[[#This Row],[MTRANS]]="Walking",Tabela2[[#This Row],[MTRANS]]="Bike"),Tabela2[[#This Row],[FAF_atividade_fisica_frequente_em_horas]]+1,M140)</f>
        <v>4</v>
      </c>
      <c r="V140">
        <f>(Tabela2[[#This Row],[SMOKE]]+Tabela2[[#This Row],[CALC_bebe_alcool_frequentemente]])</f>
        <v>0</v>
      </c>
      <c r="W140" s="8">
        <f>(Tabela2[[#This Row],[Weight]]/(Tabela2[[#This Row],[Height]] ^2))</f>
        <v>24.212293388429753</v>
      </c>
    </row>
    <row r="141" spans="1:23" x14ac:dyDescent="0.25">
      <c r="A141" t="s">
        <v>15</v>
      </c>
      <c r="B141" s="7">
        <v>25</v>
      </c>
      <c r="C141" s="4">
        <v>1.7</v>
      </c>
      <c r="D141" s="7">
        <v>68</v>
      </c>
      <c r="E141">
        <v>0</v>
      </c>
      <c r="F141">
        <v>1</v>
      </c>
      <c r="G141" s="2">
        <v>2</v>
      </c>
      <c r="H141" s="2">
        <v>3</v>
      </c>
      <c r="I141">
        <v>2</v>
      </c>
      <c r="J141">
        <v>0</v>
      </c>
      <c r="K141" s="2">
        <v>2</v>
      </c>
      <c r="L141">
        <v>0</v>
      </c>
      <c r="M141" s="7">
        <v>0</v>
      </c>
      <c r="N141" s="7">
        <v>1</v>
      </c>
      <c r="O141">
        <v>0</v>
      </c>
      <c r="P141" t="s">
        <v>14</v>
      </c>
      <c r="Q141">
        <v>1</v>
      </c>
      <c r="R141" s="8">
        <f>(Tabela2[[#This Row],[FAF_atividade_fisica_frequente_em_horas]]+ 0.1)</f>
        <v>0.1</v>
      </c>
      <c r="S141" s="1">
        <f>(Tabela2[[#This Row],[TUE_tempo_uso_aparelhos_em_horas]]/Tabela2[[#This Row],[FAF_Var]])</f>
        <v>10</v>
      </c>
      <c r="T141">
        <f>(Tabela2[[#This Row],[CAEC_lanche_entre_refeicoes]]*Tabela2[[#This Row],[FAVC_consumo_frequente_de_alimentos_mt_caloricos]])</f>
        <v>2</v>
      </c>
      <c r="U141" s="1">
        <f>IF(OR(Tabela2[[#This Row],[MTRANS]]="Walking",Tabela2[[#This Row],[MTRANS]]="Bike"),Tabela2[[#This Row],[FAF_atividade_fisica_frequente_em_horas]]+1,M141)</f>
        <v>0</v>
      </c>
      <c r="V141">
        <f>(Tabela2[[#This Row],[SMOKE]]+Tabela2[[#This Row],[CALC_bebe_alcool_frequentemente]])</f>
        <v>0</v>
      </c>
      <c r="W141" s="8">
        <f>(Tabela2[[#This Row],[Weight]]/(Tabela2[[#This Row],[Height]] ^2))</f>
        <v>23.529411764705884</v>
      </c>
    </row>
    <row r="142" spans="1:23" x14ac:dyDescent="0.25">
      <c r="A142" t="s">
        <v>15</v>
      </c>
      <c r="B142" s="7">
        <v>23</v>
      </c>
      <c r="C142" s="4">
        <v>1.89</v>
      </c>
      <c r="D142" s="7">
        <v>65</v>
      </c>
      <c r="E142">
        <v>1</v>
      </c>
      <c r="F142">
        <v>1</v>
      </c>
      <c r="G142" s="2">
        <v>3</v>
      </c>
      <c r="H142" s="2">
        <v>3</v>
      </c>
      <c r="I142">
        <v>2</v>
      </c>
      <c r="J142">
        <v>0</v>
      </c>
      <c r="K142" s="2">
        <v>3</v>
      </c>
      <c r="L142">
        <v>0</v>
      </c>
      <c r="M142" s="7">
        <v>1</v>
      </c>
      <c r="N142" s="7">
        <v>1</v>
      </c>
      <c r="O142">
        <v>1</v>
      </c>
      <c r="P142" t="s">
        <v>14</v>
      </c>
      <c r="Q142">
        <v>0</v>
      </c>
      <c r="R142" s="8">
        <f>(Tabela2[[#This Row],[FAF_atividade_fisica_frequente_em_horas]]+ 0.1)</f>
        <v>1.1000000000000001</v>
      </c>
      <c r="S142" s="1">
        <f>(Tabela2[[#This Row],[TUE_tempo_uso_aparelhos_em_horas]]/Tabela2[[#This Row],[FAF_Var]])</f>
        <v>0.90909090909090906</v>
      </c>
      <c r="T142">
        <f>(Tabela2[[#This Row],[CAEC_lanche_entre_refeicoes]]*Tabela2[[#This Row],[FAVC_consumo_frequente_de_alimentos_mt_caloricos]])</f>
        <v>2</v>
      </c>
      <c r="U142" s="1">
        <f>IF(OR(Tabela2[[#This Row],[MTRANS]]="Walking",Tabela2[[#This Row],[MTRANS]]="Bike"),Tabela2[[#This Row],[FAF_atividade_fisica_frequente_em_horas]]+1,M142)</f>
        <v>1</v>
      </c>
      <c r="V142">
        <f>(Tabela2[[#This Row],[SMOKE]]+Tabela2[[#This Row],[CALC_bebe_alcool_frequentemente]])</f>
        <v>1</v>
      </c>
      <c r="W142" s="8">
        <f>(Tabela2[[#This Row],[Weight]]/(Tabela2[[#This Row],[Height]] ^2))</f>
        <v>18.196579043139891</v>
      </c>
    </row>
    <row r="143" spans="1:23" x14ac:dyDescent="0.25">
      <c r="A143" t="s">
        <v>15</v>
      </c>
      <c r="B143" s="7">
        <v>25</v>
      </c>
      <c r="C143" s="4">
        <v>1.87</v>
      </c>
      <c r="D143" s="7">
        <v>66</v>
      </c>
      <c r="E143">
        <v>0</v>
      </c>
      <c r="F143">
        <v>1</v>
      </c>
      <c r="G143" s="2">
        <v>3</v>
      </c>
      <c r="H143" s="2">
        <v>3</v>
      </c>
      <c r="I143">
        <v>3</v>
      </c>
      <c r="J143">
        <v>0</v>
      </c>
      <c r="K143" s="2">
        <v>2</v>
      </c>
      <c r="L143">
        <v>0</v>
      </c>
      <c r="M143" s="7">
        <v>2</v>
      </c>
      <c r="N143" s="7">
        <v>0</v>
      </c>
      <c r="O143">
        <v>2</v>
      </c>
      <c r="P143" t="s">
        <v>14</v>
      </c>
      <c r="Q143">
        <v>1</v>
      </c>
      <c r="R143" s="8">
        <f>(Tabela2[[#This Row],[FAF_atividade_fisica_frequente_em_horas]]+ 0.1)</f>
        <v>2.1</v>
      </c>
      <c r="S143" s="1">
        <f>(Tabela2[[#This Row],[TUE_tempo_uso_aparelhos_em_horas]]/Tabela2[[#This Row],[FAF_Var]])</f>
        <v>0</v>
      </c>
      <c r="T143">
        <f>(Tabela2[[#This Row],[CAEC_lanche_entre_refeicoes]]*Tabela2[[#This Row],[FAVC_consumo_frequente_de_alimentos_mt_caloricos]])</f>
        <v>3</v>
      </c>
      <c r="U143" s="1">
        <f>IF(OR(Tabela2[[#This Row],[MTRANS]]="Walking",Tabela2[[#This Row],[MTRANS]]="Bike"),Tabela2[[#This Row],[FAF_atividade_fisica_frequente_em_horas]]+1,M143)</f>
        <v>2</v>
      </c>
      <c r="V143">
        <f>(Tabela2[[#This Row],[SMOKE]]+Tabela2[[#This Row],[CALC_bebe_alcool_frequentemente]])</f>
        <v>2</v>
      </c>
      <c r="W143" s="8">
        <f>(Tabela2[[#This Row],[Weight]]/(Tabela2[[#This Row],[Height]] ^2))</f>
        <v>18.873859704309528</v>
      </c>
    </row>
    <row r="144" spans="1:23" x14ac:dyDescent="0.25">
      <c r="A144" t="s">
        <v>15</v>
      </c>
      <c r="B144" s="7">
        <v>23</v>
      </c>
      <c r="C144" s="4">
        <v>1.74</v>
      </c>
      <c r="D144" s="7">
        <v>93.5</v>
      </c>
      <c r="E144">
        <v>0</v>
      </c>
      <c r="F144">
        <v>1</v>
      </c>
      <c r="G144" s="2">
        <v>2</v>
      </c>
      <c r="H144" s="2">
        <v>3</v>
      </c>
      <c r="I144">
        <v>2</v>
      </c>
      <c r="J144">
        <v>1</v>
      </c>
      <c r="K144" s="2">
        <v>1</v>
      </c>
      <c r="L144">
        <v>0</v>
      </c>
      <c r="M144" s="7">
        <v>1</v>
      </c>
      <c r="N144" s="7">
        <v>1</v>
      </c>
      <c r="O144">
        <v>2</v>
      </c>
      <c r="P144" t="s">
        <v>17</v>
      </c>
      <c r="Q144">
        <v>4</v>
      </c>
      <c r="R144" s="8">
        <f>(Tabela2[[#This Row],[FAF_atividade_fisica_frequente_em_horas]]+ 0.1)</f>
        <v>1.1000000000000001</v>
      </c>
      <c r="S144" s="1">
        <f>(Tabela2[[#This Row],[TUE_tempo_uso_aparelhos_em_horas]]/Tabela2[[#This Row],[FAF_Var]])</f>
        <v>0.90909090909090906</v>
      </c>
      <c r="T144">
        <f>(Tabela2[[#This Row],[CAEC_lanche_entre_refeicoes]]*Tabela2[[#This Row],[FAVC_consumo_frequente_de_alimentos_mt_caloricos]])</f>
        <v>2</v>
      </c>
      <c r="U144" s="1">
        <f>IF(OR(Tabela2[[#This Row],[MTRANS]]="Walking",Tabela2[[#This Row],[MTRANS]]="Bike"),Tabela2[[#This Row],[FAF_atividade_fisica_frequente_em_horas]]+1,M144)</f>
        <v>1</v>
      </c>
      <c r="V144">
        <f>(Tabela2[[#This Row],[SMOKE]]+Tabela2[[#This Row],[CALC_bebe_alcool_frequentemente]])</f>
        <v>3</v>
      </c>
      <c r="W144" s="8">
        <f>(Tabela2[[#This Row],[Weight]]/(Tabela2[[#This Row],[Height]] ^2))</f>
        <v>30.88254723213106</v>
      </c>
    </row>
    <row r="145" spans="1:23" x14ac:dyDescent="0.25">
      <c r="A145" t="s">
        <v>13</v>
      </c>
      <c r="B145" s="7">
        <v>34</v>
      </c>
      <c r="C145" s="4">
        <v>1.68</v>
      </c>
      <c r="D145" s="7">
        <v>75</v>
      </c>
      <c r="E145">
        <v>0</v>
      </c>
      <c r="F145">
        <v>1</v>
      </c>
      <c r="G145" s="2">
        <v>3</v>
      </c>
      <c r="H145" s="2">
        <v>1</v>
      </c>
      <c r="I145">
        <v>1</v>
      </c>
      <c r="J145">
        <v>0</v>
      </c>
      <c r="K145" s="2">
        <v>1</v>
      </c>
      <c r="L145">
        <v>0</v>
      </c>
      <c r="M145" s="7">
        <v>0</v>
      </c>
      <c r="N145" s="7">
        <v>0</v>
      </c>
      <c r="O145">
        <v>1</v>
      </c>
      <c r="P145" t="s">
        <v>17</v>
      </c>
      <c r="Q145">
        <v>2</v>
      </c>
      <c r="R145" s="8">
        <f>(Tabela2[[#This Row],[FAF_atividade_fisica_frequente_em_horas]]+ 0.1)</f>
        <v>0.1</v>
      </c>
      <c r="S145" s="1">
        <f>(Tabela2[[#This Row],[TUE_tempo_uso_aparelhos_em_horas]]/Tabela2[[#This Row],[FAF_Var]])</f>
        <v>0</v>
      </c>
      <c r="T145">
        <f>(Tabela2[[#This Row],[CAEC_lanche_entre_refeicoes]]*Tabela2[[#This Row],[FAVC_consumo_frequente_de_alimentos_mt_caloricos]])</f>
        <v>1</v>
      </c>
      <c r="U145" s="1">
        <f>IF(OR(Tabela2[[#This Row],[MTRANS]]="Walking",Tabela2[[#This Row],[MTRANS]]="Bike"),Tabela2[[#This Row],[FAF_atividade_fisica_frequente_em_horas]]+1,M145)</f>
        <v>0</v>
      </c>
      <c r="V145">
        <f>(Tabela2[[#This Row],[SMOKE]]+Tabela2[[#This Row],[CALC_bebe_alcool_frequentemente]])</f>
        <v>1</v>
      </c>
      <c r="W145" s="8">
        <f>(Tabela2[[#This Row],[Weight]]/(Tabela2[[#This Row],[Height]] ^2))</f>
        <v>26.573129251700685</v>
      </c>
    </row>
    <row r="146" spans="1:23" x14ac:dyDescent="0.25">
      <c r="A146" t="s">
        <v>15</v>
      </c>
      <c r="B146" s="7">
        <v>22</v>
      </c>
      <c r="C146" s="4">
        <v>1.61</v>
      </c>
      <c r="D146" s="7">
        <v>67</v>
      </c>
      <c r="E146">
        <v>1</v>
      </c>
      <c r="F146">
        <v>0</v>
      </c>
      <c r="G146" s="2">
        <v>2</v>
      </c>
      <c r="H146" s="2">
        <v>4</v>
      </c>
      <c r="I146">
        <v>1</v>
      </c>
      <c r="J146">
        <v>0</v>
      </c>
      <c r="K146" s="2">
        <v>3</v>
      </c>
      <c r="L146">
        <v>1</v>
      </c>
      <c r="M146" s="7">
        <v>2</v>
      </c>
      <c r="N146" s="7">
        <v>2</v>
      </c>
      <c r="O146">
        <v>1</v>
      </c>
      <c r="P146" t="s">
        <v>14</v>
      </c>
      <c r="Q146">
        <v>2</v>
      </c>
      <c r="R146" s="8">
        <f>(Tabela2[[#This Row],[FAF_atividade_fisica_frequente_em_horas]]+ 0.1)</f>
        <v>2.1</v>
      </c>
      <c r="S146" s="1">
        <f>(Tabela2[[#This Row],[TUE_tempo_uso_aparelhos_em_horas]]/Tabela2[[#This Row],[FAF_Var]])</f>
        <v>0.95238095238095233</v>
      </c>
      <c r="T146">
        <f>(Tabela2[[#This Row],[CAEC_lanche_entre_refeicoes]]*Tabela2[[#This Row],[FAVC_consumo_frequente_de_alimentos_mt_caloricos]])</f>
        <v>0</v>
      </c>
      <c r="U146" s="1">
        <f>IF(OR(Tabela2[[#This Row],[MTRANS]]="Walking",Tabela2[[#This Row],[MTRANS]]="Bike"),Tabela2[[#This Row],[FAF_atividade_fisica_frequente_em_horas]]+1,M146)</f>
        <v>2</v>
      </c>
      <c r="V146">
        <f>(Tabela2[[#This Row],[SMOKE]]+Tabela2[[#This Row],[CALC_bebe_alcool_frequentemente]])</f>
        <v>1</v>
      </c>
      <c r="W146" s="8">
        <f>(Tabela2[[#This Row],[Weight]]/(Tabela2[[#This Row],[Height]] ^2))</f>
        <v>25.847768218818715</v>
      </c>
    </row>
    <row r="147" spans="1:23" x14ac:dyDescent="0.25">
      <c r="A147" t="s">
        <v>15</v>
      </c>
      <c r="B147" s="7">
        <v>21</v>
      </c>
      <c r="C147" s="4">
        <v>1.62</v>
      </c>
      <c r="D147" s="7">
        <v>70</v>
      </c>
      <c r="E147">
        <v>0</v>
      </c>
      <c r="F147">
        <v>1</v>
      </c>
      <c r="G147" s="2">
        <v>2</v>
      </c>
      <c r="H147" s="2">
        <v>1</v>
      </c>
      <c r="I147">
        <v>0</v>
      </c>
      <c r="J147">
        <v>0</v>
      </c>
      <c r="K147" s="2">
        <v>3</v>
      </c>
      <c r="L147">
        <v>0</v>
      </c>
      <c r="M147" s="7">
        <v>1</v>
      </c>
      <c r="N147" s="7">
        <v>0</v>
      </c>
      <c r="O147">
        <v>1</v>
      </c>
      <c r="P147" t="s">
        <v>14</v>
      </c>
      <c r="Q147">
        <v>2</v>
      </c>
      <c r="R147" s="8">
        <f>(Tabela2[[#This Row],[FAF_atividade_fisica_frequente_em_horas]]+ 0.1)</f>
        <v>1.1000000000000001</v>
      </c>
      <c r="S147" s="1">
        <f>(Tabela2[[#This Row],[TUE_tempo_uso_aparelhos_em_horas]]/Tabela2[[#This Row],[FAF_Var]])</f>
        <v>0</v>
      </c>
      <c r="T147">
        <f>(Tabela2[[#This Row],[CAEC_lanche_entre_refeicoes]]*Tabela2[[#This Row],[FAVC_consumo_frequente_de_alimentos_mt_caloricos]])</f>
        <v>0</v>
      </c>
      <c r="U147" s="1">
        <f>IF(OR(Tabela2[[#This Row],[MTRANS]]="Walking",Tabela2[[#This Row],[MTRANS]]="Bike"),Tabela2[[#This Row],[FAF_atividade_fisica_frequente_em_horas]]+1,M147)</f>
        <v>1</v>
      </c>
      <c r="V147">
        <f>(Tabela2[[#This Row],[SMOKE]]+Tabela2[[#This Row],[CALC_bebe_alcool_frequentemente]])</f>
        <v>1</v>
      </c>
      <c r="W147" s="8">
        <f>(Tabela2[[#This Row],[Weight]]/(Tabela2[[#This Row],[Height]] ^2))</f>
        <v>26.672763298277697</v>
      </c>
    </row>
    <row r="148" spans="1:23" x14ac:dyDescent="0.25">
      <c r="A148" t="s">
        <v>13</v>
      </c>
      <c r="B148" s="7">
        <v>24</v>
      </c>
      <c r="C148" s="4">
        <v>1.56</v>
      </c>
      <c r="D148" s="7">
        <v>51</v>
      </c>
      <c r="E148">
        <v>0</v>
      </c>
      <c r="F148">
        <v>0</v>
      </c>
      <c r="G148" s="2">
        <v>3</v>
      </c>
      <c r="H148" s="2">
        <v>3</v>
      </c>
      <c r="I148">
        <v>2</v>
      </c>
      <c r="J148">
        <v>0</v>
      </c>
      <c r="K148" s="2">
        <v>2</v>
      </c>
      <c r="L148">
        <v>0</v>
      </c>
      <c r="M148" s="7">
        <v>2</v>
      </c>
      <c r="N148" s="7">
        <v>2</v>
      </c>
      <c r="O148">
        <v>2</v>
      </c>
      <c r="P148" t="s">
        <v>14</v>
      </c>
      <c r="Q148">
        <v>1</v>
      </c>
      <c r="R148" s="8">
        <f>(Tabela2[[#This Row],[FAF_atividade_fisica_frequente_em_horas]]+ 0.1)</f>
        <v>2.1</v>
      </c>
      <c r="S148" s="1">
        <f>(Tabela2[[#This Row],[TUE_tempo_uso_aparelhos_em_horas]]/Tabela2[[#This Row],[FAF_Var]])</f>
        <v>0.95238095238095233</v>
      </c>
      <c r="T148">
        <f>(Tabela2[[#This Row],[CAEC_lanche_entre_refeicoes]]*Tabela2[[#This Row],[FAVC_consumo_frequente_de_alimentos_mt_caloricos]])</f>
        <v>0</v>
      </c>
      <c r="U148" s="1">
        <f>IF(OR(Tabela2[[#This Row],[MTRANS]]="Walking",Tabela2[[#This Row],[MTRANS]]="Bike"),Tabela2[[#This Row],[FAF_atividade_fisica_frequente_em_horas]]+1,M148)</f>
        <v>2</v>
      </c>
      <c r="V148">
        <f>(Tabela2[[#This Row],[SMOKE]]+Tabela2[[#This Row],[CALC_bebe_alcool_frequentemente]])</f>
        <v>2</v>
      </c>
      <c r="W148" s="8">
        <f>(Tabela2[[#This Row],[Weight]]/(Tabela2[[#This Row],[Height]] ^2))</f>
        <v>20.956607495069033</v>
      </c>
    </row>
    <row r="149" spans="1:23" x14ac:dyDescent="0.25">
      <c r="A149" t="s">
        <v>13</v>
      </c>
      <c r="B149" s="7">
        <v>36</v>
      </c>
      <c r="C149" s="4">
        <v>1.63</v>
      </c>
      <c r="D149" s="7">
        <v>80</v>
      </c>
      <c r="E149">
        <v>1</v>
      </c>
      <c r="F149">
        <v>0</v>
      </c>
      <c r="G149" s="2">
        <v>3</v>
      </c>
      <c r="H149" s="2">
        <v>3</v>
      </c>
      <c r="I149">
        <v>1</v>
      </c>
      <c r="J149">
        <v>0</v>
      </c>
      <c r="K149" s="2">
        <v>1</v>
      </c>
      <c r="L149">
        <v>0</v>
      </c>
      <c r="M149" s="7">
        <v>0</v>
      </c>
      <c r="N149" s="7">
        <v>0</v>
      </c>
      <c r="O149">
        <v>1</v>
      </c>
      <c r="P149" t="s">
        <v>17</v>
      </c>
      <c r="Q149">
        <v>4</v>
      </c>
      <c r="R149" s="8">
        <f>(Tabela2[[#This Row],[FAF_atividade_fisica_frequente_em_horas]]+ 0.1)</f>
        <v>0.1</v>
      </c>
      <c r="S149" s="1">
        <f>(Tabela2[[#This Row],[TUE_tempo_uso_aparelhos_em_horas]]/Tabela2[[#This Row],[FAF_Var]])</f>
        <v>0</v>
      </c>
      <c r="T149">
        <f>(Tabela2[[#This Row],[CAEC_lanche_entre_refeicoes]]*Tabela2[[#This Row],[FAVC_consumo_frequente_de_alimentos_mt_caloricos]])</f>
        <v>0</v>
      </c>
      <c r="U149" s="1">
        <f>IF(OR(Tabela2[[#This Row],[MTRANS]]="Walking",Tabela2[[#This Row],[MTRANS]]="Bike"),Tabela2[[#This Row],[FAF_atividade_fisica_frequente_em_horas]]+1,M149)</f>
        <v>0</v>
      </c>
      <c r="V149">
        <f>(Tabela2[[#This Row],[SMOKE]]+Tabela2[[#This Row],[CALC_bebe_alcool_frequentemente]])</f>
        <v>1</v>
      </c>
      <c r="W149" s="8">
        <f>(Tabela2[[#This Row],[Weight]]/(Tabela2[[#This Row],[Height]] ^2))</f>
        <v>30.110278896458279</v>
      </c>
    </row>
    <row r="150" spans="1:23" x14ac:dyDescent="0.25">
      <c r="A150" t="s">
        <v>13</v>
      </c>
      <c r="B150" s="7">
        <v>27</v>
      </c>
      <c r="C150" s="4">
        <v>1.6</v>
      </c>
      <c r="D150" s="7">
        <v>61</v>
      </c>
      <c r="E150">
        <v>0</v>
      </c>
      <c r="F150">
        <v>1</v>
      </c>
      <c r="G150" s="2">
        <v>3</v>
      </c>
      <c r="H150" s="2">
        <v>3</v>
      </c>
      <c r="I150">
        <v>3</v>
      </c>
      <c r="J150">
        <v>0</v>
      </c>
      <c r="K150" s="2">
        <v>2</v>
      </c>
      <c r="L150">
        <v>0</v>
      </c>
      <c r="M150" s="7">
        <v>0</v>
      </c>
      <c r="N150" s="7">
        <v>0</v>
      </c>
      <c r="O150">
        <v>1</v>
      </c>
      <c r="P150" t="s">
        <v>17</v>
      </c>
      <c r="Q150">
        <v>1</v>
      </c>
      <c r="R150" s="8">
        <f>(Tabela2[[#This Row],[FAF_atividade_fisica_frequente_em_horas]]+ 0.1)</f>
        <v>0.1</v>
      </c>
      <c r="S150" s="1">
        <f>(Tabela2[[#This Row],[TUE_tempo_uso_aparelhos_em_horas]]/Tabela2[[#This Row],[FAF_Var]])</f>
        <v>0</v>
      </c>
      <c r="T150">
        <f>(Tabela2[[#This Row],[CAEC_lanche_entre_refeicoes]]*Tabela2[[#This Row],[FAVC_consumo_frequente_de_alimentos_mt_caloricos]])</f>
        <v>3</v>
      </c>
      <c r="U150" s="1">
        <f>IF(OR(Tabela2[[#This Row],[MTRANS]]="Walking",Tabela2[[#This Row],[MTRANS]]="Bike"),Tabela2[[#This Row],[FAF_atividade_fisica_frequente_em_horas]]+1,M150)</f>
        <v>0</v>
      </c>
      <c r="V150">
        <f>(Tabela2[[#This Row],[SMOKE]]+Tabela2[[#This Row],[CALC_bebe_alcool_frequentemente]])</f>
        <v>1</v>
      </c>
      <c r="W150" s="8">
        <f>(Tabela2[[#This Row],[Weight]]/(Tabela2[[#This Row],[Height]] ^2))</f>
        <v>23.828124999999996</v>
      </c>
    </row>
    <row r="151" spans="1:23" x14ac:dyDescent="0.25">
      <c r="A151" t="s">
        <v>13</v>
      </c>
      <c r="B151" s="7">
        <v>32</v>
      </c>
      <c r="C151" s="4">
        <v>1.67</v>
      </c>
      <c r="D151" s="7">
        <v>90</v>
      </c>
      <c r="E151">
        <v>1</v>
      </c>
      <c r="F151">
        <v>1</v>
      </c>
      <c r="G151" s="2">
        <v>3</v>
      </c>
      <c r="H151" s="2">
        <v>1</v>
      </c>
      <c r="I151">
        <v>1</v>
      </c>
      <c r="J151">
        <v>0</v>
      </c>
      <c r="K151" s="2">
        <v>2</v>
      </c>
      <c r="L151">
        <v>0</v>
      </c>
      <c r="M151" s="7">
        <v>2</v>
      </c>
      <c r="N151" s="7">
        <v>0</v>
      </c>
      <c r="O151">
        <v>1</v>
      </c>
      <c r="P151" t="s">
        <v>17</v>
      </c>
      <c r="Q151">
        <v>4</v>
      </c>
      <c r="R151" s="8">
        <f>(Tabela2[[#This Row],[FAF_atividade_fisica_frequente_em_horas]]+ 0.1)</f>
        <v>2.1</v>
      </c>
      <c r="S151" s="1">
        <f>(Tabela2[[#This Row],[TUE_tempo_uso_aparelhos_em_horas]]/Tabela2[[#This Row],[FAF_Var]])</f>
        <v>0</v>
      </c>
      <c r="T151">
        <f>(Tabela2[[#This Row],[CAEC_lanche_entre_refeicoes]]*Tabela2[[#This Row],[FAVC_consumo_frequente_de_alimentos_mt_caloricos]])</f>
        <v>1</v>
      </c>
      <c r="U151" s="1">
        <f>IF(OR(Tabela2[[#This Row],[MTRANS]]="Walking",Tabela2[[#This Row],[MTRANS]]="Bike"),Tabela2[[#This Row],[FAF_atividade_fisica_frequente_em_horas]]+1,M151)</f>
        <v>2</v>
      </c>
      <c r="V151">
        <f>(Tabela2[[#This Row],[SMOKE]]+Tabela2[[#This Row],[CALC_bebe_alcool_frequentemente]])</f>
        <v>1</v>
      </c>
      <c r="W151" s="8">
        <f>(Tabela2[[#This Row],[Weight]]/(Tabela2[[#This Row],[Height]] ^2))</f>
        <v>32.270787765785798</v>
      </c>
    </row>
    <row r="152" spans="1:23" x14ac:dyDescent="0.25">
      <c r="A152" t="s">
        <v>15</v>
      </c>
      <c r="B152" s="7">
        <v>25</v>
      </c>
      <c r="C152" s="4">
        <v>1.78</v>
      </c>
      <c r="D152" s="7">
        <v>78</v>
      </c>
      <c r="E152">
        <v>1</v>
      </c>
      <c r="F152">
        <v>1</v>
      </c>
      <c r="G152" s="2">
        <v>2</v>
      </c>
      <c r="H152" s="2">
        <v>1</v>
      </c>
      <c r="I152">
        <v>1</v>
      </c>
      <c r="J152">
        <v>0</v>
      </c>
      <c r="K152" s="2">
        <v>2</v>
      </c>
      <c r="L152">
        <v>0</v>
      </c>
      <c r="M152" s="7">
        <v>2</v>
      </c>
      <c r="N152" s="7">
        <v>1</v>
      </c>
      <c r="O152">
        <v>1</v>
      </c>
      <c r="P152" t="s">
        <v>14</v>
      </c>
      <c r="Q152">
        <v>1</v>
      </c>
      <c r="R152" s="8">
        <f>(Tabela2[[#This Row],[FAF_atividade_fisica_frequente_em_horas]]+ 0.1)</f>
        <v>2.1</v>
      </c>
      <c r="S152" s="1">
        <f>(Tabela2[[#This Row],[TUE_tempo_uso_aparelhos_em_horas]]/Tabela2[[#This Row],[FAF_Var]])</f>
        <v>0.47619047619047616</v>
      </c>
      <c r="T152">
        <f>(Tabela2[[#This Row],[CAEC_lanche_entre_refeicoes]]*Tabela2[[#This Row],[FAVC_consumo_frequente_de_alimentos_mt_caloricos]])</f>
        <v>1</v>
      </c>
      <c r="U152" s="1">
        <f>IF(OR(Tabela2[[#This Row],[MTRANS]]="Walking",Tabela2[[#This Row],[MTRANS]]="Bike"),Tabela2[[#This Row],[FAF_atividade_fisica_frequente_em_horas]]+1,M152)</f>
        <v>2</v>
      </c>
      <c r="V152">
        <f>(Tabela2[[#This Row],[SMOKE]]+Tabela2[[#This Row],[CALC_bebe_alcool_frequentemente]])</f>
        <v>1</v>
      </c>
      <c r="W152" s="8">
        <f>(Tabela2[[#This Row],[Weight]]/(Tabela2[[#This Row],[Height]] ^2))</f>
        <v>24.618103774775911</v>
      </c>
    </row>
    <row r="153" spans="1:23" x14ac:dyDescent="0.25">
      <c r="A153" t="s">
        <v>13</v>
      </c>
      <c r="B153" s="7">
        <v>30</v>
      </c>
      <c r="C153" s="4">
        <v>1.62</v>
      </c>
      <c r="D153" s="7">
        <v>59</v>
      </c>
      <c r="E153">
        <v>1</v>
      </c>
      <c r="F153">
        <v>1</v>
      </c>
      <c r="G153" s="2">
        <v>3</v>
      </c>
      <c r="H153" s="2">
        <v>3</v>
      </c>
      <c r="I153">
        <v>1</v>
      </c>
      <c r="J153">
        <v>0</v>
      </c>
      <c r="K153" s="2">
        <v>2</v>
      </c>
      <c r="L153">
        <v>0</v>
      </c>
      <c r="M153" s="7">
        <v>2</v>
      </c>
      <c r="N153" s="7">
        <v>0</v>
      </c>
      <c r="O153">
        <v>1</v>
      </c>
      <c r="P153" t="s">
        <v>17</v>
      </c>
      <c r="Q153">
        <v>1</v>
      </c>
      <c r="R153" s="8">
        <f>(Tabela2[[#This Row],[FAF_atividade_fisica_frequente_em_horas]]+ 0.1)</f>
        <v>2.1</v>
      </c>
      <c r="S153" s="1">
        <f>(Tabela2[[#This Row],[TUE_tempo_uso_aparelhos_em_horas]]/Tabela2[[#This Row],[FAF_Var]])</f>
        <v>0</v>
      </c>
      <c r="T153">
        <f>(Tabela2[[#This Row],[CAEC_lanche_entre_refeicoes]]*Tabela2[[#This Row],[FAVC_consumo_frequente_de_alimentos_mt_caloricos]])</f>
        <v>1</v>
      </c>
      <c r="U153" s="1">
        <f>IF(OR(Tabela2[[#This Row],[MTRANS]]="Walking",Tabela2[[#This Row],[MTRANS]]="Bike"),Tabela2[[#This Row],[FAF_atividade_fisica_frequente_em_horas]]+1,M153)</f>
        <v>2</v>
      </c>
      <c r="V153">
        <f>(Tabela2[[#This Row],[SMOKE]]+Tabela2[[#This Row],[CALC_bebe_alcool_frequentemente]])</f>
        <v>1</v>
      </c>
      <c r="W153" s="8">
        <f>(Tabela2[[#This Row],[Weight]]/(Tabela2[[#This Row],[Height]] ^2))</f>
        <v>22.481329065691202</v>
      </c>
    </row>
    <row r="154" spans="1:23" x14ac:dyDescent="0.25">
      <c r="A154" t="s">
        <v>13</v>
      </c>
      <c r="B154" s="7">
        <v>38</v>
      </c>
      <c r="C154" s="4">
        <v>1.5</v>
      </c>
      <c r="D154" s="7">
        <v>60</v>
      </c>
      <c r="E154">
        <v>1</v>
      </c>
      <c r="F154">
        <v>1</v>
      </c>
      <c r="G154" s="2">
        <v>2</v>
      </c>
      <c r="H154" s="2">
        <v>1</v>
      </c>
      <c r="I154">
        <v>3</v>
      </c>
      <c r="J154">
        <v>1</v>
      </c>
      <c r="K154" s="2">
        <v>2</v>
      </c>
      <c r="L154">
        <v>0</v>
      </c>
      <c r="M154" s="7">
        <v>0</v>
      </c>
      <c r="N154" s="7">
        <v>0</v>
      </c>
      <c r="O154">
        <v>1</v>
      </c>
      <c r="P154" t="s">
        <v>17</v>
      </c>
      <c r="Q154">
        <v>2</v>
      </c>
      <c r="R154" s="8">
        <f>(Tabela2[[#This Row],[FAF_atividade_fisica_frequente_em_horas]]+ 0.1)</f>
        <v>0.1</v>
      </c>
      <c r="S154" s="1">
        <f>(Tabela2[[#This Row],[TUE_tempo_uso_aparelhos_em_horas]]/Tabela2[[#This Row],[FAF_Var]])</f>
        <v>0</v>
      </c>
      <c r="T154">
        <f>(Tabela2[[#This Row],[CAEC_lanche_entre_refeicoes]]*Tabela2[[#This Row],[FAVC_consumo_frequente_de_alimentos_mt_caloricos]])</f>
        <v>3</v>
      </c>
      <c r="U154" s="1">
        <f>IF(OR(Tabela2[[#This Row],[MTRANS]]="Walking",Tabela2[[#This Row],[MTRANS]]="Bike"),Tabela2[[#This Row],[FAF_atividade_fisica_frequente_em_horas]]+1,M154)</f>
        <v>0</v>
      </c>
      <c r="V154">
        <f>(Tabela2[[#This Row],[SMOKE]]+Tabela2[[#This Row],[CALC_bebe_alcool_frequentemente]])</f>
        <v>2</v>
      </c>
      <c r="W154" s="8">
        <f>(Tabela2[[#This Row],[Weight]]/(Tabela2[[#This Row],[Height]] ^2))</f>
        <v>26.666666666666668</v>
      </c>
    </row>
    <row r="155" spans="1:23" x14ac:dyDescent="0.25">
      <c r="A155" t="s">
        <v>15</v>
      </c>
      <c r="B155" s="7">
        <v>34</v>
      </c>
      <c r="C155" s="4">
        <v>1.69</v>
      </c>
      <c r="D155" s="7">
        <v>84</v>
      </c>
      <c r="E155">
        <v>1</v>
      </c>
      <c r="F155">
        <v>0</v>
      </c>
      <c r="G155" s="2">
        <v>2</v>
      </c>
      <c r="H155" s="2">
        <v>3</v>
      </c>
      <c r="I155">
        <v>1</v>
      </c>
      <c r="J155">
        <v>0</v>
      </c>
      <c r="K155" s="2">
        <v>3</v>
      </c>
      <c r="L155">
        <v>0</v>
      </c>
      <c r="M155" s="7">
        <v>2</v>
      </c>
      <c r="N155" s="7">
        <v>0</v>
      </c>
      <c r="O155">
        <v>0</v>
      </c>
      <c r="P155" t="s">
        <v>17</v>
      </c>
      <c r="Q155">
        <v>3</v>
      </c>
      <c r="R155" s="8">
        <f>(Tabela2[[#This Row],[FAF_atividade_fisica_frequente_em_horas]]+ 0.1)</f>
        <v>2.1</v>
      </c>
      <c r="S155" s="1">
        <f>(Tabela2[[#This Row],[TUE_tempo_uso_aparelhos_em_horas]]/Tabela2[[#This Row],[FAF_Var]])</f>
        <v>0</v>
      </c>
      <c r="T155">
        <f>(Tabela2[[#This Row],[CAEC_lanche_entre_refeicoes]]*Tabela2[[#This Row],[FAVC_consumo_frequente_de_alimentos_mt_caloricos]])</f>
        <v>0</v>
      </c>
      <c r="U155" s="1">
        <f>IF(OR(Tabela2[[#This Row],[MTRANS]]="Walking",Tabela2[[#This Row],[MTRANS]]="Bike"),Tabela2[[#This Row],[FAF_atividade_fisica_frequente_em_horas]]+1,M155)</f>
        <v>2</v>
      </c>
      <c r="V155">
        <f>(Tabela2[[#This Row],[SMOKE]]+Tabela2[[#This Row],[CALC_bebe_alcool_frequentemente]])</f>
        <v>0</v>
      </c>
      <c r="W155" s="8">
        <f>(Tabela2[[#This Row],[Weight]]/(Tabela2[[#This Row],[Height]] ^2))</f>
        <v>29.410734918245165</v>
      </c>
    </row>
    <row r="156" spans="1:23" x14ac:dyDescent="0.25">
      <c r="A156" t="s">
        <v>15</v>
      </c>
      <c r="B156" s="7">
        <v>22</v>
      </c>
      <c r="C156" s="4">
        <v>1.74</v>
      </c>
      <c r="D156" s="7">
        <v>94</v>
      </c>
      <c r="E156">
        <v>1</v>
      </c>
      <c r="F156">
        <v>1</v>
      </c>
      <c r="G156" s="2">
        <v>2</v>
      </c>
      <c r="H156" s="2">
        <v>3</v>
      </c>
      <c r="I156">
        <v>1</v>
      </c>
      <c r="J156">
        <v>0</v>
      </c>
      <c r="K156" s="2">
        <v>2</v>
      </c>
      <c r="L156">
        <v>0</v>
      </c>
      <c r="M156" s="7">
        <v>0</v>
      </c>
      <c r="N156" s="7">
        <v>0</v>
      </c>
      <c r="O156">
        <v>1</v>
      </c>
      <c r="P156" t="s">
        <v>14</v>
      </c>
      <c r="Q156">
        <v>4</v>
      </c>
      <c r="R156" s="8">
        <f>(Tabela2[[#This Row],[FAF_atividade_fisica_frequente_em_horas]]+ 0.1)</f>
        <v>0.1</v>
      </c>
      <c r="S156" s="1">
        <f>(Tabela2[[#This Row],[TUE_tempo_uso_aparelhos_em_horas]]/Tabela2[[#This Row],[FAF_Var]])</f>
        <v>0</v>
      </c>
      <c r="T156">
        <f>(Tabela2[[#This Row],[CAEC_lanche_entre_refeicoes]]*Tabela2[[#This Row],[FAVC_consumo_frequente_de_alimentos_mt_caloricos]])</f>
        <v>1</v>
      </c>
      <c r="U156" s="1">
        <f>IF(OR(Tabela2[[#This Row],[MTRANS]]="Walking",Tabela2[[#This Row],[MTRANS]]="Bike"),Tabela2[[#This Row],[FAF_atividade_fisica_frequente_em_horas]]+1,M156)</f>
        <v>0</v>
      </c>
      <c r="V156">
        <f>(Tabela2[[#This Row],[SMOKE]]+Tabela2[[#This Row],[CALC_bebe_alcool_frequentemente]])</f>
        <v>1</v>
      </c>
      <c r="W156" s="8">
        <f>(Tabela2[[#This Row],[Weight]]/(Tabela2[[#This Row],[Height]] ^2))</f>
        <v>31.047694543532831</v>
      </c>
    </row>
    <row r="157" spans="1:23" x14ac:dyDescent="0.25">
      <c r="A157" t="s">
        <v>13</v>
      </c>
      <c r="B157" s="7">
        <v>31</v>
      </c>
      <c r="C157" s="4">
        <v>1.68</v>
      </c>
      <c r="D157" s="7">
        <v>63</v>
      </c>
      <c r="E157">
        <v>1</v>
      </c>
      <c r="F157">
        <v>1</v>
      </c>
      <c r="G157" s="2">
        <v>3</v>
      </c>
      <c r="H157" s="2">
        <v>1</v>
      </c>
      <c r="I157">
        <v>2</v>
      </c>
      <c r="J157">
        <v>0</v>
      </c>
      <c r="K157" s="2">
        <v>2</v>
      </c>
      <c r="L157">
        <v>0</v>
      </c>
      <c r="M157" s="7">
        <v>1</v>
      </c>
      <c r="N157" s="7">
        <v>1</v>
      </c>
      <c r="O157">
        <v>1</v>
      </c>
      <c r="P157" t="s">
        <v>17</v>
      </c>
      <c r="Q157">
        <v>1</v>
      </c>
      <c r="R157" s="8">
        <f>(Tabela2[[#This Row],[FAF_atividade_fisica_frequente_em_horas]]+ 0.1)</f>
        <v>1.1000000000000001</v>
      </c>
      <c r="S157" s="1">
        <f>(Tabela2[[#This Row],[TUE_tempo_uso_aparelhos_em_horas]]/Tabela2[[#This Row],[FAF_Var]])</f>
        <v>0.90909090909090906</v>
      </c>
      <c r="T157">
        <f>(Tabela2[[#This Row],[CAEC_lanche_entre_refeicoes]]*Tabela2[[#This Row],[FAVC_consumo_frequente_de_alimentos_mt_caloricos]])</f>
        <v>2</v>
      </c>
      <c r="U157" s="1">
        <f>IF(OR(Tabela2[[#This Row],[MTRANS]]="Walking",Tabela2[[#This Row],[MTRANS]]="Bike"),Tabela2[[#This Row],[FAF_atividade_fisica_frequente_em_horas]]+1,M157)</f>
        <v>1</v>
      </c>
      <c r="V157">
        <f>(Tabela2[[#This Row],[SMOKE]]+Tabela2[[#This Row],[CALC_bebe_alcool_frequentemente]])</f>
        <v>1</v>
      </c>
      <c r="W157" s="8">
        <f>(Tabela2[[#This Row],[Weight]]/(Tabela2[[#This Row],[Height]] ^2))</f>
        <v>22.321428571428577</v>
      </c>
    </row>
    <row r="158" spans="1:23" x14ac:dyDescent="0.25">
      <c r="A158" t="s">
        <v>13</v>
      </c>
      <c r="B158" s="7">
        <v>35</v>
      </c>
      <c r="C158" s="4">
        <v>1.53</v>
      </c>
      <c r="D158" s="7">
        <v>45</v>
      </c>
      <c r="E158">
        <v>1</v>
      </c>
      <c r="F158">
        <v>0</v>
      </c>
      <c r="G158" s="2">
        <v>3</v>
      </c>
      <c r="H158" s="2">
        <v>3</v>
      </c>
      <c r="I158">
        <v>2</v>
      </c>
      <c r="J158">
        <v>0</v>
      </c>
      <c r="K158" s="2">
        <v>1</v>
      </c>
      <c r="L158">
        <v>0</v>
      </c>
      <c r="M158" s="7">
        <v>0</v>
      </c>
      <c r="N158" s="7">
        <v>1</v>
      </c>
      <c r="O158">
        <v>0</v>
      </c>
      <c r="P158" t="s">
        <v>17</v>
      </c>
      <c r="Q158">
        <v>1</v>
      </c>
      <c r="R158" s="8">
        <f>(Tabela2[[#This Row],[FAF_atividade_fisica_frequente_em_horas]]+ 0.1)</f>
        <v>0.1</v>
      </c>
      <c r="S158" s="1">
        <f>(Tabela2[[#This Row],[TUE_tempo_uso_aparelhos_em_horas]]/Tabela2[[#This Row],[FAF_Var]])</f>
        <v>10</v>
      </c>
      <c r="T158">
        <f>(Tabela2[[#This Row],[CAEC_lanche_entre_refeicoes]]*Tabela2[[#This Row],[FAVC_consumo_frequente_de_alimentos_mt_caloricos]])</f>
        <v>0</v>
      </c>
      <c r="U158" s="1">
        <f>IF(OR(Tabela2[[#This Row],[MTRANS]]="Walking",Tabela2[[#This Row],[MTRANS]]="Bike"),Tabela2[[#This Row],[FAF_atividade_fisica_frequente_em_horas]]+1,M158)</f>
        <v>0</v>
      </c>
      <c r="V158">
        <f>(Tabela2[[#This Row],[SMOKE]]+Tabela2[[#This Row],[CALC_bebe_alcool_frequentemente]])</f>
        <v>0</v>
      </c>
      <c r="W158" s="8">
        <f>(Tabela2[[#This Row],[Weight]]/(Tabela2[[#This Row],[Height]] ^2))</f>
        <v>19.223375624759708</v>
      </c>
    </row>
    <row r="159" spans="1:23" x14ac:dyDescent="0.25">
      <c r="A159" t="s">
        <v>15</v>
      </c>
      <c r="B159" s="7">
        <v>21</v>
      </c>
      <c r="C159" s="4">
        <v>1.67</v>
      </c>
      <c r="D159" s="7">
        <v>60</v>
      </c>
      <c r="E159">
        <v>1</v>
      </c>
      <c r="F159">
        <v>1</v>
      </c>
      <c r="G159" s="2">
        <v>2</v>
      </c>
      <c r="H159" s="2">
        <v>3</v>
      </c>
      <c r="I159">
        <v>2</v>
      </c>
      <c r="J159">
        <v>0</v>
      </c>
      <c r="K159" s="2">
        <v>2</v>
      </c>
      <c r="L159">
        <v>0</v>
      </c>
      <c r="M159" s="7">
        <v>2</v>
      </c>
      <c r="N159" s="7">
        <v>1</v>
      </c>
      <c r="O159">
        <v>1</v>
      </c>
      <c r="P159" t="s">
        <v>14</v>
      </c>
      <c r="Q159">
        <v>1</v>
      </c>
      <c r="R159" s="8">
        <f>(Tabela2[[#This Row],[FAF_atividade_fisica_frequente_em_horas]]+ 0.1)</f>
        <v>2.1</v>
      </c>
      <c r="S159" s="1">
        <f>(Tabela2[[#This Row],[TUE_tempo_uso_aparelhos_em_horas]]/Tabela2[[#This Row],[FAF_Var]])</f>
        <v>0.47619047619047616</v>
      </c>
      <c r="T159">
        <f>(Tabela2[[#This Row],[CAEC_lanche_entre_refeicoes]]*Tabela2[[#This Row],[FAVC_consumo_frequente_de_alimentos_mt_caloricos]])</f>
        <v>2</v>
      </c>
      <c r="U159" s="1">
        <f>IF(OR(Tabela2[[#This Row],[MTRANS]]="Walking",Tabela2[[#This Row],[MTRANS]]="Bike"),Tabela2[[#This Row],[FAF_atividade_fisica_frequente_em_horas]]+1,M159)</f>
        <v>2</v>
      </c>
      <c r="V159">
        <f>(Tabela2[[#This Row],[SMOKE]]+Tabela2[[#This Row],[CALC_bebe_alcool_frequentemente]])</f>
        <v>1</v>
      </c>
      <c r="W159" s="8">
        <f>(Tabela2[[#This Row],[Weight]]/(Tabela2[[#This Row],[Height]] ^2))</f>
        <v>21.513858510523864</v>
      </c>
    </row>
    <row r="160" spans="1:23" x14ac:dyDescent="0.25">
      <c r="A160" t="s">
        <v>13</v>
      </c>
      <c r="B160" s="7">
        <v>40</v>
      </c>
      <c r="C160" s="4">
        <v>1.55</v>
      </c>
      <c r="D160" s="7">
        <v>62</v>
      </c>
      <c r="E160">
        <v>1</v>
      </c>
      <c r="F160">
        <v>0</v>
      </c>
      <c r="G160" s="2">
        <v>3</v>
      </c>
      <c r="H160" s="2">
        <v>3</v>
      </c>
      <c r="I160">
        <v>1</v>
      </c>
      <c r="J160">
        <v>0</v>
      </c>
      <c r="K160" s="2">
        <v>3</v>
      </c>
      <c r="L160">
        <v>0</v>
      </c>
      <c r="M160" s="7">
        <v>0</v>
      </c>
      <c r="N160" s="7">
        <v>0</v>
      </c>
      <c r="O160">
        <v>1</v>
      </c>
      <c r="P160" t="s">
        <v>17</v>
      </c>
      <c r="Q160">
        <v>2</v>
      </c>
      <c r="R160" s="8">
        <f>(Tabela2[[#This Row],[FAF_atividade_fisica_frequente_em_horas]]+ 0.1)</f>
        <v>0.1</v>
      </c>
      <c r="S160" s="1">
        <f>(Tabela2[[#This Row],[TUE_tempo_uso_aparelhos_em_horas]]/Tabela2[[#This Row],[FAF_Var]])</f>
        <v>0</v>
      </c>
      <c r="T160">
        <f>(Tabela2[[#This Row],[CAEC_lanche_entre_refeicoes]]*Tabela2[[#This Row],[FAVC_consumo_frequente_de_alimentos_mt_caloricos]])</f>
        <v>0</v>
      </c>
      <c r="U160" s="1">
        <f>IF(OR(Tabela2[[#This Row],[MTRANS]]="Walking",Tabela2[[#This Row],[MTRANS]]="Bike"),Tabela2[[#This Row],[FAF_atividade_fisica_frequente_em_horas]]+1,M160)</f>
        <v>0</v>
      </c>
      <c r="V160">
        <f>(Tabela2[[#This Row],[SMOKE]]+Tabela2[[#This Row],[CALC_bebe_alcool_frequentemente]])</f>
        <v>1</v>
      </c>
      <c r="W160" s="8">
        <f>(Tabela2[[#This Row],[Weight]]/(Tabela2[[#This Row],[Height]] ^2))</f>
        <v>25.806451612903224</v>
      </c>
    </row>
    <row r="161" spans="1:23" x14ac:dyDescent="0.25">
      <c r="A161" t="s">
        <v>15</v>
      </c>
      <c r="B161" s="7">
        <v>27</v>
      </c>
      <c r="C161" s="4">
        <v>1.64</v>
      </c>
      <c r="D161" s="7">
        <v>78</v>
      </c>
      <c r="E161">
        <v>1</v>
      </c>
      <c r="F161">
        <v>1</v>
      </c>
      <c r="G161" s="2">
        <v>2</v>
      </c>
      <c r="H161" s="2">
        <v>1</v>
      </c>
      <c r="I161">
        <v>1</v>
      </c>
      <c r="J161">
        <v>0</v>
      </c>
      <c r="K161" s="2">
        <v>2</v>
      </c>
      <c r="L161">
        <v>0</v>
      </c>
      <c r="M161" s="7">
        <v>0</v>
      </c>
      <c r="N161" s="7">
        <v>0</v>
      </c>
      <c r="O161">
        <v>2</v>
      </c>
      <c r="P161" t="s">
        <v>17</v>
      </c>
      <c r="Q161">
        <v>3</v>
      </c>
      <c r="R161" s="8">
        <f>(Tabela2[[#This Row],[FAF_atividade_fisica_frequente_em_horas]]+ 0.1)</f>
        <v>0.1</v>
      </c>
      <c r="S161" s="1">
        <f>(Tabela2[[#This Row],[TUE_tempo_uso_aparelhos_em_horas]]/Tabela2[[#This Row],[FAF_Var]])</f>
        <v>0</v>
      </c>
      <c r="T161">
        <f>(Tabela2[[#This Row],[CAEC_lanche_entre_refeicoes]]*Tabela2[[#This Row],[FAVC_consumo_frequente_de_alimentos_mt_caloricos]])</f>
        <v>1</v>
      </c>
      <c r="U161" s="1">
        <f>IF(OR(Tabela2[[#This Row],[MTRANS]]="Walking",Tabela2[[#This Row],[MTRANS]]="Bike"),Tabela2[[#This Row],[FAF_atividade_fisica_frequente_em_horas]]+1,M161)</f>
        <v>0</v>
      </c>
      <c r="V161">
        <f>(Tabela2[[#This Row],[SMOKE]]+Tabela2[[#This Row],[CALC_bebe_alcool_frequentemente]])</f>
        <v>2</v>
      </c>
      <c r="W161" s="8">
        <f>(Tabela2[[#This Row],[Weight]]/(Tabela2[[#This Row],[Height]] ^2))</f>
        <v>29.000594883997625</v>
      </c>
    </row>
    <row r="162" spans="1:23" x14ac:dyDescent="0.25">
      <c r="A162" t="s">
        <v>15</v>
      </c>
      <c r="B162" s="7">
        <v>20</v>
      </c>
      <c r="C162" s="4">
        <v>1.83</v>
      </c>
      <c r="D162" s="7">
        <v>72</v>
      </c>
      <c r="E162">
        <v>1</v>
      </c>
      <c r="F162">
        <v>0</v>
      </c>
      <c r="G162" s="2">
        <v>3</v>
      </c>
      <c r="H162" s="2">
        <v>3</v>
      </c>
      <c r="I162">
        <v>1</v>
      </c>
      <c r="J162">
        <v>1</v>
      </c>
      <c r="K162" s="2">
        <v>1</v>
      </c>
      <c r="L162">
        <v>0</v>
      </c>
      <c r="M162" s="7">
        <v>2</v>
      </c>
      <c r="N162" s="7">
        <v>1</v>
      </c>
      <c r="O162">
        <v>1</v>
      </c>
      <c r="P162" t="s">
        <v>14</v>
      </c>
      <c r="Q162">
        <v>1</v>
      </c>
      <c r="R162" s="8">
        <f>(Tabela2[[#This Row],[FAF_atividade_fisica_frequente_em_horas]]+ 0.1)</f>
        <v>2.1</v>
      </c>
      <c r="S162" s="1">
        <f>(Tabela2[[#This Row],[TUE_tempo_uso_aparelhos_em_horas]]/Tabela2[[#This Row],[FAF_Var]])</f>
        <v>0.47619047619047616</v>
      </c>
      <c r="T162">
        <f>(Tabela2[[#This Row],[CAEC_lanche_entre_refeicoes]]*Tabela2[[#This Row],[FAVC_consumo_frequente_de_alimentos_mt_caloricos]])</f>
        <v>0</v>
      </c>
      <c r="U162" s="1">
        <f>IF(OR(Tabela2[[#This Row],[MTRANS]]="Walking",Tabela2[[#This Row],[MTRANS]]="Bike"),Tabela2[[#This Row],[FAF_atividade_fisica_frequente_em_horas]]+1,M162)</f>
        <v>2</v>
      </c>
      <c r="V162">
        <f>(Tabela2[[#This Row],[SMOKE]]+Tabela2[[#This Row],[CALC_bebe_alcool_frequentemente]])</f>
        <v>2</v>
      </c>
      <c r="W162" s="8">
        <f>(Tabela2[[#This Row],[Weight]]/(Tabela2[[#This Row],[Height]] ^2))</f>
        <v>21.49959688255845</v>
      </c>
    </row>
    <row r="163" spans="1:23" x14ac:dyDescent="0.25">
      <c r="A163" t="s">
        <v>15</v>
      </c>
      <c r="B163" s="7">
        <v>55</v>
      </c>
      <c r="C163" s="4">
        <v>1.65</v>
      </c>
      <c r="D163" s="7">
        <v>80</v>
      </c>
      <c r="E163">
        <v>0</v>
      </c>
      <c r="F163">
        <v>1</v>
      </c>
      <c r="G163" s="2">
        <v>2</v>
      </c>
      <c r="H163" s="2">
        <v>3</v>
      </c>
      <c r="I163">
        <v>1</v>
      </c>
      <c r="J163">
        <v>0</v>
      </c>
      <c r="K163" s="2">
        <v>2</v>
      </c>
      <c r="L163">
        <v>0</v>
      </c>
      <c r="M163" s="7">
        <v>1</v>
      </c>
      <c r="N163" s="7">
        <v>0</v>
      </c>
      <c r="O163">
        <v>0</v>
      </c>
      <c r="P163" t="s">
        <v>17</v>
      </c>
      <c r="Q163">
        <v>3</v>
      </c>
      <c r="R163" s="8">
        <f>(Tabela2[[#This Row],[FAF_atividade_fisica_frequente_em_horas]]+ 0.1)</f>
        <v>1.1000000000000001</v>
      </c>
      <c r="S163" s="1">
        <f>(Tabela2[[#This Row],[TUE_tempo_uso_aparelhos_em_horas]]/Tabela2[[#This Row],[FAF_Var]])</f>
        <v>0</v>
      </c>
      <c r="T163">
        <f>(Tabela2[[#This Row],[CAEC_lanche_entre_refeicoes]]*Tabela2[[#This Row],[FAVC_consumo_frequente_de_alimentos_mt_caloricos]])</f>
        <v>1</v>
      </c>
      <c r="U163" s="1">
        <f>IF(OR(Tabela2[[#This Row],[MTRANS]]="Walking",Tabela2[[#This Row],[MTRANS]]="Bike"),Tabela2[[#This Row],[FAF_atividade_fisica_frequente_em_horas]]+1,M163)</f>
        <v>1</v>
      </c>
      <c r="V163">
        <f>(Tabela2[[#This Row],[SMOKE]]+Tabela2[[#This Row],[CALC_bebe_alcool_frequentemente]])</f>
        <v>0</v>
      </c>
      <c r="W163" s="8">
        <f>(Tabela2[[#This Row],[Weight]]/(Tabela2[[#This Row],[Height]] ^2))</f>
        <v>29.384756657483933</v>
      </c>
    </row>
    <row r="164" spans="1:23" x14ac:dyDescent="0.25">
      <c r="A164" t="s">
        <v>13</v>
      </c>
      <c r="B164" s="7">
        <v>21</v>
      </c>
      <c r="C164" s="4">
        <v>1.63</v>
      </c>
      <c r="D164" s="7">
        <v>60</v>
      </c>
      <c r="E164">
        <v>1</v>
      </c>
      <c r="F164">
        <v>1</v>
      </c>
      <c r="G164" s="2">
        <v>3</v>
      </c>
      <c r="H164" s="2">
        <v>3</v>
      </c>
      <c r="I164">
        <v>3</v>
      </c>
      <c r="J164">
        <v>1</v>
      </c>
      <c r="K164" s="2">
        <v>2</v>
      </c>
      <c r="L164">
        <v>0</v>
      </c>
      <c r="M164" s="7">
        <v>2</v>
      </c>
      <c r="N164" s="7">
        <v>0</v>
      </c>
      <c r="O164">
        <v>1</v>
      </c>
      <c r="P164" t="s">
        <v>14</v>
      </c>
      <c r="Q164">
        <v>1</v>
      </c>
      <c r="R164" s="8">
        <f>(Tabela2[[#This Row],[FAF_atividade_fisica_frequente_em_horas]]+ 0.1)</f>
        <v>2.1</v>
      </c>
      <c r="S164" s="1">
        <f>(Tabela2[[#This Row],[TUE_tempo_uso_aparelhos_em_horas]]/Tabela2[[#This Row],[FAF_Var]])</f>
        <v>0</v>
      </c>
      <c r="T164">
        <f>(Tabela2[[#This Row],[CAEC_lanche_entre_refeicoes]]*Tabela2[[#This Row],[FAVC_consumo_frequente_de_alimentos_mt_caloricos]])</f>
        <v>3</v>
      </c>
      <c r="U164" s="1">
        <f>IF(OR(Tabela2[[#This Row],[MTRANS]]="Walking",Tabela2[[#This Row],[MTRANS]]="Bike"),Tabela2[[#This Row],[FAF_atividade_fisica_frequente_em_horas]]+1,M164)</f>
        <v>2</v>
      </c>
      <c r="V164">
        <f>(Tabela2[[#This Row],[SMOKE]]+Tabela2[[#This Row],[CALC_bebe_alcool_frequentemente]])</f>
        <v>2</v>
      </c>
      <c r="W164" s="8">
        <f>(Tabela2[[#This Row],[Weight]]/(Tabela2[[#This Row],[Height]] ^2))</f>
        <v>22.582709172343712</v>
      </c>
    </row>
    <row r="165" spans="1:23" x14ac:dyDescent="0.25">
      <c r="A165" t="s">
        <v>15</v>
      </c>
      <c r="B165" s="7">
        <v>25</v>
      </c>
      <c r="C165" s="4">
        <v>1.89</v>
      </c>
      <c r="D165" s="7">
        <v>75</v>
      </c>
      <c r="E165">
        <v>0</v>
      </c>
      <c r="F165">
        <v>0</v>
      </c>
      <c r="G165" s="2">
        <v>3</v>
      </c>
      <c r="H165" s="2">
        <v>3</v>
      </c>
      <c r="I165">
        <v>2</v>
      </c>
      <c r="J165">
        <v>0</v>
      </c>
      <c r="K165" s="2">
        <v>2</v>
      </c>
      <c r="L165">
        <v>1</v>
      </c>
      <c r="M165" s="7">
        <v>3</v>
      </c>
      <c r="N165" s="7">
        <v>0</v>
      </c>
      <c r="O165">
        <v>0</v>
      </c>
      <c r="P165" t="s">
        <v>14</v>
      </c>
      <c r="Q165">
        <v>1</v>
      </c>
      <c r="R165" s="8">
        <f>(Tabela2[[#This Row],[FAF_atividade_fisica_frequente_em_horas]]+ 0.1)</f>
        <v>3.1</v>
      </c>
      <c r="S165" s="1">
        <f>(Tabela2[[#This Row],[TUE_tempo_uso_aparelhos_em_horas]]/Tabela2[[#This Row],[FAF_Var]])</f>
        <v>0</v>
      </c>
      <c r="T165">
        <f>(Tabela2[[#This Row],[CAEC_lanche_entre_refeicoes]]*Tabela2[[#This Row],[FAVC_consumo_frequente_de_alimentos_mt_caloricos]])</f>
        <v>0</v>
      </c>
      <c r="U165" s="1">
        <f>IF(OR(Tabela2[[#This Row],[MTRANS]]="Walking",Tabela2[[#This Row],[MTRANS]]="Bike"),Tabela2[[#This Row],[FAF_atividade_fisica_frequente_em_horas]]+1,M165)</f>
        <v>3</v>
      </c>
      <c r="V165">
        <f>(Tabela2[[#This Row],[SMOKE]]+Tabela2[[#This Row],[CALC_bebe_alcool_frequentemente]])</f>
        <v>0</v>
      </c>
      <c r="W165" s="8">
        <f>(Tabela2[[#This Row],[Weight]]/(Tabela2[[#This Row],[Height]] ^2))</f>
        <v>20.99605274208449</v>
      </c>
    </row>
    <row r="166" spans="1:23" x14ac:dyDescent="0.25">
      <c r="A166" t="s">
        <v>15</v>
      </c>
      <c r="B166" s="7">
        <v>35</v>
      </c>
      <c r="C166" s="4">
        <v>1.77</v>
      </c>
      <c r="D166" s="7">
        <v>85</v>
      </c>
      <c r="E166">
        <v>1</v>
      </c>
      <c r="F166">
        <v>0</v>
      </c>
      <c r="G166" s="2">
        <v>3</v>
      </c>
      <c r="H166" s="2">
        <v>3</v>
      </c>
      <c r="I166">
        <v>2</v>
      </c>
      <c r="J166">
        <v>0</v>
      </c>
      <c r="K166" s="2">
        <v>3</v>
      </c>
      <c r="L166">
        <v>0</v>
      </c>
      <c r="M166" s="7">
        <v>2</v>
      </c>
      <c r="N166" s="7">
        <v>1</v>
      </c>
      <c r="O166">
        <v>1</v>
      </c>
      <c r="P166" t="s">
        <v>17</v>
      </c>
      <c r="Q166">
        <v>3</v>
      </c>
      <c r="R166" s="8">
        <f>(Tabela2[[#This Row],[FAF_atividade_fisica_frequente_em_horas]]+ 0.1)</f>
        <v>2.1</v>
      </c>
      <c r="S166" s="1">
        <f>(Tabela2[[#This Row],[TUE_tempo_uso_aparelhos_em_horas]]/Tabela2[[#This Row],[FAF_Var]])</f>
        <v>0.47619047619047616</v>
      </c>
      <c r="T166">
        <f>(Tabela2[[#This Row],[CAEC_lanche_entre_refeicoes]]*Tabela2[[#This Row],[FAVC_consumo_frequente_de_alimentos_mt_caloricos]])</f>
        <v>0</v>
      </c>
      <c r="U166" s="1">
        <f>IF(OR(Tabela2[[#This Row],[MTRANS]]="Walking",Tabela2[[#This Row],[MTRANS]]="Bike"),Tabela2[[#This Row],[FAF_atividade_fisica_frequente_em_horas]]+1,M166)</f>
        <v>2</v>
      </c>
      <c r="V166">
        <f>(Tabela2[[#This Row],[SMOKE]]+Tabela2[[#This Row],[CALC_bebe_alcool_frequentemente]])</f>
        <v>1</v>
      </c>
      <c r="W166" s="8">
        <f>(Tabela2[[#This Row],[Weight]]/(Tabela2[[#This Row],[Height]] ^2))</f>
        <v>27.13141179099237</v>
      </c>
    </row>
    <row r="167" spans="1:23" x14ac:dyDescent="0.25">
      <c r="A167" t="s">
        <v>15</v>
      </c>
      <c r="B167" s="7">
        <v>30</v>
      </c>
      <c r="C167" s="4">
        <v>1.92</v>
      </c>
      <c r="D167" s="7">
        <v>130</v>
      </c>
      <c r="E167">
        <v>1</v>
      </c>
      <c r="F167">
        <v>0</v>
      </c>
      <c r="G167" s="2">
        <v>2</v>
      </c>
      <c r="H167" s="2">
        <v>3</v>
      </c>
      <c r="I167">
        <v>1</v>
      </c>
      <c r="J167">
        <v>1</v>
      </c>
      <c r="K167" s="2">
        <v>1</v>
      </c>
      <c r="L167">
        <v>0</v>
      </c>
      <c r="M167" s="7">
        <v>1</v>
      </c>
      <c r="N167" s="7">
        <v>0</v>
      </c>
      <c r="O167">
        <v>1</v>
      </c>
      <c r="P167" t="s">
        <v>14</v>
      </c>
      <c r="Q167">
        <v>5</v>
      </c>
      <c r="R167" s="8">
        <f>(Tabela2[[#This Row],[FAF_atividade_fisica_frequente_em_horas]]+ 0.1)</f>
        <v>1.1000000000000001</v>
      </c>
      <c r="S167" s="1">
        <f>(Tabela2[[#This Row],[TUE_tempo_uso_aparelhos_em_horas]]/Tabela2[[#This Row],[FAF_Var]])</f>
        <v>0</v>
      </c>
      <c r="T167">
        <f>(Tabela2[[#This Row],[CAEC_lanche_entre_refeicoes]]*Tabela2[[#This Row],[FAVC_consumo_frequente_de_alimentos_mt_caloricos]])</f>
        <v>0</v>
      </c>
      <c r="U167" s="1">
        <f>IF(OR(Tabela2[[#This Row],[MTRANS]]="Walking",Tabela2[[#This Row],[MTRANS]]="Bike"),Tabela2[[#This Row],[FAF_atividade_fisica_frequente_em_horas]]+1,M167)</f>
        <v>1</v>
      </c>
      <c r="V167">
        <f>(Tabela2[[#This Row],[SMOKE]]+Tabela2[[#This Row],[CALC_bebe_alcool_frequentemente]])</f>
        <v>2</v>
      </c>
      <c r="W167" s="8">
        <f>(Tabela2[[#This Row],[Weight]]/(Tabela2[[#This Row],[Height]] ^2))</f>
        <v>35.264756944444443</v>
      </c>
    </row>
    <row r="168" spans="1:23" x14ac:dyDescent="0.25">
      <c r="A168" t="s">
        <v>13</v>
      </c>
      <c r="B168" s="7">
        <v>29</v>
      </c>
      <c r="C168" s="4">
        <v>1.74</v>
      </c>
      <c r="D168" s="7">
        <v>72</v>
      </c>
      <c r="E168">
        <v>1</v>
      </c>
      <c r="F168">
        <v>0</v>
      </c>
      <c r="G168" s="2">
        <v>3</v>
      </c>
      <c r="H168" s="2">
        <v>3</v>
      </c>
      <c r="I168">
        <v>3</v>
      </c>
      <c r="J168">
        <v>0</v>
      </c>
      <c r="K168" s="2">
        <v>2</v>
      </c>
      <c r="L168">
        <v>0</v>
      </c>
      <c r="M168" s="7">
        <v>0</v>
      </c>
      <c r="N168" s="7">
        <v>0</v>
      </c>
      <c r="O168">
        <v>1</v>
      </c>
      <c r="P168" t="s">
        <v>17</v>
      </c>
      <c r="Q168">
        <v>1</v>
      </c>
      <c r="R168" s="8">
        <f>(Tabela2[[#This Row],[FAF_atividade_fisica_frequente_em_horas]]+ 0.1)</f>
        <v>0.1</v>
      </c>
      <c r="S168" s="1">
        <f>(Tabela2[[#This Row],[TUE_tempo_uso_aparelhos_em_horas]]/Tabela2[[#This Row],[FAF_Var]])</f>
        <v>0</v>
      </c>
      <c r="T168">
        <f>(Tabela2[[#This Row],[CAEC_lanche_entre_refeicoes]]*Tabela2[[#This Row],[FAVC_consumo_frequente_de_alimentos_mt_caloricos]])</f>
        <v>0</v>
      </c>
      <c r="U168" s="1">
        <f>IF(OR(Tabela2[[#This Row],[MTRANS]]="Walking",Tabela2[[#This Row],[MTRANS]]="Bike"),Tabela2[[#This Row],[FAF_atividade_fisica_frequente_em_horas]]+1,M168)</f>
        <v>0</v>
      </c>
      <c r="V168">
        <f>(Tabela2[[#This Row],[SMOKE]]+Tabela2[[#This Row],[CALC_bebe_alcool_frequentemente]])</f>
        <v>1</v>
      </c>
      <c r="W168" s="8">
        <f>(Tabela2[[#This Row],[Weight]]/(Tabela2[[#This Row],[Height]] ^2))</f>
        <v>23.781212841854934</v>
      </c>
    </row>
    <row r="169" spans="1:23" x14ac:dyDescent="0.25">
      <c r="A169" t="s">
        <v>15</v>
      </c>
      <c r="B169" s="7">
        <v>20</v>
      </c>
      <c r="C169" s="4">
        <v>1.65</v>
      </c>
      <c r="D169" s="7">
        <v>80</v>
      </c>
      <c r="E169">
        <v>1</v>
      </c>
      <c r="F169">
        <v>0</v>
      </c>
      <c r="G169" s="2">
        <v>2</v>
      </c>
      <c r="H169" s="2">
        <v>3</v>
      </c>
      <c r="I169">
        <v>1</v>
      </c>
      <c r="J169">
        <v>0</v>
      </c>
      <c r="K169" s="2">
        <v>2</v>
      </c>
      <c r="L169">
        <v>0</v>
      </c>
      <c r="M169" s="7">
        <v>1</v>
      </c>
      <c r="N169" s="7">
        <v>2</v>
      </c>
      <c r="O169">
        <v>0</v>
      </c>
      <c r="P169" t="s">
        <v>16</v>
      </c>
      <c r="Q169">
        <v>3</v>
      </c>
      <c r="R169" s="8">
        <f>(Tabela2[[#This Row],[FAF_atividade_fisica_frequente_em_horas]]+ 0.1)</f>
        <v>1.1000000000000001</v>
      </c>
      <c r="S169" s="1">
        <f>(Tabela2[[#This Row],[TUE_tempo_uso_aparelhos_em_horas]]/Tabela2[[#This Row],[FAF_Var]])</f>
        <v>1.8181818181818181</v>
      </c>
      <c r="T169">
        <f>(Tabela2[[#This Row],[CAEC_lanche_entre_refeicoes]]*Tabela2[[#This Row],[FAVC_consumo_frequente_de_alimentos_mt_caloricos]])</f>
        <v>0</v>
      </c>
      <c r="U169" s="1">
        <f>IF(OR(Tabela2[[#This Row],[MTRANS]]="Walking",Tabela2[[#This Row],[MTRANS]]="Bike"),Tabela2[[#This Row],[FAF_atividade_fisica_frequente_em_horas]]+1,M169)</f>
        <v>2</v>
      </c>
      <c r="V169">
        <f>(Tabela2[[#This Row],[SMOKE]]+Tabela2[[#This Row],[CALC_bebe_alcool_frequentemente]])</f>
        <v>0</v>
      </c>
      <c r="W169" s="8">
        <f>(Tabela2[[#This Row],[Weight]]/(Tabela2[[#This Row],[Height]] ^2))</f>
        <v>29.384756657483933</v>
      </c>
    </row>
    <row r="170" spans="1:23" x14ac:dyDescent="0.25">
      <c r="A170" t="s">
        <v>13</v>
      </c>
      <c r="B170" s="7">
        <v>22</v>
      </c>
      <c r="C170" s="4">
        <v>1.73</v>
      </c>
      <c r="D170" s="7">
        <v>79</v>
      </c>
      <c r="E170">
        <v>1</v>
      </c>
      <c r="F170">
        <v>1</v>
      </c>
      <c r="G170" s="2">
        <v>2</v>
      </c>
      <c r="H170" s="2">
        <v>1</v>
      </c>
      <c r="I170">
        <v>1</v>
      </c>
      <c r="J170">
        <v>0</v>
      </c>
      <c r="K170" s="2">
        <v>2</v>
      </c>
      <c r="L170">
        <v>0</v>
      </c>
      <c r="M170" s="7">
        <v>1</v>
      </c>
      <c r="N170" s="7">
        <v>0</v>
      </c>
      <c r="O170">
        <v>1</v>
      </c>
      <c r="P170" t="s">
        <v>14</v>
      </c>
      <c r="Q170">
        <v>2</v>
      </c>
      <c r="R170" s="8">
        <f>(Tabela2[[#This Row],[FAF_atividade_fisica_frequente_em_horas]]+ 0.1)</f>
        <v>1.1000000000000001</v>
      </c>
      <c r="S170" s="1">
        <f>(Tabela2[[#This Row],[TUE_tempo_uso_aparelhos_em_horas]]/Tabela2[[#This Row],[FAF_Var]])</f>
        <v>0</v>
      </c>
      <c r="T170">
        <f>(Tabela2[[#This Row],[CAEC_lanche_entre_refeicoes]]*Tabela2[[#This Row],[FAVC_consumo_frequente_de_alimentos_mt_caloricos]])</f>
        <v>1</v>
      </c>
      <c r="U170" s="1">
        <f>IF(OR(Tabela2[[#This Row],[MTRANS]]="Walking",Tabela2[[#This Row],[MTRANS]]="Bike"),Tabela2[[#This Row],[FAF_atividade_fisica_frequente_em_horas]]+1,M170)</f>
        <v>1</v>
      </c>
      <c r="V170">
        <f>(Tabela2[[#This Row],[SMOKE]]+Tabela2[[#This Row],[CALC_bebe_alcool_frequentemente]])</f>
        <v>1</v>
      </c>
      <c r="W170" s="8">
        <f>(Tabela2[[#This Row],[Weight]]/(Tabela2[[#This Row],[Height]] ^2))</f>
        <v>26.395803401383272</v>
      </c>
    </row>
    <row r="171" spans="1:23" x14ac:dyDescent="0.25">
      <c r="A171" t="s">
        <v>13</v>
      </c>
      <c r="B171" s="7">
        <v>45</v>
      </c>
      <c r="C171" s="4">
        <v>1.63</v>
      </c>
      <c r="D171" s="7">
        <v>77</v>
      </c>
      <c r="E171">
        <v>1</v>
      </c>
      <c r="F171">
        <v>1</v>
      </c>
      <c r="G171" s="2">
        <v>2</v>
      </c>
      <c r="H171" s="2">
        <v>3</v>
      </c>
      <c r="I171">
        <v>2</v>
      </c>
      <c r="J171">
        <v>0</v>
      </c>
      <c r="K171" s="2">
        <v>1</v>
      </c>
      <c r="L171">
        <v>0</v>
      </c>
      <c r="M171" s="7">
        <v>0</v>
      </c>
      <c r="N171" s="7">
        <v>0</v>
      </c>
      <c r="O171">
        <v>0</v>
      </c>
      <c r="P171" t="s">
        <v>17</v>
      </c>
      <c r="Q171">
        <v>3</v>
      </c>
      <c r="R171" s="8">
        <f>(Tabela2[[#This Row],[FAF_atividade_fisica_frequente_em_horas]]+ 0.1)</f>
        <v>0.1</v>
      </c>
      <c r="S171" s="1">
        <f>(Tabela2[[#This Row],[TUE_tempo_uso_aparelhos_em_horas]]/Tabela2[[#This Row],[FAF_Var]])</f>
        <v>0</v>
      </c>
      <c r="T171">
        <f>(Tabela2[[#This Row],[CAEC_lanche_entre_refeicoes]]*Tabela2[[#This Row],[FAVC_consumo_frequente_de_alimentos_mt_caloricos]])</f>
        <v>2</v>
      </c>
      <c r="U171" s="1">
        <f>IF(OR(Tabela2[[#This Row],[MTRANS]]="Walking",Tabela2[[#This Row],[MTRANS]]="Bike"),Tabela2[[#This Row],[FAF_atividade_fisica_frequente_em_horas]]+1,M171)</f>
        <v>0</v>
      </c>
      <c r="V171">
        <f>(Tabela2[[#This Row],[SMOKE]]+Tabela2[[#This Row],[CALC_bebe_alcool_frequentemente]])</f>
        <v>0</v>
      </c>
      <c r="W171" s="8">
        <f>(Tabela2[[#This Row],[Weight]]/(Tabela2[[#This Row],[Height]] ^2))</f>
        <v>28.981143437841094</v>
      </c>
    </row>
    <row r="172" spans="1:23" x14ac:dyDescent="0.25">
      <c r="A172" t="s">
        <v>15</v>
      </c>
      <c r="B172" s="7">
        <v>22</v>
      </c>
      <c r="C172" s="4">
        <v>1.72</v>
      </c>
      <c r="D172" s="7">
        <v>82</v>
      </c>
      <c r="E172">
        <v>0</v>
      </c>
      <c r="F172">
        <v>1</v>
      </c>
      <c r="G172" s="2">
        <v>2</v>
      </c>
      <c r="H172" s="2">
        <v>1</v>
      </c>
      <c r="I172">
        <v>1</v>
      </c>
      <c r="J172">
        <v>0</v>
      </c>
      <c r="K172" s="2">
        <v>2</v>
      </c>
      <c r="L172">
        <v>0</v>
      </c>
      <c r="M172" s="7">
        <v>2</v>
      </c>
      <c r="N172" s="7">
        <v>1</v>
      </c>
      <c r="O172">
        <v>1</v>
      </c>
      <c r="P172" t="s">
        <v>14</v>
      </c>
      <c r="Q172">
        <v>3</v>
      </c>
      <c r="R172" s="8">
        <f>(Tabela2[[#This Row],[FAF_atividade_fisica_frequente_em_horas]]+ 0.1)</f>
        <v>2.1</v>
      </c>
      <c r="S172" s="1">
        <f>(Tabela2[[#This Row],[TUE_tempo_uso_aparelhos_em_horas]]/Tabela2[[#This Row],[FAF_Var]])</f>
        <v>0.47619047619047616</v>
      </c>
      <c r="T172">
        <f>(Tabela2[[#This Row],[CAEC_lanche_entre_refeicoes]]*Tabela2[[#This Row],[FAVC_consumo_frequente_de_alimentos_mt_caloricos]])</f>
        <v>1</v>
      </c>
      <c r="U172" s="1">
        <f>IF(OR(Tabela2[[#This Row],[MTRANS]]="Walking",Tabela2[[#This Row],[MTRANS]]="Bike"),Tabela2[[#This Row],[FAF_atividade_fisica_frequente_em_horas]]+1,M172)</f>
        <v>2</v>
      </c>
      <c r="V172">
        <f>(Tabela2[[#This Row],[SMOKE]]+Tabela2[[#This Row],[CALC_bebe_alcool_frequentemente]])</f>
        <v>1</v>
      </c>
      <c r="W172" s="8">
        <f>(Tabela2[[#This Row],[Weight]]/(Tabela2[[#This Row],[Height]] ^2))</f>
        <v>27.717685235262305</v>
      </c>
    </row>
    <row r="173" spans="1:23" x14ac:dyDescent="0.25">
      <c r="A173" t="s">
        <v>15</v>
      </c>
      <c r="B173" s="7">
        <v>18</v>
      </c>
      <c r="C173" s="4">
        <v>1.6</v>
      </c>
      <c r="D173" s="7">
        <v>58</v>
      </c>
      <c r="E173">
        <v>1</v>
      </c>
      <c r="F173">
        <v>1</v>
      </c>
      <c r="G173" s="2">
        <v>2</v>
      </c>
      <c r="H173" s="2">
        <v>3</v>
      </c>
      <c r="I173">
        <v>2</v>
      </c>
      <c r="J173">
        <v>0</v>
      </c>
      <c r="K173" s="2">
        <v>2</v>
      </c>
      <c r="L173">
        <v>0</v>
      </c>
      <c r="M173" s="7">
        <v>1</v>
      </c>
      <c r="N173" s="7">
        <v>0</v>
      </c>
      <c r="O173">
        <v>1</v>
      </c>
      <c r="P173" t="s">
        <v>14</v>
      </c>
      <c r="Q173">
        <v>1</v>
      </c>
      <c r="R173" s="8">
        <f>(Tabela2[[#This Row],[FAF_atividade_fisica_frequente_em_horas]]+ 0.1)</f>
        <v>1.1000000000000001</v>
      </c>
      <c r="S173" s="1">
        <f>(Tabela2[[#This Row],[TUE_tempo_uso_aparelhos_em_horas]]/Tabela2[[#This Row],[FAF_Var]])</f>
        <v>0</v>
      </c>
      <c r="T173">
        <f>(Tabela2[[#This Row],[CAEC_lanche_entre_refeicoes]]*Tabela2[[#This Row],[FAVC_consumo_frequente_de_alimentos_mt_caloricos]])</f>
        <v>2</v>
      </c>
      <c r="U173" s="1">
        <f>IF(OR(Tabela2[[#This Row],[MTRANS]]="Walking",Tabela2[[#This Row],[MTRANS]]="Bike"),Tabela2[[#This Row],[FAF_atividade_fisica_frequente_em_horas]]+1,M173)</f>
        <v>1</v>
      </c>
      <c r="V173">
        <f>(Tabela2[[#This Row],[SMOKE]]+Tabela2[[#This Row],[CALC_bebe_alcool_frequentemente]])</f>
        <v>1</v>
      </c>
      <c r="W173" s="8">
        <f>(Tabela2[[#This Row],[Weight]]/(Tabela2[[#This Row],[Height]] ^2))</f>
        <v>22.656249999999996</v>
      </c>
    </row>
    <row r="174" spans="1:23" x14ac:dyDescent="0.25">
      <c r="A174" t="s">
        <v>13</v>
      </c>
      <c r="B174" s="7">
        <v>23</v>
      </c>
      <c r="C174" s="4">
        <v>1.65</v>
      </c>
      <c r="D174" s="7">
        <v>59</v>
      </c>
      <c r="E174">
        <v>0</v>
      </c>
      <c r="F174">
        <v>0</v>
      </c>
      <c r="G174" s="2">
        <v>3</v>
      </c>
      <c r="H174" s="2">
        <v>1</v>
      </c>
      <c r="I174">
        <v>1</v>
      </c>
      <c r="J174">
        <v>0</v>
      </c>
      <c r="K174" s="2">
        <v>2</v>
      </c>
      <c r="L174">
        <v>0</v>
      </c>
      <c r="M174" s="7">
        <v>1</v>
      </c>
      <c r="N174" s="7">
        <v>2</v>
      </c>
      <c r="O174">
        <v>1</v>
      </c>
      <c r="P174" t="s">
        <v>14</v>
      </c>
      <c r="Q174">
        <v>1</v>
      </c>
      <c r="R174" s="8">
        <f>(Tabela2[[#This Row],[FAF_atividade_fisica_frequente_em_horas]]+ 0.1)</f>
        <v>1.1000000000000001</v>
      </c>
      <c r="S174" s="1">
        <f>(Tabela2[[#This Row],[TUE_tempo_uso_aparelhos_em_horas]]/Tabela2[[#This Row],[FAF_Var]])</f>
        <v>1.8181818181818181</v>
      </c>
      <c r="T174">
        <f>(Tabela2[[#This Row],[CAEC_lanche_entre_refeicoes]]*Tabela2[[#This Row],[FAVC_consumo_frequente_de_alimentos_mt_caloricos]])</f>
        <v>0</v>
      </c>
      <c r="U174" s="1">
        <f>IF(OR(Tabela2[[#This Row],[MTRANS]]="Walking",Tabela2[[#This Row],[MTRANS]]="Bike"),Tabela2[[#This Row],[FAF_atividade_fisica_frequente_em_horas]]+1,M174)</f>
        <v>1</v>
      </c>
      <c r="V174">
        <f>(Tabela2[[#This Row],[SMOKE]]+Tabela2[[#This Row],[CALC_bebe_alcool_frequentemente]])</f>
        <v>1</v>
      </c>
      <c r="W174" s="8">
        <f>(Tabela2[[#This Row],[Weight]]/(Tabela2[[#This Row],[Height]] ^2))</f>
        <v>21.6712580348944</v>
      </c>
    </row>
    <row r="175" spans="1:23" x14ac:dyDescent="0.25">
      <c r="A175" t="s">
        <v>15</v>
      </c>
      <c r="B175" s="7">
        <v>18</v>
      </c>
      <c r="C175" s="4">
        <v>1.74</v>
      </c>
      <c r="D175" s="7">
        <v>64</v>
      </c>
      <c r="E175">
        <v>0</v>
      </c>
      <c r="F175">
        <v>0</v>
      </c>
      <c r="G175" s="2">
        <v>3</v>
      </c>
      <c r="H175" s="2">
        <v>3</v>
      </c>
      <c r="I175">
        <v>1</v>
      </c>
      <c r="J175">
        <v>0</v>
      </c>
      <c r="K175" s="2">
        <v>2</v>
      </c>
      <c r="L175">
        <v>1</v>
      </c>
      <c r="M175" s="7">
        <v>0</v>
      </c>
      <c r="N175" s="7">
        <v>1</v>
      </c>
      <c r="O175">
        <v>0</v>
      </c>
      <c r="P175" t="s">
        <v>14</v>
      </c>
      <c r="Q175">
        <v>1</v>
      </c>
      <c r="R175" s="8">
        <f>(Tabela2[[#This Row],[FAF_atividade_fisica_frequente_em_horas]]+ 0.1)</f>
        <v>0.1</v>
      </c>
      <c r="S175" s="1">
        <f>(Tabela2[[#This Row],[TUE_tempo_uso_aparelhos_em_horas]]/Tabela2[[#This Row],[FAF_Var]])</f>
        <v>10</v>
      </c>
      <c r="T175">
        <f>(Tabela2[[#This Row],[CAEC_lanche_entre_refeicoes]]*Tabela2[[#This Row],[FAVC_consumo_frequente_de_alimentos_mt_caloricos]])</f>
        <v>0</v>
      </c>
      <c r="U175" s="1">
        <f>IF(OR(Tabela2[[#This Row],[MTRANS]]="Walking",Tabela2[[#This Row],[MTRANS]]="Bike"),Tabela2[[#This Row],[FAF_atividade_fisica_frequente_em_horas]]+1,M175)</f>
        <v>0</v>
      </c>
      <c r="V175">
        <f>(Tabela2[[#This Row],[SMOKE]]+Tabela2[[#This Row],[CALC_bebe_alcool_frequentemente]])</f>
        <v>0</v>
      </c>
      <c r="W175" s="8">
        <f>(Tabela2[[#This Row],[Weight]]/(Tabela2[[#This Row],[Height]] ^2))</f>
        <v>21.138855859426609</v>
      </c>
    </row>
    <row r="176" spans="1:23" x14ac:dyDescent="0.25">
      <c r="A176" t="s">
        <v>15</v>
      </c>
      <c r="B176" s="7">
        <v>21</v>
      </c>
      <c r="C176" s="4">
        <v>1.62</v>
      </c>
      <c r="D176" s="7">
        <v>70</v>
      </c>
      <c r="E176">
        <v>0</v>
      </c>
      <c r="F176">
        <v>1</v>
      </c>
      <c r="G176" s="2">
        <v>2</v>
      </c>
      <c r="H176" s="2">
        <v>1</v>
      </c>
      <c r="I176">
        <v>0</v>
      </c>
      <c r="J176">
        <v>0</v>
      </c>
      <c r="K176" s="2">
        <v>3</v>
      </c>
      <c r="L176">
        <v>0</v>
      </c>
      <c r="M176" s="7">
        <v>1</v>
      </c>
      <c r="N176" s="7">
        <v>0</v>
      </c>
      <c r="O176">
        <v>1</v>
      </c>
      <c r="P176" t="s">
        <v>14</v>
      </c>
      <c r="Q176">
        <v>2</v>
      </c>
      <c r="R176" s="8">
        <f>(Tabela2[[#This Row],[FAF_atividade_fisica_frequente_em_horas]]+ 0.1)</f>
        <v>1.1000000000000001</v>
      </c>
      <c r="S176" s="1">
        <f>(Tabela2[[#This Row],[TUE_tempo_uso_aparelhos_em_horas]]/Tabela2[[#This Row],[FAF_Var]])</f>
        <v>0</v>
      </c>
      <c r="T176">
        <f>(Tabela2[[#This Row],[CAEC_lanche_entre_refeicoes]]*Tabela2[[#This Row],[FAVC_consumo_frequente_de_alimentos_mt_caloricos]])</f>
        <v>0</v>
      </c>
      <c r="U176" s="1">
        <f>IF(OR(Tabela2[[#This Row],[MTRANS]]="Walking",Tabela2[[#This Row],[MTRANS]]="Bike"),Tabela2[[#This Row],[FAF_atividade_fisica_frequente_em_horas]]+1,M176)</f>
        <v>1</v>
      </c>
      <c r="V176">
        <f>(Tabela2[[#This Row],[SMOKE]]+Tabela2[[#This Row],[CALC_bebe_alcool_frequentemente]])</f>
        <v>1</v>
      </c>
      <c r="W176" s="8">
        <f>(Tabela2[[#This Row],[Weight]]/(Tabela2[[#This Row],[Height]] ^2))</f>
        <v>26.672763298277697</v>
      </c>
    </row>
    <row r="177" spans="1:23" x14ac:dyDescent="0.25">
      <c r="A177" t="s">
        <v>13</v>
      </c>
      <c r="B177" s="7">
        <v>38</v>
      </c>
      <c r="C177" s="4">
        <v>1.64</v>
      </c>
      <c r="D177" s="7">
        <v>59.8</v>
      </c>
      <c r="E177">
        <v>1</v>
      </c>
      <c r="F177">
        <v>1</v>
      </c>
      <c r="G177" s="2">
        <v>2</v>
      </c>
      <c r="H177" s="2">
        <v>3</v>
      </c>
      <c r="I177">
        <v>1</v>
      </c>
      <c r="J177">
        <v>0</v>
      </c>
      <c r="K177" s="2">
        <v>2</v>
      </c>
      <c r="L177">
        <v>0</v>
      </c>
      <c r="M177" s="7">
        <v>2</v>
      </c>
      <c r="N177" s="7">
        <v>0</v>
      </c>
      <c r="O177">
        <v>0</v>
      </c>
      <c r="P177" t="s">
        <v>14</v>
      </c>
      <c r="Q177">
        <v>1</v>
      </c>
      <c r="R177" s="8">
        <f>(Tabela2[[#This Row],[FAF_atividade_fisica_frequente_em_horas]]+ 0.1)</f>
        <v>2.1</v>
      </c>
      <c r="S177" s="1">
        <f>(Tabela2[[#This Row],[TUE_tempo_uso_aparelhos_em_horas]]/Tabela2[[#This Row],[FAF_Var]])</f>
        <v>0</v>
      </c>
      <c r="T177">
        <f>(Tabela2[[#This Row],[CAEC_lanche_entre_refeicoes]]*Tabela2[[#This Row],[FAVC_consumo_frequente_de_alimentos_mt_caloricos]])</f>
        <v>1</v>
      </c>
      <c r="U177" s="1">
        <f>IF(OR(Tabela2[[#This Row],[MTRANS]]="Walking",Tabela2[[#This Row],[MTRANS]]="Bike"),Tabela2[[#This Row],[FAF_atividade_fisica_frequente_em_horas]]+1,M177)</f>
        <v>2</v>
      </c>
      <c r="V177">
        <f>(Tabela2[[#This Row],[SMOKE]]+Tabela2[[#This Row],[CALC_bebe_alcool_frequentemente]])</f>
        <v>0</v>
      </c>
      <c r="W177" s="8">
        <f>(Tabela2[[#This Row],[Weight]]/(Tabela2[[#This Row],[Height]] ^2))</f>
        <v>22.233789411064844</v>
      </c>
    </row>
    <row r="178" spans="1:23" x14ac:dyDescent="0.25">
      <c r="A178" t="s">
        <v>13</v>
      </c>
      <c r="B178" s="7">
        <v>18</v>
      </c>
      <c r="C178" s="4">
        <v>1.57</v>
      </c>
      <c r="D178" s="7">
        <v>48</v>
      </c>
      <c r="E178">
        <v>1</v>
      </c>
      <c r="F178">
        <v>1</v>
      </c>
      <c r="G178" s="2">
        <v>3</v>
      </c>
      <c r="H178" s="2">
        <v>1</v>
      </c>
      <c r="I178">
        <v>3</v>
      </c>
      <c r="J178">
        <v>0</v>
      </c>
      <c r="K178" s="2">
        <v>1</v>
      </c>
      <c r="L178">
        <v>0</v>
      </c>
      <c r="M178" s="7">
        <v>1</v>
      </c>
      <c r="N178" s="7">
        <v>0</v>
      </c>
      <c r="O178">
        <v>0</v>
      </c>
      <c r="P178" t="s">
        <v>14</v>
      </c>
      <c r="Q178">
        <v>1</v>
      </c>
      <c r="R178" s="8">
        <f>(Tabela2[[#This Row],[FAF_atividade_fisica_frequente_em_horas]]+ 0.1)</f>
        <v>1.1000000000000001</v>
      </c>
      <c r="S178" s="1">
        <f>(Tabela2[[#This Row],[TUE_tempo_uso_aparelhos_em_horas]]/Tabela2[[#This Row],[FAF_Var]])</f>
        <v>0</v>
      </c>
      <c r="T178">
        <f>(Tabela2[[#This Row],[CAEC_lanche_entre_refeicoes]]*Tabela2[[#This Row],[FAVC_consumo_frequente_de_alimentos_mt_caloricos]])</f>
        <v>3</v>
      </c>
      <c r="U178" s="1">
        <f>IF(OR(Tabela2[[#This Row],[MTRANS]]="Walking",Tabela2[[#This Row],[MTRANS]]="Bike"),Tabela2[[#This Row],[FAF_atividade_fisica_frequente_em_horas]]+1,M178)</f>
        <v>1</v>
      </c>
      <c r="V178">
        <f>(Tabela2[[#This Row],[SMOKE]]+Tabela2[[#This Row],[CALC_bebe_alcool_frequentemente]])</f>
        <v>0</v>
      </c>
      <c r="W178" s="8">
        <f>(Tabela2[[#This Row],[Weight]]/(Tabela2[[#This Row],[Height]] ^2))</f>
        <v>19.473406629072173</v>
      </c>
    </row>
    <row r="179" spans="1:23" x14ac:dyDescent="0.25">
      <c r="A179" t="s">
        <v>15</v>
      </c>
      <c r="B179" s="7">
        <v>22</v>
      </c>
      <c r="C179" s="4">
        <v>1.84</v>
      </c>
      <c r="D179" s="7">
        <v>84</v>
      </c>
      <c r="E179">
        <v>1</v>
      </c>
      <c r="F179">
        <v>1</v>
      </c>
      <c r="G179" s="2">
        <v>3</v>
      </c>
      <c r="H179" s="2">
        <v>3</v>
      </c>
      <c r="I179">
        <v>2</v>
      </c>
      <c r="J179">
        <v>0</v>
      </c>
      <c r="K179" s="2">
        <v>2</v>
      </c>
      <c r="L179">
        <v>1</v>
      </c>
      <c r="M179" s="7">
        <v>3</v>
      </c>
      <c r="N179" s="7">
        <v>0</v>
      </c>
      <c r="O179">
        <v>1</v>
      </c>
      <c r="P179" t="s">
        <v>14</v>
      </c>
      <c r="Q179">
        <v>1</v>
      </c>
      <c r="R179" s="8">
        <f>(Tabela2[[#This Row],[FAF_atividade_fisica_frequente_em_horas]]+ 0.1)</f>
        <v>3.1</v>
      </c>
      <c r="S179" s="1">
        <f>(Tabela2[[#This Row],[TUE_tempo_uso_aparelhos_em_horas]]/Tabela2[[#This Row],[FAF_Var]])</f>
        <v>0</v>
      </c>
      <c r="T179">
        <f>(Tabela2[[#This Row],[CAEC_lanche_entre_refeicoes]]*Tabela2[[#This Row],[FAVC_consumo_frequente_de_alimentos_mt_caloricos]])</f>
        <v>2</v>
      </c>
      <c r="U179" s="1">
        <f>IF(OR(Tabela2[[#This Row],[MTRANS]]="Walking",Tabela2[[#This Row],[MTRANS]]="Bike"),Tabela2[[#This Row],[FAF_atividade_fisica_frequente_em_horas]]+1,M179)</f>
        <v>3</v>
      </c>
      <c r="V179">
        <f>(Tabela2[[#This Row],[SMOKE]]+Tabela2[[#This Row],[CALC_bebe_alcool_frequentemente]])</f>
        <v>1</v>
      </c>
      <c r="W179" s="8">
        <f>(Tabela2[[#This Row],[Weight]]/(Tabela2[[#This Row],[Height]] ^2))</f>
        <v>24.810964083175801</v>
      </c>
    </row>
    <row r="180" spans="1:23" x14ac:dyDescent="0.25">
      <c r="A180" t="s">
        <v>15</v>
      </c>
      <c r="B180" s="7">
        <v>26</v>
      </c>
      <c r="C180" s="4">
        <v>1.91</v>
      </c>
      <c r="D180" s="7">
        <v>84</v>
      </c>
      <c r="E180">
        <v>1</v>
      </c>
      <c r="F180">
        <v>1</v>
      </c>
      <c r="G180" s="2">
        <v>3</v>
      </c>
      <c r="H180" s="2">
        <v>3</v>
      </c>
      <c r="I180">
        <v>2</v>
      </c>
      <c r="J180">
        <v>1</v>
      </c>
      <c r="K180" s="2">
        <v>2</v>
      </c>
      <c r="L180">
        <v>0</v>
      </c>
      <c r="M180" s="7">
        <v>2</v>
      </c>
      <c r="N180" s="7">
        <v>2</v>
      </c>
      <c r="O180">
        <v>2</v>
      </c>
      <c r="P180" t="s">
        <v>14</v>
      </c>
      <c r="Q180">
        <v>1</v>
      </c>
      <c r="R180" s="8">
        <f>(Tabela2[[#This Row],[FAF_atividade_fisica_frequente_em_horas]]+ 0.1)</f>
        <v>2.1</v>
      </c>
      <c r="S180" s="1">
        <f>(Tabela2[[#This Row],[TUE_tempo_uso_aparelhos_em_horas]]/Tabela2[[#This Row],[FAF_Var]])</f>
        <v>0.95238095238095233</v>
      </c>
      <c r="T180">
        <f>(Tabela2[[#This Row],[CAEC_lanche_entre_refeicoes]]*Tabela2[[#This Row],[FAVC_consumo_frequente_de_alimentos_mt_caloricos]])</f>
        <v>2</v>
      </c>
      <c r="U180" s="1">
        <f>IF(OR(Tabela2[[#This Row],[MTRANS]]="Walking",Tabela2[[#This Row],[MTRANS]]="Bike"),Tabela2[[#This Row],[FAF_atividade_fisica_frequente_em_horas]]+1,M180)</f>
        <v>2</v>
      </c>
      <c r="V180">
        <f>(Tabela2[[#This Row],[SMOKE]]+Tabela2[[#This Row],[CALC_bebe_alcool_frequentemente]])</f>
        <v>3</v>
      </c>
      <c r="W180" s="8">
        <f>(Tabela2[[#This Row],[Weight]]/(Tabela2[[#This Row],[Height]] ^2))</f>
        <v>23.025684602944001</v>
      </c>
    </row>
    <row r="181" spans="1:23" x14ac:dyDescent="0.25">
      <c r="A181" t="s">
        <v>15</v>
      </c>
      <c r="B181" s="7">
        <v>21</v>
      </c>
      <c r="C181" s="4">
        <v>1.62</v>
      </c>
      <c r="D181" s="7">
        <v>70</v>
      </c>
      <c r="E181">
        <v>0</v>
      </c>
      <c r="F181">
        <v>1</v>
      </c>
      <c r="G181" s="2">
        <v>2</v>
      </c>
      <c r="H181" s="2">
        <v>1</v>
      </c>
      <c r="I181">
        <v>0</v>
      </c>
      <c r="J181">
        <v>0</v>
      </c>
      <c r="K181" s="2">
        <v>3</v>
      </c>
      <c r="L181">
        <v>0</v>
      </c>
      <c r="M181" s="7">
        <v>1</v>
      </c>
      <c r="N181" s="7">
        <v>0</v>
      </c>
      <c r="O181">
        <v>1</v>
      </c>
      <c r="P181" t="s">
        <v>14</v>
      </c>
      <c r="Q181">
        <v>2</v>
      </c>
      <c r="R181" s="8">
        <f>(Tabela2[[#This Row],[FAF_atividade_fisica_frequente_em_horas]]+ 0.1)</f>
        <v>1.1000000000000001</v>
      </c>
      <c r="S181" s="1">
        <f>(Tabela2[[#This Row],[TUE_tempo_uso_aparelhos_em_horas]]/Tabela2[[#This Row],[FAF_Var]])</f>
        <v>0</v>
      </c>
      <c r="T181">
        <f>(Tabela2[[#This Row],[CAEC_lanche_entre_refeicoes]]*Tabela2[[#This Row],[FAVC_consumo_frequente_de_alimentos_mt_caloricos]])</f>
        <v>0</v>
      </c>
      <c r="U181" s="1">
        <f>IF(OR(Tabela2[[#This Row],[MTRANS]]="Walking",Tabela2[[#This Row],[MTRANS]]="Bike"),Tabela2[[#This Row],[FAF_atividade_fisica_frequente_em_horas]]+1,M181)</f>
        <v>1</v>
      </c>
      <c r="V181">
        <f>(Tabela2[[#This Row],[SMOKE]]+Tabela2[[#This Row],[CALC_bebe_alcool_frequentemente]])</f>
        <v>1</v>
      </c>
      <c r="W181" s="8">
        <f>(Tabela2[[#This Row],[Weight]]/(Tabela2[[#This Row],[Height]] ^2))</f>
        <v>26.672763298277697</v>
      </c>
    </row>
    <row r="182" spans="1:23" x14ac:dyDescent="0.25">
      <c r="A182" t="s">
        <v>13</v>
      </c>
      <c r="B182" s="7">
        <v>18</v>
      </c>
      <c r="C182" s="4">
        <v>1.58</v>
      </c>
      <c r="D182" s="7">
        <v>48</v>
      </c>
      <c r="E182">
        <v>0</v>
      </c>
      <c r="F182">
        <v>1</v>
      </c>
      <c r="G182" s="2">
        <v>2</v>
      </c>
      <c r="H182" s="2">
        <v>3</v>
      </c>
      <c r="I182">
        <v>1</v>
      </c>
      <c r="J182">
        <v>0</v>
      </c>
      <c r="K182" s="2">
        <v>2</v>
      </c>
      <c r="L182">
        <v>0</v>
      </c>
      <c r="M182" s="7">
        <v>1</v>
      </c>
      <c r="N182" s="7">
        <v>0</v>
      </c>
      <c r="O182">
        <v>0</v>
      </c>
      <c r="P182" t="s">
        <v>14</v>
      </c>
      <c r="Q182">
        <v>1</v>
      </c>
      <c r="R182" s="8">
        <f>(Tabela2[[#This Row],[FAF_atividade_fisica_frequente_em_horas]]+ 0.1)</f>
        <v>1.1000000000000001</v>
      </c>
      <c r="S182" s="1">
        <f>(Tabela2[[#This Row],[TUE_tempo_uso_aparelhos_em_horas]]/Tabela2[[#This Row],[FAF_Var]])</f>
        <v>0</v>
      </c>
      <c r="T182">
        <f>(Tabela2[[#This Row],[CAEC_lanche_entre_refeicoes]]*Tabela2[[#This Row],[FAVC_consumo_frequente_de_alimentos_mt_caloricos]])</f>
        <v>1</v>
      </c>
      <c r="U182" s="1">
        <f>IF(OR(Tabela2[[#This Row],[MTRANS]]="Walking",Tabela2[[#This Row],[MTRANS]]="Bike"),Tabela2[[#This Row],[FAF_atividade_fisica_frequente_em_horas]]+1,M182)</f>
        <v>1</v>
      </c>
      <c r="V182">
        <f>(Tabela2[[#This Row],[SMOKE]]+Tabela2[[#This Row],[CALC_bebe_alcool_frequentemente]])</f>
        <v>0</v>
      </c>
      <c r="W182" s="8">
        <f>(Tabela2[[#This Row],[Weight]]/(Tabela2[[#This Row],[Height]] ^2))</f>
        <v>19.227687870533565</v>
      </c>
    </row>
    <row r="183" spans="1:23" x14ac:dyDescent="0.25">
      <c r="A183" t="s">
        <v>13</v>
      </c>
      <c r="B183" s="7">
        <v>23</v>
      </c>
      <c r="C183" s="4">
        <v>1.68</v>
      </c>
      <c r="D183" s="7">
        <v>67</v>
      </c>
      <c r="E183">
        <v>1</v>
      </c>
      <c r="F183">
        <v>1</v>
      </c>
      <c r="G183" s="2">
        <v>2</v>
      </c>
      <c r="H183" s="2">
        <v>3</v>
      </c>
      <c r="I183">
        <v>2</v>
      </c>
      <c r="J183">
        <v>0</v>
      </c>
      <c r="K183" s="2">
        <v>1</v>
      </c>
      <c r="L183">
        <v>0</v>
      </c>
      <c r="M183" s="7">
        <v>0</v>
      </c>
      <c r="N183" s="7">
        <v>0</v>
      </c>
      <c r="O183">
        <v>1</v>
      </c>
      <c r="P183" t="s">
        <v>14</v>
      </c>
      <c r="Q183">
        <v>1</v>
      </c>
      <c r="R183" s="8">
        <f>(Tabela2[[#This Row],[FAF_atividade_fisica_frequente_em_horas]]+ 0.1)</f>
        <v>0.1</v>
      </c>
      <c r="S183" s="1">
        <f>(Tabela2[[#This Row],[TUE_tempo_uso_aparelhos_em_horas]]/Tabela2[[#This Row],[FAF_Var]])</f>
        <v>0</v>
      </c>
      <c r="T183">
        <f>(Tabela2[[#This Row],[CAEC_lanche_entre_refeicoes]]*Tabela2[[#This Row],[FAVC_consumo_frequente_de_alimentos_mt_caloricos]])</f>
        <v>2</v>
      </c>
      <c r="U183" s="1">
        <f>IF(OR(Tabela2[[#This Row],[MTRANS]]="Walking",Tabela2[[#This Row],[MTRANS]]="Bike"),Tabela2[[#This Row],[FAF_atividade_fisica_frequente_em_horas]]+1,M183)</f>
        <v>0</v>
      </c>
      <c r="V183">
        <f>(Tabela2[[#This Row],[SMOKE]]+Tabela2[[#This Row],[CALC_bebe_alcool_frequentemente]])</f>
        <v>1</v>
      </c>
      <c r="W183" s="8">
        <f>(Tabela2[[#This Row],[Weight]]/(Tabela2[[#This Row],[Height]] ^2))</f>
        <v>23.738662131519277</v>
      </c>
    </row>
    <row r="184" spans="1:23" x14ac:dyDescent="0.25">
      <c r="A184" t="s">
        <v>13</v>
      </c>
      <c r="B184" s="7">
        <v>22</v>
      </c>
      <c r="C184" s="4">
        <v>1.68</v>
      </c>
      <c r="D184" s="7">
        <v>52</v>
      </c>
      <c r="E184">
        <v>0</v>
      </c>
      <c r="F184">
        <v>1</v>
      </c>
      <c r="G184" s="2">
        <v>3</v>
      </c>
      <c r="H184" s="2">
        <v>3</v>
      </c>
      <c r="I184">
        <v>2</v>
      </c>
      <c r="J184">
        <v>0</v>
      </c>
      <c r="K184" s="2">
        <v>2</v>
      </c>
      <c r="L184">
        <v>0</v>
      </c>
      <c r="M184" s="7">
        <v>0</v>
      </c>
      <c r="N184" s="7">
        <v>1</v>
      </c>
      <c r="O184">
        <v>0</v>
      </c>
      <c r="P184" t="s">
        <v>14</v>
      </c>
      <c r="Q184">
        <v>0</v>
      </c>
      <c r="R184" s="8">
        <f>(Tabela2[[#This Row],[FAF_atividade_fisica_frequente_em_horas]]+ 0.1)</f>
        <v>0.1</v>
      </c>
      <c r="S184" s="1">
        <f>(Tabela2[[#This Row],[TUE_tempo_uso_aparelhos_em_horas]]/Tabela2[[#This Row],[FAF_Var]])</f>
        <v>10</v>
      </c>
      <c r="T184">
        <f>(Tabela2[[#This Row],[CAEC_lanche_entre_refeicoes]]*Tabela2[[#This Row],[FAVC_consumo_frequente_de_alimentos_mt_caloricos]])</f>
        <v>2</v>
      </c>
      <c r="U184" s="1">
        <f>IF(OR(Tabela2[[#This Row],[MTRANS]]="Walking",Tabela2[[#This Row],[MTRANS]]="Bike"),Tabela2[[#This Row],[FAF_atividade_fisica_frequente_em_horas]]+1,M184)</f>
        <v>0</v>
      </c>
      <c r="V184">
        <f>(Tabela2[[#This Row],[SMOKE]]+Tabela2[[#This Row],[CALC_bebe_alcool_frequentemente]])</f>
        <v>0</v>
      </c>
      <c r="W184" s="8">
        <f>(Tabela2[[#This Row],[Weight]]/(Tabela2[[#This Row],[Height]] ^2))</f>
        <v>18.424036281179141</v>
      </c>
    </row>
    <row r="185" spans="1:23" x14ac:dyDescent="0.25">
      <c r="A185" t="s">
        <v>13</v>
      </c>
      <c r="B185" s="7">
        <v>23</v>
      </c>
      <c r="C185" s="4">
        <v>1.48</v>
      </c>
      <c r="D185" s="7">
        <v>60</v>
      </c>
      <c r="E185">
        <v>1</v>
      </c>
      <c r="F185">
        <v>1</v>
      </c>
      <c r="G185" s="2">
        <v>2</v>
      </c>
      <c r="H185" s="2">
        <v>1</v>
      </c>
      <c r="I185">
        <v>1</v>
      </c>
      <c r="J185">
        <v>1</v>
      </c>
      <c r="K185" s="2">
        <v>1</v>
      </c>
      <c r="L185">
        <v>0</v>
      </c>
      <c r="M185" s="7">
        <v>0</v>
      </c>
      <c r="N185" s="7">
        <v>0</v>
      </c>
      <c r="O185">
        <v>1</v>
      </c>
      <c r="P185" t="s">
        <v>14</v>
      </c>
      <c r="Q185">
        <v>3</v>
      </c>
      <c r="R185" s="8">
        <f>(Tabela2[[#This Row],[FAF_atividade_fisica_frequente_em_horas]]+ 0.1)</f>
        <v>0.1</v>
      </c>
      <c r="S185" s="1">
        <f>(Tabela2[[#This Row],[TUE_tempo_uso_aparelhos_em_horas]]/Tabela2[[#This Row],[FAF_Var]])</f>
        <v>0</v>
      </c>
      <c r="T185">
        <f>(Tabela2[[#This Row],[CAEC_lanche_entre_refeicoes]]*Tabela2[[#This Row],[FAVC_consumo_frequente_de_alimentos_mt_caloricos]])</f>
        <v>1</v>
      </c>
      <c r="U185" s="1">
        <f>IF(OR(Tabela2[[#This Row],[MTRANS]]="Walking",Tabela2[[#This Row],[MTRANS]]="Bike"),Tabela2[[#This Row],[FAF_atividade_fisica_frequente_em_horas]]+1,M185)</f>
        <v>0</v>
      </c>
      <c r="V185">
        <f>(Tabela2[[#This Row],[SMOKE]]+Tabela2[[#This Row],[CALC_bebe_alcool_frequentemente]])</f>
        <v>2</v>
      </c>
      <c r="W185" s="8">
        <f>(Tabela2[[#This Row],[Weight]]/(Tabela2[[#This Row],[Height]] ^2))</f>
        <v>27.392257121986852</v>
      </c>
    </row>
    <row r="186" spans="1:23" x14ac:dyDescent="0.25">
      <c r="A186" t="s">
        <v>15</v>
      </c>
      <c r="B186" s="7">
        <v>21</v>
      </c>
      <c r="C186" s="4">
        <v>1.62</v>
      </c>
      <c r="D186" s="7">
        <v>70</v>
      </c>
      <c r="E186">
        <v>0</v>
      </c>
      <c r="F186">
        <v>1</v>
      </c>
      <c r="G186" s="2">
        <v>2</v>
      </c>
      <c r="H186" s="2">
        <v>1</v>
      </c>
      <c r="I186">
        <v>0</v>
      </c>
      <c r="J186">
        <v>0</v>
      </c>
      <c r="K186" s="2">
        <v>3</v>
      </c>
      <c r="L186">
        <v>0</v>
      </c>
      <c r="M186" s="7">
        <v>1</v>
      </c>
      <c r="N186" s="7">
        <v>0</v>
      </c>
      <c r="O186">
        <v>1</v>
      </c>
      <c r="P186" t="s">
        <v>14</v>
      </c>
      <c r="Q186">
        <v>2</v>
      </c>
      <c r="R186" s="8">
        <f>(Tabela2[[#This Row],[FAF_atividade_fisica_frequente_em_horas]]+ 0.1)</f>
        <v>1.1000000000000001</v>
      </c>
      <c r="S186" s="1">
        <f>(Tabela2[[#This Row],[TUE_tempo_uso_aparelhos_em_horas]]/Tabela2[[#This Row],[FAF_Var]])</f>
        <v>0</v>
      </c>
      <c r="T186">
        <f>(Tabela2[[#This Row],[CAEC_lanche_entre_refeicoes]]*Tabela2[[#This Row],[FAVC_consumo_frequente_de_alimentos_mt_caloricos]])</f>
        <v>0</v>
      </c>
      <c r="U186" s="1">
        <f>IF(OR(Tabela2[[#This Row],[MTRANS]]="Walking",Tabela2[[#This Row],[MTRANS]]="Bike"),Tabela2[[#This Row],[FAF_atividade_fisica_frequente_em_horas]]+1,M186)</f>
        <v>1</v>
      </c>
      <c r="V186">
        <f>(Tabela2[[#This Row],[SMOKE]]+Tabela2[[#This Row],[CALC_bebe_alcool_frequentemente]])</f>
        <v>1</v>
      </c>
      <c r="W186" s="8">
        <f>(Tabela2[[#This Row],[Weight]]/(Tabela2[[#This Row],[Height]] ^2))</f>
        <v>26.672763298277697</v>
      </c>
    </row>
    <row r="187" spans="1:23" x14ac:dyDescent="0.25">
      <c r="A187" t="s">
        <v>13</v>
      </c>
      <c r="B187" s="7">
        <v>31</v>
      </c>
      <c r="C187" s="4">
        <v>1.62</v>
      </c>
      <c r="D187" s="7">
        <v>68</v>
      </c>
      <c r="E187">
        <v>0</v>
      </c>
      <c r="F187">
        <v>0</v>
      </c>
      <c r="G187" s="2">
        <v>3</v>
      </c>
      <c r="H187" s="2">
        <v>3</v>
      </c>
      <c r="I187">
        <v>1</v>
      </c>
      <c r="J187">
        <v>0</v>
      </c>
      <c r="K187" s="2">
        <v>2</v>
      </c>
      <c r="L187">
        <v>0</v>
      </c>
      <c r="M187" s="7">
        <v>1</v>
      </c>
      <c r="N187" s="7">
        <v>0</v>
      </c>
      <c r="O187">
        <v>1</v>
      </c>
      <c r="P187" t="s">
        <v>17</v>
      </c>
      <c r="Q187">
        <v>2</v>
      </c>
      <c r="R187" s="8">
        <f>(Tabela2[[#This Row],[FAF_atividade_fisica_frequente_em_horas]]+ 0.1)</f>
        <v>1.1000000000000001</v>
      </c>
      <c r="S187" s="1">
        <f>(Tabela2[[#This Row],[TUE_tempo_uso_aparelhos_em_horas]]/Tabela2[[#This Row],[FAF_Var]])</f>
        <v>0</v>
      </c>
      <c r="T187">
        <f>(Tabela2[[#This Row],[CAEC_lanche_entre_refeicoes]]*Tabela2[[#This Row],[FAVC_consumo_frequente_de_alimentos_mt_caloricos]])</f>
        <v>0</v>
      </c>
      <c r="U187" s="1">
        <f>IF(OR(Tabela2[[#This Row],[MTRANS]]="Walking",Tabela2[[#This Row],[MTRANS]]="Bike"),Tabela2[[#This Row],[FAF_atividade_fisica_frequente_em_horas]]+1,M187)</f>
        <v>1</v>
      </c>
      <c r="V187">
        <f>(Tabela2[[#This Row],[SMOKE]]+Tabela2[[#This Row],[CALC_bebe_alcool_frequentemente]])</f>
        <v>1</v>
      </c>
      <c r="W187" s="8">
        <f>(Tabela2[[#This Row],[Weight]]/(Tabela2[[#This Row],[Height]] ^2))</f>
        <v>25.910684346898332</v>
      </c>
    </row>
    <row r="188" spans="1:23" x14ac:dyDescent="0.25">
      <c r="A188" t="s">
        <v>15</v>
      </c>
      <c r="B188" s="7">
        <v>39</v>
      </c>
      <c r="C188" s="4">
        <v>1.78</v>
      </c>
      <c r="D188" s="7">
        <v>96</v>
      </c>
      <c r="E188">
        <v>1</v>
      </c>
      <c r="F188">
        <v>0</v>
      </c>
      <c r="G188" s="2">
        <v>2</v>
      </c>
      <c r="H188" s="2">
        <v>3</v>
      </c>
      <c r="I188">
        <v>1</v>
      </c>
      <c r="J188">
        <v>0</v>
      </c>
      <c r="K188" s="2">
        <v>3</v>
      </c>
      <c r="L188">
        <v>0</v>
      </c>
      <c r="M188" s="7">
        <v>1</v>
      </c>
      <c r="N188" s="7">
        <v>0</v>
      </c>
      <c r="O188">
        <v>2</v>
      </c>
      <c r="P188" t="s">
        <v>17</v>
      </c>
      <c r="Q188">
        <v>4</v>
      </c>
      <c r="R188" s="8">
        <f>(Tabela2[[#This Row],[FAF_atividade_fisica_frequente_em_horas]]+ 0.1)</f>
        <v>1.1000000000000001</v>
      </c>
      <c r="S188" s="1">
        <f>(Tabela2[[#This Row],[TUE_tempo_uso_aparelhos_em_horas]]/Tabela2[[#This Row],[FAF_Var]])</f>
        <v>0</v>
      </c>
      <c r="T188">
        <f>(Tabela2[[#This Row],[CAEC_lanche_entre_refeicoes]]*Tabela2[[#This Row],[FAVC_consumo_frequente_de_alimentos_mt_caloricos]])</f>
        <v>0</v>
      </c>
      <c r="U188" s="1">
        <f>IF(OR(Tabela2[[#This Row],[MTRANS]]="Walking",Tabela2[[#This Row],[MTRANS]]="Bike"),Tabela2[[#This Row],[FAF_atividade_fisica_frequente_em_horas]]+1,M188)</f>
        <v>1</v>
      </c>
      <c r="V188">
        <f>(Tabela2[[#This Row],[SMOKE]]+Tabela2[[#This Row],[CALC_bebe_alcool_frequentemente]])</f>
        <v>2</v>
      </c>
      <c r="W188" s="8">
        <f>(Tabela2[[#This Row],[Weight]]/(Tabela2[[#This Row],[Height]] ^2))</f>
        <v>30.299204645878046</v>
      </c>
    </row>
    <row r="189" spans="1:23" x14ac:dyDescent="0.25">
      <c r="A189" t="s">
        <v>15</v>
      </c>
      <c r="B189" s="7">
        <v>25</v>
      </c>
      <c r="C189" s="4">
        <v>1.78</v>
      </c>
      <c r="D189" s="7">
        <v>98</v>
      </c>
      <c r="E189">
        <v>1</v>
      </c>
      <c r="F189">
        <v>0</v>
      </c>
      <c r="G189" s="2">
        <v>2</v>
      </c>
      <c r="H189" s="2">
        <v>3</v>
      </c>
      <c r="I189">
        <v>1</v>
      </c>
      <c r="J189">
        <v>0</v>
      </c>
      <c r="K189" s="2">
        <v>3</v>
      </c>
      <c r="L189">
        <v>0</v>
      </c>
      <c r="M189" s="7">
        <v>3</v>
      </c>
      <c r="N189" s="7">
        <v>2</v>
      </c>
      <c r="O189">
        <v>0</v>
      </c>
      <c r="P189" t="s">
        <v>14</v>
      </c>
      <c r="Q189">
        <v>4</v>
      </c>
      <c r="R189" s="8">
        <f>(Tabela2[[#This Row],[FAF_atividade_fisica_frequente_em_horas]]+ 0.1)</f>
        <v>3.1</v>
      </c>
      <c r="S189" s="1">
        <f>(Tabela2[[#This Row],[TUE_tempo_uso_aparelhos_em_horas]]/Tabela2[[#This Row],[FAF_Var]])</f>
        <v>0.64516129032258063</v>
      </c>
      <c r="T189">
        <f>(Tabela2[[#This Row],[CAEC_lanche_entre_refeicoes]]*Tabela2[[#This Row],[FAVC_consumo_frequente_de_alimentos_mt_caloricos]])</f>
        <v>0</v>
      </c>
      <c r="U189" s="1">
        <f>IF(OR(Tabela2[[#This Row],[MTRANS]]="Walking",Tabela2[[#This Row],[MTRANS]]="Bike"),Tabela2[[#This Row],[FAF_atividade_fisica_frequente_em_horas]]+1,M189)</f>
        <v>3</v>
      </c>
      <c r="V189">
        <f>(Tabela2[[#This Row],[SMOKE]]+Tabela2[[#This Row],[CALC_bebe_alcool_frequentemente]])</f>
        <v>0</v>
      </c>
      <c r="W189" s="8">
        <f>(Tabela2[[#This Row],[Weight]]/(Tabela2[[#This Row],[Height]] ^2))</f>
        <v>30.930438076000502</v>
      </c>
    </row>
    <row r="190" spans="1:23" x14ac:dyDescent="0.25">
      <c r="A190" t="s">
        <v>15</v>
      </c>
      <c r="B190" s="7">
        <v>35</v>
      </c>
      <c r="C190" s="4">
        <v>1.78</v>
      </c>
      <c r="D190" s="7">
        <v>105</v>
      </c>
      <c r="E190">
        <v>1</v>
      </c>
      <c r="F190">
        <v>1</v>
      </c>
      <c r="G190" s="2">
        <v>3</v>
      </c>
      <c r="H190" s="2">
        <v>1</v>
      </c>
      <c r="I190">
        <v>0</v>
      </c>
      <c r="J190">
        <v>0</v>
      </c>
      <c r="K190" s="2">
        <v>3</v>
      </c>
      <c r="L190">
        <v>0</v>
      </c>
      <c r="M190" s="7">
        <v>3</v>
      </c>
      <c r="N190" s="7">
        <v>1</v>
      </c>
      <c r="O190">
        <v>2</v>
      </c>
      <c r="P190" t="s">
        <v>17</v>
      </c>
      <c r="Q190">
        <v>4</v>
      </c>
      <c r="R190" s="8">
        <f>(Tabela2[[#This Row],[FAF_atividade_fisica_frequente_em_horas]]+ 0.1)</f>
        <v>3.1</v>
      </c>
      <c r="S190" s="1">
        <f>(Tabela2[[#This Row],[TUE_tempo_uso_aparelhos_em_horas]]/Tabela2[[#This Row],[FAF_Var]])</f>
        <v>0.32258064516129031</v>
      </c>
      <c r="T190">
        <f>(Tabela2[[#This Row],[CAEC_lanche_entre_refeicoes]]*Tabela2[[#This Row],[FAVC_consumo_frequente_de_alimentos_mt_caloricos]])</f>
        <v>0</v>
      </c>
      <c r="U190" s="1">
        <f>IF(OR(Tabela2[[#This Row],[MTRANS]]="Walking",Tabela2[[#This Row],[MTRANS]]="Bike"),Tabela2[[#This Row],[FAF_atividade_fisica_frequente_em_horas]]+1,M190)</f>
        <v>3</v>
      </c>
      <c r="V190">
        <f>(Tabela2[[#This Row],[SMOKE]]+Tabela2[[#This Row],[CALC_bebe_alcool_frequentemente]])</f>
        <v>2</v>
      </c>
      <c r="W190" s="8">
        <f>(Tabela2[[#This Row],[Weight]]/(Tabela2[[#This Row],[Height]] ^2))</f>
        <v>33.139755081429108</v>
      </c>
    </row>
    <row r="191" spans="1:23" x14ac:dyDescent="0.25">
      <c r="A191" t="s">
        <v>13</v>
      </c>
      <c r="B191" s="7">
        <v>33</v>
      </c>
      <c r="C191" s="4">
        <v>1.63</v>
      </c>
      <c r="D191" s="7">
        <v>62</v>
      </c>
      <c r="E191">
        <v>1</v>
      </c>
      <c r="F191">
        <v>1</v>
      </c>
      <c r="G191" s="2">
        <v>2</v>
      </c>
      <c r="H191" s="2">
        <v>3</v>
      </c>
      <c r="I191">
        <v>1</v>
      </c>
      <c r="J191">
        <v>0</v>
      </c>
      <c r="K191" s="2">
        <v>2</v>
      </c>
      <c r="L191">
        <v>0</v>
      </c>
      <c r="M191" s="7">
        <v>1</v>
      </c>
      <c r="N191" s="7">
        <v>1</v>
      </c>
      <c r="O191">
        <v>0</v>
      </c>
      <c r="P191" t="s">
        <v>14</v>
      </c>
      <c r="Q191">
        <v>1</v>
      </c>
      <c r="R191" s="8">
        <f>(Tabela2[[#This Row],[FAF_atividade_fisica_frequente_em_horas]]+ 0.1)</f>
        <v>1.1000000000000001</v>
      </c>
      <c r="S191" s="1">
        <f>(Tabela2[[#This Row],[TUE_tempo_uso_aparelhos_em_horas]]/Tabela2[[#This Row],[FAF_Var]])</f>
        <v>0.90909090909090906</v>
      </c>
      <c r="T191">
        <f>(Tabela2[[#This Row],[CAEC_lanche_entre_refeicoes]]*Tabela2[[#This Row],[FAVC_consumo_frequente_de_alimentos_mt_caloricos]])</f>
        <v>1</v>
      </c>
      <c r="U191" s="1">
        <f>IF(OR(Tabela2[[#This Row],[MTRANS]]="Walking",Tabela2[[#This Row],[MTRANS]]="Bike"),Tabela2[[#This Row],[FAF_atividade_fisica_frequente_em_horas]]+1,M191)</f>
        <v>1</v>
      </c>
      <c r="V191">
        <f>(Tabela2[[#This Row],[SMOKE]]+Tabela2[[#This Row],[CALC_bebe_alcool_frequentemente]])</f>
        <v>0</v>
      </c>
      <c r="W191" s="8">
        <f>(Tabela2[[#This Row],[Weight]]/(Tabela2[[#This Row],[Height]] ^2))</f>
        <v>23.335466144755166</v>
      </c>
    </row>
    <row r="192" spans="1:23" x14ac:dyDescent="0.25">
      <c r="A192" t="s">
        <v>15</v>
      </c>
      <c r="B192" s="7">
        <v>20</v>
      </c>
      <c r="C192" s="4">
        <v>1.6</v>
      </c>
      <c r="D192" s="7">
        <v>56</v>
      </c>
      <c r="E192">
        <v>0</v>
      </c>
      <c r="F192">
        <v>1</v>
      </c>
      <c r="G192" s="2">
        <v>2</v>
      </c>
      <c r="H192" s="2">
        <v>3</v>
      </c>
      <c r="I192">
        <v>1</v>
      </c>
      <c r="J192">
        <v>0</v>
      </c>
      <c r="K192" s="2">
        <v>2</v>
      </c>
      <c r="L192">
        <v>0</v>
      </c>
      <c r="M192" s="7">
        <v>1</v>
      </c>
      <c r="N192" s="7">
        <v>0</v>
      </c>
      <c r="O192">
        <v>1</v>
      </c>
      <c r="P192" t="s">
        <v>14</v>
      </c>
      <c r="Q192">
        <v>1</v>
      </c>
      <c r="R192" s="8">
        <f>(Tabela2[[#This Row],[FAF_atividade_fisica_frequente_em_horas]]+ 0.1)</f>
        <v>1.1000000000000001</v>
      </c>
      <c r="S192" s="1">
        <f>(Tabela2[[#This Row],[TUE_tempo_uso_aparelhos_em_horas]]/Tabela2[[#This Row],[FAF_Var]])</f>
        <v>0</v>
      </c>
      <c r="T192">
        <f>(Tabela2[[#This Row],[CAEC_lanche_entre_refeicoes]]*Tabela2[[#This Row],[FAVC_consumo_frequente_de_alimentos_mt_caloricos]])</f>
        <v>1</v>
      </c>
      <c r="U192" s="1">
        <f>IF(OR(Tabela2[[#This Row],[MTRANS]]="Walking",Tabela2[[#This Row],[MTRANS]]="Bike"),Tabela2[[#This Row],[FAF_atividade_fisica_frequente_em_horas]]+1,M192)</f>
        <v>1</v>
      </c>
      <c r="V192">
        <f>(Tabela2[[#This Row],[SMOKE]]+Tabela2[[#This Row],[CALC_bebe_alcool_frequentemente]])</f>
        <v>1</v>
      </c>
      <c r="W192" s="8">
        <f>(Tabela2[[#This Row],[Weight]]/(Tabela2[[#This Row],[Height]] ^2))</f>
        <v>21.874999999999996</v>
      </c>
    </row>
    <row r="193" spans="1:23" x14ac:dyDescent="0.25">
      <c r="A193" t="s">
        <v>15</v>
      </c>
      <c r="B193" s="7">
        <v>26</v>
      </c>
      <c r="C193" s="4">
        <v>1.75</v>
      </c>
      <c r="D193" s="7">
        <v>80</v>
      </c>
      <c r="E193">
        <v>1</v>
      </c>
      <c r="F193">
        <v>1</v>
      </c>
      <c r="G193" s="2">
        <v>3</v>
      </c>
      <c r="H193" s="2">
        <v>1</v>
      </c>
      <c r="I193">
        <v>2</v>
      </c>
      <c r="J193">
        <v>1</v>
      </c>
      <c r="K193" s="2">
        <v>2</v>
      </c>
      <c r="L193">
        <v>1</v>
      </c>
      <c r="M193" s="7">
        <v>2</v>
      </c>
      <c r="N193" s="7">
        <v>0</v>
      </c>
      <c r="O193">
        <v>1</v>
      </c>
      <c r="P193" t="s">
        <v>14</v>
      </c>
      <c r="Q193">
        <v>2</v>
      </c>
      <c r="R193" s="8">
        <f>(Tabela2[[#This Row],[FAF_atividade_fisica_frequente_em_horas]]+ 0.1)</f>
        <v>2.1</v>
      </c>
      <c r="S193" s="1">
        <f>(Tabela2[[#This Row],[TUE_tempo_uso_aparelhos_em_horas]]/Tabela2[[#This Row],[FAF_Var]])</f>
        <v>0</v>
      </c>
      <c r="T193">
        <f>(Tabela2[[#This Row],[CAEC_lanche_entre_refeicoes]]*Tabela2[[#This Row],[FAVC_consumo_frequente_de_alimentos_mt_caloricos]])</f>
        <v>2</v>
      </c>
      <c r="U193" s="1">
        <f>IF(OR(Tabela2[[#This Row],[MTRANS]]="Walking",Tabela2[[#This Row],[MTRANS]]="Bike"),Tabela2[[#This Row],[FAF_atividade_fisica_frequente_em_horas]]+1,M193)</f>
        <v>2</v>
      </c>
      <c r="V193">
        <f>(Tabela2[[#This Row],[SMOKE]]+Tabela2[[#This Row],[CALC_bebe_alcool_frequentemente]])</f>
        <v>2</v>
      </c>
      <c r="W193" s="8">
        <f>(Tabela2[[#This Row],[Weight]]/(Tabela2[[#This Row],[Height]] ^2))</f>
        <v>26.122448979591837</v>
      </c>
    </row>
    <row r="194" spans="1:23" x14ac:dyDescent="0.25">
      <c r="A194" t="s">
        <v>15</v>
      </c>
      <c r="B194" s="7">
        <v>20</v>
      </c>
      <c r="C194" s="4">
        <v>1.83</v>
      </c>
      <c r="D194" s="7">
        <v>85</v>
      </c>
      <c r="E194">
        <v>1</v>
      </c>
      <c r="F194">
        <v>0</v>
      </c>
      <c r="G194" s="2">
        <v>3</v>
      </c>
      <c r="H194" s="2">
        <v>3</v>
      </c>
      <c r="I194">
        <v>1</v>
      </c>
      <c r="J194">
        <v>0</v>
      </c>
      <c r="K194" s="2">
        <v>3</v>
      </c>
      <c r="L194">
        <v>1</v>
      </c>
      <c r="M194" s="7">
        <v>3</v>
      </c>
      <c r="N194" s="7">
        <v>0</v>
      </c>
      <c r="O194">
        <v>1</v>
      </c>
      <c r="P194" t="s">
        <v>17</v>
      </c>
      <c r="Q194">
        <v>2</v>
      </c>
      <c r="R194" s="8">
        <f>(Tabela2[[#This Row],[FAF_atividade_fisica_frequente_em_horas]]+ 0.1)</f>
        <v>3.1</v>
      </c>
      <c r="S194" s="1">
        <f>(Tabela2[[#This Row],[TUE_tempo_uso_aparelhos_em_horas]]/Tabela2[[#This Row],[FAF_Var]])</f>
        <v>0</v>
      </c>
      <c r="T194">
        <f>(Tabela2[[#This Row],[CAEC_lanche_entre_refeicoes]]*Tabela2[[#This Row],[FAVC_consumo_frequente_de_alimentos_mt_caloricos]])</f>
        <v>0</v>
      </c>
      <c r="U194" s="1">
        <f>IF(OR(Tabela2[[#This Row],[MTRANS]]="Walking",Tabela2[[#This Row],[MTRANS]]="Bike"),Tabela2[[#This Row],[FAF_atividade_fisica_frequente_em_horas]]+1,M194)</f>
        <v>3</v>
      </c>
      <c r="V194">
        <f>(Tabela2[[#This Row],[SMOKE]]+Tabela2[[#This Row],[CALC_bebe_alcool_frequentemente]])</f>
        <v>1</v>
      </c>
      <c r="W194" s="8">
        <f>(Tabela2[[#This Row],[Weight]]/(Tabela2[[#This Row],[Height]] ^2))</f>
        <v>25.381468541909282</v>
      </c>
    </row>
    <row r="195" spans="1:23" x14ac:dyDescent="0.25">
      <c r="A195" t="s">
        <v>15</v>
      </c>
      <c r="B195" s="7">
        <v>20</v>
      </c>
      <c r="C195" s="4">
        <v>1.78</v>
      </c>
      <c r="D195" s="7">
        <v>68</v>
      </c>
      <c r="E195">
        <v>0</v>
      </c>
      <c r="F195">
        <v>0</v>
      </c>
      <c r="G195" s="2">
        <v>2</v>
      </c>
      <c r="H195" s="2">
        <v>1</v>
      </c>
      <c r="I195">
        <v>2</v>
      </c>
      <c r="J195">
        <v>0</v>
      </c>
      <c r="K195" s="2">
        <v>3</v>
      </c>
      <c r="L195">
        <v>1</v>
      </c>
      <c r="M195" s="7">
        <v>2</v>
      </c>
      <c r="N195" s="7">
        <v>1</v>
      </c>
      <c r="O195">
        <v>0</v>
      </c>
      <c r="P195" t="s">
        <v>14</v>
      </c>
      <c r="Q195">
        <v>1</v>
      </c>
      <c r="R195" s="8">
        <f>(Tabela2[[#This Row],[FAF_atividade_fisica_frequente_em_horas]]+ 0.1)</f>
        <v>2.1</v>
      </c>
      <c r="S195" s="1">
        <f>(Tabela2[[#This Row],[TUE_tempo_uso_aparelhos_em_horas]]/Tabela2[[#This Row],[FAF_Var]])</f>
        <v>0.47619047619047616</v>
      </c>
      <c r="T195">
        <f>(Tabela2[[#This Row],[CAEC_lanche_entre_refeicoes]]*Tabela2[[#This Row],[FAVC_consumo_frequente_de_alimentos_mt_caloricos]])</f>
        <v>0</v>
      </c>
      <c r="U195" s="1">
        <f>IF(OR(Tabela2[[#This Row],[MTRANS]]="Walking",Tabela2[[#This Row],[MTRANS]]="Bike"),Tabela2[[#This Row],[FAF_atividade_fisica_frequente_em_horas]]+1,M195)</f>
        <v>2</v>
      </c>
      <c r="V195">
        <f>(Tabela2[[#This Row],[SMOKE]]+Tabela2[[#This Row],[CALC_bebe_alcool_frequentemente]])</f>
        <v>0</v>
      </c>
      <c r="W195" s="8">
        <f>(Tabela2[[#This Row],[Weight]]/(Tabela2[[#This Row],[Height]] ^2))</f>
        <v>21.461936624163616</v>
      </c>
    </row>
    <row r="196" spans="1:23" x14ac:dyDescent="0.25">
      <c r="A196" t="s">
        <v>13</v>
      </c>
      <c r="B196" s="7">
        <v>23</v>
      </c>
      <c r="C196" s="4">
        <v>1.6</v>
      </c>
      <c r="D196" s="7">
        <v>83</v>
      </c>
      <c r="E196">
        <v>1</v>
      </c>
      <c r="F196">
        <v>1</v>
      </c>
      <c r="G196" s="2">
        <v>3</v>
      </c>
      <c r="H196" s="2">
        <v>3</v>
      </c>
      <c r="I196">
        <v>2</v>
      </c>
      <c r="J196">
        <v>0</v>
      </c>
      <c r="K196" s="2">
        <v>3</v>
      </c>
      <c r="L196">
        <v>0</v>
      </c>
      <c r="M196" s="7">
        <v>3</v>
      </c>
      <c r="N196" s="7">
        <v>0</v>
      </c>
      <c r="O196">
        <v>0</v>
      </c>
      <c r="P196" t="s">
        <v>14</v>
      </c>
      <c r="Q196">
        <v>4</v>
      </c>
      <c r="R196" s="8">
        <f>(Tabela2[[#This Row],[FAF_atividade_fisica_frequente_em_horas]]+ 0.1)</f>
        <v>3.1</v>
      </c>
      <c r="S196" s="1">
        <f>(Tabela2[[#This Row],[TUE_tempo_uso_aparelhos_em_horas]]/Tabela2[[#This Row],[FAF_Var]])</f>
        <v>0</v>
      </c>
      <c r="T196">
        <f>(Tabela2[[#This Row],[CAEC_lanche_entre_refeicoes]]*Tabela2[[#This Row],[FAVC_consumo_frequente_de_alimentos_mt_caloricos]])</f>
        <v>2</v>
      </c>
      <c r="U196" s="1">
        <f>IF(OR(Tabela2[[#This Row],[MTRANS]]="Walking",Tabela2[[#This Row],[MTRANS]]="Bike"),Tabela2[[#This Row],[FAF_atividade_fisica_frequente_em_horas]]+1,M196)</f>
        <v>3</v>
      </c>
      <c r="V196">
        <f>(Tabela2[[#This Row],[SMOKE]]+Tabela2[[#This Row],[CALC_bebe_alcool_frequentemente]])</f>
        <v>0</v>
      </c>
      <c r="W196" s="8">
        <f>(Tabela2[[#This Row],[Weight]]/(Tabela2[[#This Row],[Height]] ^2))</f>
        <v>32.421874999999993</v>
      </c>
    </row>
    <row r="197" spans="1:23" x14ac:dyDescent="0.25">
      <c r="A197" t="s">
        <v>15</v>
      </c>
      <c r="B197" s="7">
        <v>19</v>
      </c>
      <c r="C197" s="4">
        <v>1.8</v>
      </c>
      <c r="D197" s="7">
        <v>85</v>
      </c>
      <c r="E197">
        <v>1</v>
      </c>
      <c r="F197">
        <v>1</v>
      </c>
      <c r="G197" s="2">
        <v>3</v>
      </c>
      <c r="H197" s="2">
        <v>3</v>
      </c>
      <c r="I197">
        <v>1</v>
      </c>
      <c r="J197">
        <v>0</v>
      </c>
      <c r="K197" s="2">
        <v>2</v>
      </c>
      <c r="L197">
        <v>0</v>
      </c>
      <c r="M197" s="7">
        <v>1</v>
      </c>
      <c r="N197" s="7">
        <v>1</v>
      </c>
      <c r="O197">
        <v>1</v>
      </c>
      <c r="P197" t="s">
        <v>16</v>
      </c>
      <c r="Q197">
        <v>2</v>
      </c>
      <c r="R197" s="8">
        <f>(Tabela2[[#This Row],[FAF_atividade_fisica_frequente_em_horas]]+ 0.1)</f>
        <v>1.1000000000000001</v>
      </c>
      <c r="S197" s="1">
        <f>(Tabela2[[#This Row],[TUE_tempo_uso_aparelhos_em_horas]]/Tabela2[[#This Row],[FAF_Var]])</f>
        <v>0.90909090909090906</v>
      </c>
      <c r="T197">
        <f>(Tabela2[[#This Row],[CAEC_lanche_entre_refeicoes]]*Tabela2[[#This Row],[FAVC_consumo_frequente_de_alimentos_mt_caloricos]])</f>
        <v>1</v>
      </c>
      <c r="U197" s="1">
        <f>IF(OR(Tabela2[[#This Row],[MTRANS]]="Walking",Tabela2[[#This Row],[MTRANS]]="Bike"),Tabela2[[#This Row],[FAF_atividade_fisica_frequente_em_horas]]+1,M197)</f>
        <v>2</v>
      </c>
      <c r="V197">
        <f>(Tabela2[[#This Row],[SMOKE]]+Tabela2[[#This Row],[CALC_bebe_alcool_frequentemente]])</f>
        <v>1</v>
      </c>
      <c r="W197" s="8">
        <f>(Tabela2[[#This Row],[Weight]]/(Tabela2[[#This Row],[Height]] ^2))</f>
        <v>26.234567901234566</v>
      </c>
    </row>
    <row r="198" spans="1:23" x14ac:dyDescent="0.25">
      <c r="A198" t="s">
        <v>15</v>
      </c>
      <c r="B198" s="7">
        <v>22</v>
      </c>
      <c r="C198" s="4">
        <v>1.75</v>
      </c>
      <c r="D198" s="7">
        <v>74</v>
      </c>
      <c r="E198">
        <v>1</v>
      </c>
      <c r="F198">
        <v>0</v>
      </c>
      <c r="G198" s="2">
        <v>2</v>
      </c>
      <c r="H198" s="2">
        <v>3</v>
      </c>
      <c r="I198">
        <v>1</v>
      </c>
      <c r="J198">
        <v>0</v>
      </c>
      <c r="K198" s="2">
        <v>2</v>
      </c>
      <c r="L198">
        <v>0</v>
      </c>
      <c r="M198" s="7">
        <v>1</v>
      </c>
      <c r="N198" s="7">
        <v>2</v>
      </c>
      <c r="O198">
        <v>1</v>
      </c>
      <c r="P198" t="s">
        <v>19</v>
      </c>
      <c r="Q198">
        <v>1</v>
      </c>
      <c r="R198" s="8">
        <f>(Tabela2[[#This Row],[FAF_atividade_fisica_frequente_em_horas]]+ 0.1)</f>
        <v>1.1000000000000001</v>
      </c>
      <c r="S198" s="1">
        <f>(Tabela2[[#This Row],[TUE_tempo_uso_aparelhos_em_horas]]/Tabela2[[#This Row],[FAF_Var]])</f>
        <v>1.8181818181818181</v>
      </c>
      <c r="T198">
        <f>(Tabela2[[#This Row],[CAEC_lanche_entre_refeicoes]]*Tabela2[[#This Row],[FAVC_consumo_frequente_de_alimentos_mt_caloricos]])</f>
        <v>0</v>
      </c>
      <c r="U198" s="1">
        <f>IF(OR(Tabela2[[#This Row],[MTRANS]]="Walking",Tabela2[[#This Row],[MTRANS]]="Bike"),Tabela2[[#This Row],[FAF_atividade_fisica_frequente_em_horas]]+1,M198)</f>
        <v>2</v>
      </c>
      <c r="V198">
        <f>(Tabela2[[#This Row],[SMOKE]]+Tabela2[[#This Row],[CALC_bebe_alcool_frequentemente]])</f>
        <v>1</v>
      </c>
      <c r="W198" s="8">
        <f>(Tabela2[[#This Row],[Weight]]/(Tabela2[[#This Row],[Height]] ^2))</f>
        <v>24.163265306122447</v>
      </c>
    </row>
    <row r="199" spans="1:23" x14ac:dyDescent="0.25">
      <c r="A199" t="s">
        <v>15</v>
      </c>
      <c r="B199" s="7">
        <v>41</v>
      </c>
      <c r="C199" s="4">
        <v>1.75</v>
      </c>
      <c r="D199" s="7">
        <v>118</v>
      </c>
      <c r="E199">
        <v>1</v>
      </c>
      <c r="F199">
        <v>1</v>
      </c>
      <c r="G199" s="2">
        <v>2</v>
      </c>
      <c r="H199" s="2">
        <v>3</v>
      </c>
      <c r="I199">
        <v>1</v>
      </c>
      <c r="J199">
        <v>0</v>
      </c>
      <c r="K199" s="2">
        <v>2</v>
      </c>
      <c r="L199">
        <v>0</v>
      </c>
      <c r="M199" s="7">
        <v>0</v>
      </c>
      <c r="N199" s="7">
        <v>0</v>
      </c>
      <c r="O199">
        <v>1</v>
      </c>
      <c r="P199" t="s">
        <v>19</v>
      </c>
      <c r="Q199">
        <v>5</v>
      </c>
      <c r="R199" s="8">
        <f>(Tabela2[[#This Row],[FAF_atividade_fisica_frequente_em_horas]]+ 0.1)</f>
        <v>0.1</v>
      </c>
      <c r="S199" s="1">
        <f>(Tabela2[[#This Row],[TUE_tempo_uso_aparelhos_em_horas]]/Tabela2[[#This Row],[FAF_Var]])</f>
        <v>0</v>
      </c>
      <c r="T199">
        <f>(Tabela2[[#This Row],[CAEC_lanche_entre_refeicoes]]*Tabela2[[#This Row],[FAVC_consumo_frequente_de_alimentos_mt_caloricos]])</f>
        <v>1</v>
      </c>
      <c r="U199" s="1">
        <f>IF(OR(Tabela2[[#This Row],[MTRANS]]="Walking",Tabela2[[#This Row],[MTRANS]]="Bike"),Tabela2[[#This Row],[FAF_atividade_fisica_frequente_em_horas]]+1,M199)</f>
        <v>1</v>
      </c>
      <c r="V199">
        <f>(Tabela2[[#This Row],[SMOKE]]+Tabela2[[#This Row],[CALC_bebe_alcool_frequentemente]])</f>
        <v>1</v>
      </c>
      <c r="W199" s="8">
        <f>(Tabela2[[#This Row],[Weight]]/(Tabela2[[#This Row],[Height]] ^2))</f>
        <v>38.530612244897959</v>
      </c>
    </row>
    <row r="200" spans="1:23" x14ac:dyDescent="0.25">
      <c r="A200" t="s">
        <v>13</v>
      </c>
      <c r="B200" s="7">
        <v>18</v>
      </c>
      <c r="C200" s="4">
        <v>1.59</v>
      </c>
      <c r="D200" s="7">
        <v>40</v>
      </c>
      <c r="E200">
        <v>1</v>
      </c>
      <c r="F200">
        <v>1</v>
      </c>
      <c r="G200" s="2">
        <v>2</v>
      </c>
      <c r="H200" s="2">
        <v>1</v>
      </c>
      <c r="I200">
        <v>2</v>
      </c>
      <c r="J200">
        <v>0</v>
      </c>
      <c r="K200" s="2">
        <v>1</v>
      </c>
      <c r="L200">
        <v>0</v>
      </c>
      <c r="M200" s="7">
        <v>0</v>
      </c>
      <c r="N200" s="7">
        <v>2</v>
      </c>
      <c r="O200">
        <v>0</v>
      </c>
      <c r="P200" t="s">
        <v>14</v>
      </c>
      <c r="Q200">
        <v>0</v>
      </c>
      <c r="R200" s="8">
        <f>(Tabela2[[#This Row],[FAF_atividade_fisica_frequente_em_horas]]+ 0.1)</f>
        <v>0.1</v>
      </c>
      <c r="S200" s="1">
        <f>(Tabela2[[#This Row],[TUE_tempo_uso_aparelhos_em_horas]]/Tabela2[[#This Row],[FAF_Var]])</f>
        <v>20</v>
      </c>
      <c r="T200">
        <f>(Tabela2[[#This Row],[CAEC_lanche_entre_refeicoes]]*Tabela2[[#This Row],[FAVC_consumo_frequente_de_alimentos_mt_caloricos]])</f>
        <v>2</v>
      </c>
      <c r="U200" s="1">
        <f>IF(OR(Tabela2[[#This Row],[MTRANS]]="Walking",Tabela2[[#This Row],[MTRANS]]="Bike"),Tabela2[[#This Row],[FAF_atividade_fisica_frequente_em_horas]]+1,M200)</f>
        <v>0</v>
      </c>
      <c r="V200">
        <f>(Tabela2[[#This Row],[SMOKE]]+Tabela2[[#This Row],[CALC_bebe_alcool_frequentemente]])</f>
        <v>0</v>
      </c>
      <c r="W200" s="8">
        <f>(Tabela2[[#This Row],[Weight]]/(Tabela2[[#This Row],[Height]] ^2))</f>
        <v>15.822158933586486</v>
      </c>
    </row>
    <row r="201" spans="1:23" x14ac:dyDescent="0.25">
      <c r="A201" t="s">
        <v>13</v>
      </c>
      <c r="B201" s="7">
        <v>23</v>
      </c>
      <c r="C201" s="4">
        <v>1.66</v>
      </c>
      <c r="D201" s="7">
        <v>60</v>
      </c>
      <c r="E201">
        <v>1</v>
      </c>
      <c r="F201">
        <v>1</v>
      </c>
      <c r="G201" s="2">
        <v>2</v>
      </c>
      <c r="H201" s="2">
        <v>1</v>
      </c>
      <c r="I201">
        <v>1</v>
      </c>
      <c r="J201">
        <v>0</v>
      </c>
      <c r="K201" s="2">
        <v>1</v>
      </c>
      <c r="L201">
        <v>0</v>
      </c>
      <c r="M201" s="7">
        <v>1</v>
      </c>
      <c r="N201" s="7">
        <v>1</v>
      </c>
      <c r="O201">
        <v>1</v>
      </c>
      <c r="P201" t="s">
        <v>14</v>
      </c>
      <c r="Q201">
        <v>1</v>
      </c>
      <c r="R201" s="8">
        <f>(Tabela2[[#This Row],[FAF_atividade_fisica_frequente_em_horas]]+ 0.1)</f>
        <v>1.1000000000000001</v>
      </c>
      <c r="S201" s="1">
        <f>(Tabela2[[#This Row],[TUE_tempo_uso_aparelhos_em_horas]]/Tabela2[[#This Row],[FAF_Var]])</f>
        <v>0.90909090909090906</v>
      </c>
      <c r="T201">
        <f>(Tabela2[[#This Row],[CAEC_lanche_entre_refeicoes]]*Tabela2[[#This Row],[FAVC_consumo_frequente_de_alimentos_mt_caloricos]])</f>
        <v>1</v>
      </c>
      <c r="U201" s="1">
        <f>IF(OR(Tabela2[[#This Row],[MTRANS]]="Walking",Tabela2[[#This Row],[MTRANS]]="Bike"),Tabela2[[#This Row],[FAF_atividade_fisica_frequente_em_horas]]+1,M201)</f>
        <v>1</v>
      </c>
      <c r="V201">
        <f>(Tabela2[[#This Row],[SMOKE]]+Tabela2[[#This Row],[CALC_bebe_alcool_frequentemente]])</f>
        <v>1</v>
      </c>
      <c r="W201" s="8">
        <f>(Tabela2[[#This Row],[Weight]]/(Tabela2[[#This Row],[Height]] ^2))</f>
        <v>21.773842357381334</v>
      </c>
    </row>
    <row r="202" spans="1:23" x14ac:dyDescent="0.25">
      <c r="A202" t="s">
        <v>13</v>
      </c>
      <c r="B202" s="7">
        <v>23</v>
      </c>
      <c r="C202" s="4">
        <v>1.63</v>
      </c>
      <c r="D202" s="7">
        <v>83</v>
      </c>
      <c r="E202">
        <v>1</v>
      </c>
      <c r="F202">
        <v>0</v>
      </c>
      <c r="G202" s="2">
        <v>3</v>
      </c>
      <c r="H202" s="2">
        <v>1</v>
      </c>
      <c r="I202">
        <v>1</v>
      </c>
      <c r="J202">
        <v>1</v>
      </c>
      <c r="K202" s="2">
        <v>3</v>
      </c>
      <c r="L202">
        <v>0</v>
      </c>
      <c r="M202" s="7">
        <v>1</v>
      </c>
      <c r="N202" s="7">
        <v>2</v>
      </c>
      <c r="O202">
        <v>1</v>
      </c>
      <c r="P202" t="s">
        <v>14</v>
      </c>
      <c r="Q202">
        <v>4</v>
      </c>
      <c r="R202" s="8">
        <f>(Tabela2[[#This Row],[FAF_atividade_fisica_frequente_em_horas]]+ 0.1)</f>
        <v>1.1000000000000001</v>
      </c>
      <c r="S202" s="1">
        <f>(Tabela2[[#This Row],[TUE_tempo_uso_aparelhos_em_horas]]/Tabela2[[#This Row],[FAF_Var]])</f>
        <v>1.8181818181818181</v>
      </c>
      <c r="T202">
        <f>(Tabela2[[#This Row],[CAEC_lanche_entre_refeicoes]]*Tabela2[[#This Row],[FAVC_consumo_frequente_de_alimentos_mt_caloricos]])</f>
        <v>0</v>
      </c>
      <c r="U202" s="1">
        <f>IF(OR(Tabela2[[#This Row],[MTRANS]]="Walking",Tabela2[[#This Row],[MTRANS]]="Bike"),Tabela2[[#This Row],[FAF_atividade_fisica_frequente_em_horas]]+1,M202)</f>
        <v>1</v>
      </c>
      <c r="V202">
        <f>(Tabela2[[#This Row],[SMOKE]]+Tabela2[[#This Row],[CALC_bebe_alcool_frequentemente]])</f>
        <v>2</v>
      </c>
      <c r="W202" s="8">
        <f>(Tabela2[[#This Row],[Weight]]/(Tabela2[[#This Row],[Height]] ^2))</f>
        <v>31.239414355075468</v>
      </c>
    </row>
    <row r="203" spans="1:23" x14ac:dyDescent="0.25">
      <c r="A203" t="s">
        <v>13</v>
      </c>
      <c r="B203" s="7">
        <v>41</v>
      </c>
      <c r="C203" s="4">
        <v>1.54</v>
      </c>
      <c r="D203" s="7">
        <v>80</v>
      </c>
      <c r="E203">
        <v>1</v>
      </c>
      <c r="F203">
        <v>1</v>
      </c>
      <c r="G203" s="2">
        <v>2</v>
      </c>
      <c r="H203" s="2">
        <v>3</v>
      </c>
      <c r="I203">
        <v>3</v>
      </c>
      <c r="J203">
        <v>0</v>
      </c>
      <c r="K203" s="2">
        <v>1</v>
      </c>
      <c r="L203">
        <v>0</v>
      </c>
      <c r="M203" s="7">
        <v>0</v>
      </c>
      <c r="N203" s="7">
        <v>0</v>
      </c>
      <c r="O203">
        <v>1</v>
      </c>
      <c r="P203" t="s">
        <v>17</v>
      </c>
      <c r="Q203">
        <v>4</v>
      </c>
      <c r="R203" s="8">
        <f>(Tabela2[[#This Row],[FAF_atividade_fisica_frequente_em_horas]]+ 0.1)</f>
        <v>0.1</v>
      </c>
      <c r="S203" s="1">
        <f>(Tabela2[[#This Row],[TUE_tempo_uso_aparelhos_em_horas]]/Tabela2[[#This Row],[FAF_Var]])</f>
        <v>0</v>
      </c>
      <c r="T203">
        <f>(Tabela2[[#This Row],[CAEC_lanche_entre_refeicoes]]*Tabela2[[#This Row],[FAVC_consumo_frequente_de_alimentos_mt_caloricos]])</f>
        <v>3</v>
      </c>
      <c r="U203" s="1">
        <f>IF(OR(Tabela2[[#This Row],[MTRANS]]="Walking",Tabela2[[#This Row],[MTRANS]]="Bike"),Tabela2[[#This Row],[FAF_atividade_fisica_frequente_em_horas]]+1,M203)</f>
        <v>0</v>
      </c>
      <c r="V203">
        <f>(Tabela2[[#This Row],[SMOKE]]+Tabela2[[#This Row],[CALC_bebe_alcool_frequentemente]])</f>
        <v>1</v>
      </c>
      <c r="W203" s="8">
        <f>(Tabela2[[#This Row],[Weight]]/(Tabela2[[#This Row],[Height]] ^2))</f>
        <v>33.732501264968796</v>
      </c>
    </row>
    <row r="204" spans="1:23" x14ac:dyDescent="0.25">
      <c r="A204" t="s">
        <v>13</v>
      </c>
      <c r="B204" s="7">
        <v>26</v>
      </c>
      <c r="C204" s="4">
        <v>1.56</v>
      </c>
      <c r="D204" s="7">
        <v>102</v>
      </c>
      <c r="E204">
        <v>1</v>
      </c>
      <c r="F204">
        <v>1</v>
      </c>
      <c r="G204" s="2">
        <v>3</v>
      </c>
      <c r="H204" s="2">
        <v>3</v>
      </c>
      <c r="I204">
        <v>1</v>
      </c>
      <c r="J204">
        <v>1</v>
      </c>
      <c r="K204" s="2">
        <v>1</v>
      </c>
      <c r="L204">
        <v>0</v>
      </c>
      <c r="M204" s="7">
        <v>0</v>
      </c>
      <c r="N204" s="7">
        <v>1</v>
      </c>
      <c r="O204">
        <v>1</v>
      </c>
      <c r="P204" t="s">
        <v>14</v>
      </c>
      <c r="Q204">
        <v>6</v>
      </c>
      <c r="R204" s="8">
        <f>(Tabela2[[#This Row],[FAF_atividade_fisica_frequente_em_horas]]+ 0.1)</f>
        <v>0.1</v>
      </c>
      <c r="S204" s="1">
        <f>(Tabela2[[#This Row],[TUE_tempo_uso_aparelhos_em_horas]]/Tabela2[[#This Row],[FAF_Var]])</f>
        <v>10</v>
      </c>
      <c r="T204">
        <f>(Tabela2[[#This Row],[CAEC_lanche_entre_refeicoes]]*Tabela2[[#This Row],[FAVC_consumo_frequente_de_alimentos_mt_caloricos]])</f>
        <v>1</v>
      </c>
      <c r="U204" s="1">
        <f>IF(OR(Tabela2[[#This Row],[MTRANS]]="Walking",Tabela2[[#This Row],[MTRANS]]="Bike"),Tabela2[[#This Row],[FAF_atividade_fisica_frequente_em_horas]]+1,M204)</f>
        <v>0</v>
      </c>
      <c r="V204">
        <f>(Tabela2[[#This Row],[SMOKE]]+Tabela2[[#This Row],[CALC_bebe_alcool_frequentemente]])</f>
        <v>2</v>
      </c>
      <c r="W204" s="8">
        <f>(Tabela2[[#This Row],[Weight]]/(Tabela2[[#This Row],[Height]] ^2))</f>
        <v>41.913214990138066</v>
      </c>
    </row>
    <row r="205" spans="1:23" x14ac:dyDescent="0.25">
      <c r="A205" t="s">
        <v>15</v>
      </c>
      <c r="B205" s="7">
        <v>29</v>
      </c>
      <c r="C205" s="4">
        <v>1.69</v>
      </c>
      <c r="D205" s="7">
        <v>90</v>
      </c>
      <c r="E205">
        <v>1</v>
      </c>
      <c r="F205">
        <v>0</v>
      </c>
      <c r="G205" s="2">
        <v>2</v>
      </c>
      <c r="H205" s="2">
        <v>3</v>
      </c>
      <c r="I205">
        <v>1</v>
      </c>
      <c r="J205">
        <v>0</v>
      </c>
      <c r="K205" s="2">
        <v>3</v>
      </c>
      <c r="L205">
        <v>0</v>
      </c>
      <c r="M205" s="7">
        <v>1</v>
      </c>
      <c r="N205" s="7">
        <v>0</v>
      </c>
      <c r="O205">
        <v>1</v>
      </c>
      <c r="P205" t="s">
        <v>17</v>
      </c>
      <c r="Q205">
        <v>4</v>
      </c>
      <c r="R205" s="8">
        <f>(Tabela2[[#This Row],[FAF_atividade_fisica_frequente_em_horas]]+ 0.1)</f>
        <v>1.1000000000000001</v>
      </c>
      <c r="S205" s="1">
        <f>(Tabela2[[#This Row],[TUE_tempo_uso_aparelhos_em_horas]]/Tabela2[[#This Row],[FAF_Var]])</f>
        <v>0</v>
      </c>
      <c r="T205">
        <f>(Tabela2[[#This Row],[CAEC_lanche_entre_refeicoes]]*Tabela2[[#This Row],[FAVC_consumo_frequente_de_alimentos_mt_caloricos]])</f>
        <v>0</v>
      </c>
      <c r="U205" s="1">
        <f>IF(OR(Tabela2[[#This Row],[MTRANS]]="Walking",Tabela2[[#This Row],[MTRANS]]="Bike"),Tabela2[[#This Row],[FAF_atividade_fisica_frequente_em_horas]]+1,M205)</f>
        <v>1</v>
      </c>
      <c r="V205">
        <f>(Tabela2[[#This Row],[SMOKE]]+Tabela2[[#This Row],[CALC_bebe_alcool_frequentemente]])</f>
        <v>1</v>
      </c>
      <c r="W205" s="8">
        <f>(Tabela2[[#This Row],[Weight]]/(Tabela2[[#This Row],[Height]] ^2))</f>
        <v>31.511501698119819</v>
      </c>
    </row>
    <row r="206" spans="1:23" x14ac:dyDescent="0.25">
      <c r="A206" t="s">
        <v>15</v>
      </c>
      <c r="B206" s="7">
        <v>27</v>
      </c>
      <c r="C206" s="4">
        <v>1.83</v>
      </c>
      <c r="D206" s="7">
        <v>71</v>
      </c>
      <c r="E206">
        <v>1</v>
      </c>
      <c r="F206">
        <v>1</v>
      </c>
      <c r="G206" s="2">
        <v>2</v>
      </c>
      <c r="H206" s="2">
        <v>3</v>
      </c>
      <c r="I206">
        <v>1</v>
      </c>
      <c r="J206">
        <v>0</v>
      </c>
      <c r="K206" s="2">
        <v>2</v>
      </c>
      <c r="L206">
        <v>0</v>
      </c>
      <c r="M206" s="7">
        <v>3</v>
      </c>
      <c r="N206" s="7">
        <v>2</v>
      </c>
      <c r="O206">
        <v>0</v>
      </c>
      <c r="P206" t="s">
        <v>17</v>
      </c>
      <c r="Q206">
        <v>1</v>
      </c>
      <c r="R206" s="8">
        <f>(Tabela2[[#This Row],[FAF_atividade_fisica_frequente_em_horas]]+ 0.1)</f>
        <v>3.1</v>
      </c>
      <c r="S206" s="1">
        <f>(Tabela2[[#This Row],[TUE_tempo_uso_aparelhos_em_horas]]/Tabela2[[#This Row],[FAF_Var]])</f>
        <v>0.64516129032258063</v>
      </c>
      <c r="T206">
        <f>(Tabela2[[#This Row],[CAEC_lanche_entre_refeicoes]]*Tabela2[[#This Row],[FAVC_consumo_frequente_de_alimentos_mt_caloricos]])</f>
        <v>1</v>
      </c>
      <c r="U206" s="1">
        <f>IF(OR(Tabela2[[#This Row],[MTRANS]]="Walking",Tabela2[[#This Row],[MTRANS]]="Bike"),Tabela2[[#This Row],[FAF_atividade_fisica_frequente_em_horas]]+1,M206)</f>
        <v>3</v>
      </c>
      <c r="V206">
        <f>(Tabela2[[#This Row],[SMOKE]]+Tabela2[[#This Row],[CALC_bebe_alcool_frequentemente]])</f>
        <v>0</v>
      </c>
      <c r="W206" s="8">
        <f>(Tabela2[[#This Row],[Weight]]/(Tabela2[[#This Row],[Height]] ^2))</f>
        <v>21.200991370300692</v>
      </c>
    </row>
    <row r="207" spans="1:23" x14ac:dyDescent="0.25">
      <c r="A207" t="s">
        <v>13</v>
      </c>
      <c r="B207" s="7">
        <v>23</v>
      </c>
      <c r="C207" s="4">
        <v>1.6</v>
      </c>
      <c r="D207" s="7">
        <v>78</v>
      </c>
      <c r="E207">
        <v>1</v>
      </c>
      <c r="F207">
        <v>1</v>
      </c>
      <c r="G207" s="2">
        <v>2</v>
      </c>
      <c r="H207" s="2">
        <v>1</v>
      </c>
      <c r="I207">
        <v>1</v>
      </c>
      <c r="J207">
        <v>1</v>
      </c>
      <c r="K207" s="2">
        <v>2</v>
      </c>
      <c r="L207">
        <v>0</v>
      </c>
      <c r="M207" s="7">
        <v>1</v>
      </c>
      <c r="N207" s="7">
        <v>0</v>
      </c>
      <c r="O207">
        <v>2</v>
      </c>
      <c r="P207" t="s">
        <v>14</v>
      </c>
      <c r="Q207">
        <v>4</v>
      </c>
      <c r="R207" s="8">
        <f>(Tabela2[[#This Row],[FAF_atividade_fisica_frequente_em_horas]]+ 0.1)</f>
        <v>1.1000000000000001</v>
      </c>
      <c r="S207" s="1">
        <f>(Tabela2[[#This Row],[TUE_tempo_uso_aparelhos_em_horas]]/Tabela2[[#This Row],[FAF_Var]])</f>
        <v>0</v>
      </c>
      <c r="T207">
        <f>(Tabela2[[#This Row],[CAEC_lanche_entre_refeicoes]]*Tabela2[[#This Row],[FAVC_consumo_frequente_de_alimentos_mt_caloricos]])</f>
        <v>1</v>
      </c>
      <c r="U207" s="1">
        <f>IF(OR(Tabela2[[#This Row],[MTRANS]]="Walking",Tabela2[[#This Row],[MTRANS]]="Bike"),Tabela2[[#This Row],[FAF_atividade_fisica_frequente_em_horas]]+1,M207)</f>
        <v>1</v>
      </c>
      <c r="V207">
        <f>(Tabela2[[#This Row],[SMOKE]]+Tabela2[[#This Row],[CALC_bebe_alcool_frequentemente]])</f>
        <v>3</v>
      </c>
      <c r="W207" s="8">
        <f>(Tabela2[[#This Row],[Weight]]/(Tabela2[[#This Row],[Height]] ^2))</f>
        <v>30.468749999999993</v>
      </c>
    </row>
    <row r="208" spans="1:23" x14ac:dyDescent="0.25">
      <c r="A208" t="s">
        <v>15</v>
      </c>
      <c r="B208" s="7">
        <v>19</v>
      </c>
      <c r="C208" s="4">
        <v>1.75</v>
      </c>
      <c r="D208" s="7">
        <v>100</v>
      </c>
      <c r="E208">
        <v>1</v>
      </c>
      <c r="F208">
        <v>1</v>
      </c>
      <c r="G208" s="2">
        <v>2</v>
      </c>
      <c r="H208" s="2">
        <v>3</v>
      </c>
      <c r="I208">
        <v>2</v>
      </c>
      <c r="J208">
        <v>0</v>
      </c>
      <c r="K208" s="2">
        <v>2</v>
      </c>
      <c r="L208">
        <v>0</v>
      </c>
      <c r="M208" s="7">
        <v>2</v>
      </c>
      <c r="N208" s="7">
        <v>0</v>
      </c>
      <c r="O208">
        <v>0</v>
      </c>
      <c r="P208" t="s">
        <v>14</v>
      </c>
      <c r="Q208">
        <v>4</v>
      </c>
      <c r="R208" s="8">
        <f>(Tabela2[[#This Row],[FAF_atividade_fisica_frequente_em_horas]]+ 0.1)</f>
        <v>2.1</v>
      </c>
      <c r="S208" s="1">
        <f>(Tabela2[[#This Row],[TUE_tempo_uso_aparelhos_em_horas]]/Tabela2[[#This Row],[FAF_Var]])</f>
        <v>0</v>
      </c>
      <c r="T208">
        <f>(Tabela2[[#This Row],[CAEC_lanche_entre_refeicoes]]*Tabela2[[#This Row],[FAVC_consumo_frequente_de_alimentos_mt_caloricos]])</f>
        <v>2</v>
      </c>
      <c r="U208" s="1">
        <f>IF(OR(Tabela2[[#This Row],[MTRANS]]="Walking",Tabela2[[#This Row],[MTRANS]]="Bike"),Tabela2[[#This Row],[FAF_atividade_fisica_frequente_em_horas]]+1,M208)</f>
        <v>2</v>
      </c>
      <c r="V208">
        <f>(Tabela2[[#This Row],[SMOKE]]+Tabela2[[#This Row],[CALC_bebe_alcool_frequentemente]])</f>
        <v>0</v>
      </c>
      <c r="W208" s="8">
        <f>(Tabela2[[#This Row],[Weight]]/(Tabela2[[#This Row],[Height]] ^2))</f>
        <v>32.653061224489797</v>
      </c>
    </row>
    <row r="209" spans="1:23" x14ac:dyDescent="0.25">
      <c r="A209" t="s">
        <v>15</v>
      </c>
      <c r="B209" s="7">
        <v>30</v>
      </c>
      <c r="C209" s="4">
        <v>1.75</v>
      </c>
      <c r="D209" s="7">
        <v>73</v>
      </c>
      <c r="E209">
        <v>1</v>
      </c>
      <c r="F209">
        <v>0</v>
      </c>
      <c r="G209" s="2">
        <v>2</v>
      </c>
      <c r="H209" s="2">
        <v>3</v>
      </c>
      <c r="I209">
        <v>0</v>
      </c>
      <c r="J209">
        <v>0</v>
      </c>
      <c r="K209" s="2">
        <v>2</v>
      </c>
      <c r="L209">
        <v>1</v>
      </c>
      <c r="M209" s="7">
        <v>1</v>
      </c>
      <c r="N209" s="7">
        <v>0</v>
      </c>
      <c r="O209">
        <v>1</v>
      </c>
      <c r="P209" t="s">
        <v>16</v>
      </c>
      <c r="Q209">
        <v>1</v>
      </c>
      <c r="R209" s="8">
        <f>(Tabela2[[#This Row],[FAF_atividade_fisica_frequente_em_horas]]+ 0.1)</f>
        <v>1.1000000000000001</v>
      </c>
      <c r="S209" s="1">
        <f>(Tabela2[[#This Row],[TUE_tempo_uso_aparelhos_em_horas]]/Tabela2[[#This Row],[FAF_Var]])</f>
        <v>0</v>
      </c>
      <c r="T209">
        <f>(Tabela2[[#This Row],[CAEC_lanche_entre_refeicoes]]*Tabela2[[#This Row],[FAVC_consumo_frequente_de_alimentos_mt_caloricos]])</f>
        <v>0</v>
      </c>
      <c r="U209" s="1">
        <f>IF(OR(Tabela2[[#This Row],[MTRANS]]="Walking",Tabela2[[#This Row],[MTRANS]]="Bike"),Tabela2[[#This Row],[FAF_atividade_fisica_frequente_em_horas]]+1,M209)</f>
        <v>2</v>
      </c>
      <c r="V209">
        <f>(Tabela2[[#This Row],[SMOKE]]+Tabela2[[#This Row],[CALC_bebe_alcool_frequentemente]])</f>
        <v>1</v>
      </c>
      <c r="W209" s="8">
        <f>(Tabela2[[#This Row],[Weight]]/(Tabela2[[#This Row],[Height]] ^2))</f>
        <v>23.836734693877553</v>
      </c>
    </row>
    <row r="210" spans="1:23" x14ac:dyDescent="0.25">
      <c r="A210" t="s">
        <v>13</v>
      </c>
      <c r="B210" s="7">
        <v>22</v>
      </c>
      <c r="C210" s="4">
        <v>1.69</v>
      </c>
      <c r="D210" s="7">
        <v>65</v>
      </c>
      <c r="E210">
        <v>1</v>
      </c>
      <c r="F210">
        <v>1</v>
      </c>
      <c r="G210" s="2">
        <v>2</v>
      </c>
      <c r="H210" s="2">
        <v>3</v>
      </c>
      <c r="I210">
        <v>1</v>
      </c>
      <c r="J210">
        <v>0</v>
      </c>
      <c r="K210" s="2">
        <v>2</v>
      </c>
      <c r="L210">
        <v>0</v>
      </c>
      <c r="M210" s="7">
        <v>1</v>
      </c>
      <c r="N210" s="7">
        <v>1</v>
      </c>
      <c r="O210">
        <v>1</v>
      </c>
      <c r="P210" t="s">
        <v>14</v>
      </c>
      <c r="Q210">
        <v>1</v>
      </c>
      <c r="R210" s="8">
        <f>(Tabela2[[#This Row],[FAF_atividade_fisica_frequente_em_horas]]+ 0.1)</f>
        <v>1.1000000000000001</v>
      </c>
      <c r="S210" s="1">
        <f>(Tabela2[[#This Row],[TUE_tempo_uso_aparelhos_em_horas]]/Tabela2[[#This Row],[FAF_Var]])</f>
        <v>0.90909090909090906</v>
      </c>
      <c r="T210">
        <f>(Tabela2[[#This Row],[CAEC_lanche_entre_refeicoes]]*Tabela2[[#This Row],[FAVC_consumo_frequente_de_alimentos_mt_caloricos]])</f>
        <v>1</v>
      </c>
      <c r="U210" s="1">
        <f>IF(OR(Tabela2[[#This Row],[MTRANS]]="Walking",Tabela2[[#This Row],[MTRANS]]="Bike"),Tabela2[[#This Row],[FAF_atividade_fisica_frequente_em_horas]]+1,M210)</f>
        <v>1</v>
      </c>
      <c r="V210">
        <f>(Tabela2[[#This Row],[SMOKE]]+Tabela2[[#This Row],[CALC_bebe_alcool_frequentemente]])</f>
        <v>1</v>
      </c>
      <c r="W210" s="8">
        <f>(Tabela2[[#This Row],[Weight]]/(Tabela2[[#This Row],[Height]] ^2))</f>
        <v>22.758306781975424</v>
      </c>
    </row>
    <row r="211" spans="1:23" x14ac:dyDescent="0.25">
      <c r="A211" t="s">
        <v>13</v>
      </c>
      <c r="B211" s="7">
        <v>22</v>
      </c>
      <c r="C211" s="4">
        <v>1.69</v>
      </c>
      <c r="D211" s="7">
        <v>65</v>
      </c>
      <c r="E211">
        <v>1</v>
      </c>
      <c r="F211">
        <v>1</v>
      </c>
      <c r="G211" s="2">
        <v>2</v>
      </c>
      <c r="H211" s="2">
        <v>3</v>
      </c>
      <c r="I211">
        <v>1</v>
      </c>
      <c r="J211">
        <v>0</v>
      </c>
      <c r="K211" s="2">
        <v>2</v>
      </c>
      <c r="L211">
        <v>0</v>
      </c>
      <c r="M211" s="7">
        <v>1</v>
      </c>
      <c r="N211" s="7">
        <v>1</v>
      </c>
      <c r="O211">
        <v>1</v>
      </c>
      <c r="P211" t="s">
        <v>14</v>
      </c>
      <c r="Q211">
        <v>1</v>
      </c>
      <c r="R211" s="8">
        <f>(Tabela2[[#This Row],[FAF_atividade_fisica_frequente_em_horas]]+ 0.1)</f>
        <v>1.1000000000000001</v>
      </c>
      <c r="S211" s="1">
        <f>(Tabela2[[#This Row],[TUE_tempo_uso_aparelhos_em_horas]]/Tabela2[[#This Row],[FAF_Var]])</f>
        <v>0.90909090909090906</v>
      </c>
      <c r="T211">
        <f>(Tabela2[[#This Row],[CAEC_lanche_entre_refeicoes]]*Tabela2[[#This Row],[FAVC_consumo_frequente_de_alimentos_mt_caloricos]])</f>
        <v>1</v>
      </c>
      <c r="U211" s="1">
        <f>IF(OR(Tabela2[[#This Row],[MTRANS]]="Walking",Tabela2[[#This Row],[MTRANS]]="Bike"),Tabela2[[#This Row],[FAF_atividade_fisica_frequente_em_horas]]+1,M211)</f>
        <v>1</v>
      </c>
      <c r="V211">
        <f>(Tabela2[[#This Row],[SMOKE]]+Tabela2[[#This Row],[CALC_bebe_alcool_frequentemente]])</f>
        <v>1</v>
      </c>
      <c r="W211" s="8">
        <f>(Tabela2[[#This Row],[Weight]]/(Tabela2[[#This Row],[Height]] ^2))</f>
        <v>22.758306781975424</v>
      </c>
    </row>
    <row r="212" spans="1:23" x14ac:dyDescent="0.25">
      <c r="A212" t="s">
        <v>15</v>
      </c>
      <c r="B212" s="7">
        <v>20</v>
      </c>
      <c r="C212" s="4">
        <v>1.8</v>
      </c>
      <c r="D212" s="7">
        <v>114</v>
      </c>
      <c r="E212">
        <v>1</v>
      </c>
      <c r="F212">
        <v>1</v>
      </c>
      <c r="G212" s="2">
        <v>2</v>
      </c>
      <c r="H212" s="2">
        <v>3</v>
      </c>
      <c r="I212">
        <v>2</v>
      </c>
      <c r="J212">
        <v>0</v>
      </c>
      <c r="K212" s="2">
        <v>2</v>
      </c>
      <c r="L212">
        <v>0</v>
      </c>
      <c r="M212" s="7">
        <v>0</v>
      </c>
      <c r="N212" s="7">
        <v>1</v>
      </c>
      <c r="O212">
        <v>0</v>
      </c>
      <c r="P212" t="s">
        <v>14</v>
      </c>
      <c r="Q212">
        <v>5</v>
      </c>
      <c r="R212" s="8">
        <f>(Tabela2[[#This Row],[FAF_atividade_fisica_frequente_em_horas]]+ 0.1)</f>
        <v>0.1</v>
      </c>
      <c r="S212" s="1">
        <f>(Tabela2[[#This Row],[TUE_tempo_uso_aparelhos_em_horas]]/Tabela2[[#This Row],[FAF_Var]])</f>
        <v>10</v>
      </c>
      <c r="T212">
        <f>(Tabela2[[#This Row],[CAEC_lanche_entre_refeicoes]]*Tabela2[[#This Row],[FAVC_consumo_frequente_de_alimentos_mt_caloricos]])</f>
        <v>2</v>
      </c>
      <c r="U212" s="1">
        <f>IF(OR(Tabela2[[#This Row],[MTRANS]]="Walking",Tabela2[[#This Row],[MTRANS]]="Bike"),Tabela2[[#This Row],[FAF_atividade_fisica_frequente_em_horas]]+1,M212)</f>
        <v>0</v>
      </c>
      <c r="V212">
        <f>(Tabela2[[#This Row],[SMOKE]]+Tabela2[[#This Row],[CALC_bebe_alcool_frequentemente]])</f>
        <v>0</v>
      </c>
      <c r="W212" s="8">
        <f>(Tabela2[[#This Row],[Weight]]/(Tabela2[[#This Row],[Height]] ^2))</f>
        <v>35.185185185185183</v>
      </c>
    </row>
    <row r="213" spans="1:23" x14ac:dyDescent="0.25">
      <c r="A213" t="s">
        <v>13</v>
      </c>
      <c r="B213" s="7">
        <v>21</v>
      </c>
      <c r="C213" s="4">
        <v>1.63</v>
      </c>
      <c r="D213" s="7">
        <v>51</v>
      </c>
      <c r="E213">
        <v>0</v>
      </c>
      <c r="F213">
        <v>1</v>
      </c>
      <c r="G213" s="2">
        <v>2</v>
      </c>
      <c r="H213" s="2">
        <v>1</v>
      </c>
      <c r="I213">
        <v>1</v>
      </c>
      <c r="J213">
        <v>0</v>
      </c>
      <c r="K213" s="2">
        <v>1</v>
      </c>
      <c r="L213">
        <v>0</v>
      </c>
      <c r="M213" s="7">
        <v>1</v>
      </c>
      <c r="N213" s="7">
        <v>1</v>
      </c>
      <c r="O213">
        <v>0</v>
      </c>
      <c r="P213" t="s">
        <v>14</v>
      </c>
      <c r="Q213">
        <v>1</v>
      </c>
      <c r="R213" s="8">
        <f>(Tabela2[[#This Row],[FAF_atividade_fisica_frequente_em_horas]]+ 0.1)</f>
        <v>1.1000000000000001</v>
      </c>
      <c r="S213" s="1">
        <f>(Tabela2[[#This Row],[TUE_tempo_uso_aparelhos_em_horas]]/Tabela2[[#This Row],[FAF_Var]])</f>
        <v>0.90909090909090906</v>
      </c>
      <c r="T213">
        <f>(Tabela2[[#This Row],[CAEC_lanche_entre_refeicoes]]*Tabela2[[#This Row],[FAVC_consumo_frequente_de_alimentos_mt_caloricos]])</f>
        <v>1</v>
      </c>
      <c r="U213" s="1">
        <f>IF(OR(Tabela2[[#This Row],[MTRANS]]="Walking",Tabela2[[#This Row],[MTRANS]]="Bike"),Tabela2[[#This Row],[FAF_atividade_fisica_frequente_em_horas]]+1,M213)</f>
        <v>1</v>
      </c>
      <c r="V213">
        <f>(Tabela2[[#This Row],[SMOKE]]+Tabela2[[#This Row],[CALC_bebe_alcool_frequentemente]])</f>
        <v>0</v>
      </c>
      <c r="W213" s="8">
        <f>(Tabela2[[#This Row],[Weight]]/(Tabela2[[#This Row],[Height]] ^2))</f>
        <v>19.195302796492154</v>
      </c>
    </row>
    <row r="214" spans="1:23" x14ac:dyDescent="0.25">
      <c r="A214" t="s">
        <v>13</v>
      </c>
      <c r="B214" s="7">
        <v>24</v>
      </c>
      <c r="C214" s="4">
        <v>1.5</v>
      </c>
      <c r="D214" s="7">
        <v>63</v>
      </c>
      <c r="E214">
        <v>1</v>
      </c>
      <c r="F214">
        <v>0</v>
      </c>
      <c r="G214" s="2">
        <v>2</v>
      </c>
      <c r="H214" s="2">
        <v>1</v>
      </c>
      <c r="I214">
        <v>1</v>
      </c>
      <c r="J214">
        <v>0</v>
      </c>
      <c r="K214" s="2">
        <v>2</v>
      </c>
      <c r="L214">
        <v>0</v>
      </c>
      <c r="M214" s="7">
        <v>0</v>
      </c>
      <c r="N214" s="7">
        <v>0</v>
      </c>
      <c r="O214">
        <v>0</v>
      </c>
      <c r="P214" t="s">
        <v>14</v>
      </c>
      <c r="Q214">
        <v>3</v>
      </c>
      <c r="R214" s="8">
        <f>(Tabela2[[#This Row],[FAF_atividade_fisica_frequente_em_horas]]+ 0.1)</f>
        <v>0.1</v>
      </c>
      <c r="S214" s="1">
        <f>(Tabela2[[#This Row],[TUE_tempo_uso_aparelhos_em_horas]]/Tabela2[[#This Row],[FAF_Var]])</f>
        <v>0</v>
      </c>
      <c r="T214">
        <f>(Tabela2[[#This Row],[CAEC_lanche_entre_refeicoes]]*Tabela2[[#This Row],[FAVC_consumo_frequente_de_alimentos_mt_caloricos]])</f>
        <v>0</v>
      </c>
      <c r="U214" s="1">
        <f>IF(OR(Tabela2[[#This Row],[MTRANS]]="Walking",Tabela2[[#This Row],[MTRANS]]="Bike"),Tabela2[[#This Row],[FAF_atividade_fisica_frequente_em_horas]]+1,M214)</f>
        <v>0</v>
      </c>
      <c r="V214">
        <f>(Tabela2[[#This Row],[SMOKE]]+Tabela2[[#This Row],[CALC_bebe_alcool_frequentemente]])</f>
        <v>0</v>
      </c>
      <c r="W214" s="8">
        <f>(Tabela2[[#This Row],[Weight]]/(Tabela2[[#This Row],[Height]] ^2))</f>
        <v>28</v>
      </c>
    </row>
    <row r="215" spans="1:23" x14ac:dyDescent="0.25">
      <c r="A215" t="s">
        <v>15</v>
      </c>
      <c r="B215" s="7">
        <v>21</v>
      </c>
      <c r="C215" s="4">
        <v>1.8</v>
      </c>
      <c r="D215" s="7">
        <v>62</v>
      </c>
      <c r="E215">
        <v>1</v>
      </c>
      <c r="F215">
        <v>1</v>
      </c>
      <c r="G215" s="2">
        <v>3</v>
      </c>
      <c r="H215" s="2">
        <v>3</v>
      </c>
      <c r="I215">
        <v>1</v>
      </c>
      <c r="J215">
        <v>0</v>
      </c>
      <c r="K215" s="2">
        <v>2</v>
      </c>
      <c r="L215">
        <v>0</v>
      </c>
      <c r="M215" s="7">
        <v>1</v>
      </c>
      <c r="N215" s="7">
        <v>0</v>
      </c>
      <c r="O215">
        <v>0</v>
      </c>
      <c r="P215" t="s">
        <v>14</v>
      </c>
      <c r="Q215">
        <v>1</v>
      </c>
      <c r="R215" s="8">
        <f>(Tabela2[[#This Row],[FAF_atividade_fisica_frequente_em_horas]]+ 0.1)</f>
        <v>1.1000000000000001</v>
      </c>
      <c r="S215" s="1">
        <f>(Tabela2[[#This Row],[TUE_tempo_uso_aparelhos_em_horas]]/Tabela2[[#This Row],[FAF_Var]])</f>
        <v>0</v>
      </c>
      <c r="T215">
        <f>(Tabela2[[#This Row],[CAEC_lanche_entre_refeicoes]]*Tabela2[[#This Row],[FAVC_consumo_frequente_de_alimentos_mt_caloricos]])</f>
        <v>1</v>
      </c>
      <c r="U215" s="1">
        <f>IF(OR(Tabela2[[#This Row],[MTRANS]]="Walking",Tabela2[[#This Row],[MTRANS]]="Bike"),Tabela2[[#This Row],[FAF_atividade_fisica_frequente_em_horas]]+1,M215)</f>
        <v>1</v>
      </c>
      <c r="V215">
        <f>(Tabela2[[#This Row],[SMOKE]]+Tabela2[[#This Row],[CALC_bebe_alcool_frequentemente]])</f>
        <v>0</v>
      </c>
      <c r="W215" s="8">
        <f>(Tabela2[[#This Row],[Weight]]/(Tabela2[[#This Row],[Height]] ^2))</f>
        <v>19.1358024691358</v>
      </c>
    </row>
    <row r="216" spans="1:23" x14ac:dyDescent="0.25">
      <c r="A216" t="s">
        <v>15</v>
      </c>
      <c r="B216" s="7">
        <v>21</v>
      </c>
      <c r="C216" s="4">
        <v>1.65</v>
      </c>
      <c r="D216" s="7">
        <v>53</v>
      </c>
      <c r="E216">
        <v>1</v>
      </c>
      <c r="F216">
        <v>1</v>
      </c>
      <c r="G216" s="2">
        <v>2</v>
      </c>
      <c r="H216" s="2">
        <v>3</v>
      </c>
      <c r="I216">
        <v>1</v>
      </c>
      <c r="J216">
        <v>0</v>
      </c>
      <c r="K216" s="2">
        <v>2</v>
      </c>
      <c r="L216">
        <v>0</v>
      </c>
      <c r="M216" s="7">
        <v>1</v>
      </c>
      <c r="N216" s="7">
        <v>0</v>
      </c>
      <c r="O216">
        <v>1</v>
      </c>
      <c r="P216" t="s">
        <v>14</v>
      </c>
      <c r="Q216">
        <v>1</v>
      </c>
      <c r="R216" s="8">
        <f>(Tabela2[[#This Row],[FAF_atividade_fisica_frequente_em_horas]]+ 0.1)</f>
        <v>1.1000000000000001</v>
      </c>
      <c r="S216" s="1">
        <f>(Tabela2[[#This Row],[TUE_tempo_uso_aparelhos_em_horas]]/Tabela2[[#This Row],[FAF_Var]])</f>
        <v>0</v>
      </c>
      <c r="T216">
        <f>(Tabela2[[#This Row],[CAEC_lanche_entre_refeicoes]]*Tabela2[[#This Row],[FAVC_consumo_frequente_de_alimentos_mt_caloricos]])</f>
        <v>1</v>
      </c>
      <c r="U216" s="1">
        <f>IF(OR(Tabela2[[#This Row],[MTRANS]]="Walking",Tabela2[[#This Row],[MTRANS]]="Bike"),Tabela2[[#This Row],[FAF_atividade_fisica_frequente_em_horas]]+1,M216)</f>
        <v>1</v>
      </c>
      <c r="V216">
        <f>(Tabela2[[#This Row],[SMOKE]]+Tabela2[[#This Row],[CALC_bebe_alcool_frequentemente]])</f>
        <v>1</v>
      </c>
      <c r="W216" s="8">
        <f>(Tabela2[[#This Row],[Weight]]/(Tabela2[[#This Row],[Height]] ^2))</f>
        <v>19.467401285583104</v>
      </c>
    </row>
    <row r="217" spans="1:23" x14ac:dyDescent="0.25">
      <c r="A217" t="s">
        <v>15</v>
      </c>
      <c r="B217" s="7">
        <v>21</v>
      </c>
      <c r="C217" s="4">
        <v>1.68</v>
      </c>
      <c r="D217" s="7">
        <v>70</v>
      </c>
      <c r="E217">
        <v>1</v>
      </c>
      <c r="F217">
        <v>1</v>
      </c>
      <c r="G217" s="2">
        <v>3</v>
      </c>
      <c r="H217" s="2">
        <v>3</v>
      </c>
      <c r="I217">
        <v>1</v>
      </c>
      <c r="J217">
        <v>0</v>
      </c>
      <c r="K217" s="2">
        <v>3</v>
      </c>
      <c r="L217">
        <v>0</v>
      </c>
      <c r="M217" s="7">
        <v>0</v>
      </c>
      <c r="N217" s="7">
        <v>2</v>
      </c>
      <c r="O217">
        <v>1</v>
      </c>
      <c r="P217" t="s">
        <v>14</v>
      </c>
      <c r="Q217">
        <v>1</v>
      </c>
      <c r="R217" s="8">
        <f>(Tabela2[[#This Row],[FAF_atividade_fisica_frequente_em_horas]]+ 0.1)</f>
        <v>0.1</v>
      </c>
      <c r="S217" s="1">
        <f>(Tabela2[[#This Row],[TUE_tempo_uso_aparelhos_em_horas]]/Tabela2[[#This Row],[FAF_Var]])</f>
        <v>20</v>
      </c>
      <c r="T217">
        <f>(Tabela2[[#This Row],[CAEC_lanche_entre_refeicoes]]*Tabela2[[#This Row],[FAVC_consumo_frequente_de_alimentos_mt_caloricos]])</f>
        <v>1</v>
      </c>
      <c r="U217" s="1">
        <f>IF(OR(Tabela2[[#This Row],[MTRANS]]="Walking",Tabela2[[#This Row],[MTRANS]]="Bike"),Tabela2[[#This Row],[FAF_atividade_fisica_frequente_em_horas]]+1,M217)</f>
        <v>0</v>
      </c>
      <c r="V217">
        <f>(Tabela2[[#This Row],[SMOKE]]+Tabela2[[#This Row],[CALC_bebe_alcool_frequentemente]])</f>
        <v>1</v>
      </c>
      <c r="W217" s="8">
        <f>(Tabela2[[#This Row],[Weight]]/(Tabela2[[#This Row],[Height]] ^2))</f>
        <v>24.801587301587304</v>
      </c>
    </row>
    <row r="218" spans="1:23" x14ac:dyDescent="0.25">
      <c r="A218" t="s">
        <v>13</v>
      </c>
      <c r="B218" s="7">
        <v>23</v>
      </c>
      <c r="C218" s="4">
        <v>1.6</v>
      </c>
      <c r="D218" s="7">
        <v>63</v>
      </c>
      <c r="E218">
        <v>1</v>
      </c>
      <c r="F218">
        <v>0</v>
      </c>
      <c r="G218" s="2">
        <v>3</v>
      </c>
      <c r="H218" s="2">
        <v>3</v>
      </c>
      <c r="I218">
        <v>2</v>
      </c>
      <c r="J218">
        <v>0</v>
      </c>
      <c r="K218" s="2">
        <v>2</v>
      </c>
      <c r="L218">
        <v>0</v>
      </c>
      <c r="M218" s="7">
        <v>3</v>
      </c>
      <c r="N218" s="7">
        <v>0</v>
      </c>
      <c r="O218">
        <v>1</v>
      </c>
      <c r="P218" t="s">
        <v>16</v>
      </c>
      <c r="Q218">
        <v>1</v>
      </c>
      <c r="R218" s="8">
        <f>(Tabela2[[#This Row],[FAF_atividade_fisica_frequente_em_horas]]+ 0.1)</f>
        <v>3.1</v>
      </c>
      <c r="S218" s="1">
        <f>(Tabela2[[#This Row],[TUE_tempo_uso_aparelhos_em_horas]]/Tabela2[[#This Row],[FAF_Var]])</f>
        <v>0</v>
      </c>
      <c r="T218">
        <f>(Tabela2[[#This Row],[CAEC_lanche_entre_refeicoes]]*Tabela2[[#This Row],[FAVC_consumo_frequente_de_alimentos_mt_caloricos]])</f>
        <v>0</v>
      </c>
      <c r="U218" s="1">
        <f>IF(OR(Tabela2[[#This Row],[MTRANS]]="Walking",Tabela2[[#This Row],[MTRANS]]="Bike"),Tabela2[[#This Row],[FAF_atividade_fisica_frequente_em_horas]]+1,M218)</f>
        <v>4</v>
      </c>
      <c r="V218">
        <f>(Tabela2[[#This Row],[SMOKE]]+Tabela2[[#This Row],[CALC_bebe_alcool_frequentemente]])</f>
        <v>1</v>
      </c>
      <c r="W218" s="8">
        <f>(Tabela2[[#This Row],[Weight]]/(Tabela2[[#This Row],[Height]] ^2))</f>
        <v>24.609374999999996</v>
      </c>
    </row>
    <row r="219" spans="1:23" x14ac:dyDescent="0.25">
      <c r="A219" t="s">
        <v>15</v>
      </c>
      <c r="B219" s="7">
        <v>21</v>
      </c>
      <c r="C219" s="4">
        <v>1.71</v>
      </c>
      <c r="D219" s="7">
        <v>75</v>
      </c>
      <c r="E219">
        <v>0</v>
      </c>
      <c r="F219">
        <v>0</v>
      </c>
      <c r="G219" s="2">
        <v>2</v>
      </c>
      <c r="H219" s="2">
        <v>3</v>
      </c>
      <c r="I219">
        <v>2</v>
      </c>
      <c r="J219">
        <v>0</v>
      </c>
      <c r="K219" s="2">
        <v>3</v>
      </c>
      <c r="L219">
        <v>1</v>
      </c>
      <c r="M219" s="7">
        <v>3</v>
      </c>
      <c r="N219" s="7">
        <v>1</v>
      </c>
      <c r="O219">
        <v>2</v>
      </c>
      <c r="P219" t="s">
        <v>17</v>
      </c>
      <c r="Q219">
        <v>2</v>
      </c>
      <c r="R219" s="8">
        <f>(Tabela2[[#This Row],[FAF_atividade_fisica_frequente_em_horas]]+ 0.1)</f>
        <v>3.1</v>
      </c>
      <c r="S219" s="1">
        <f>(Tabela2[[#This Row],[TUE_tempo_uso_aparelhos_em_horas]]/Tabela2[[#This Row],[FAF_Var]])</f>
        <v>0.32258064516129031</v>
      </c>
      <c r="T219">
        <f>(Tabela2[[#This Row],[CAEC_lanche_entre_refeicoes]]*Tabela2[[#This Row],[FAVC_consumo_frequente_de_alimentos_mt_caloricos]])</f>
        <v>0</v>
      </c>
      <c r="U219" s="1">
        <f>IF(OR(Tabela2[[#This Row],[MTRANS]]="Walking",Tabela2[[#This Row],[MTRANS]]="Bike"),Tabela2[[#This Row],[FAF_atividade_fisica_frequente_em_horas]]+1,M219)</f>
        <v>3</v>
      </c>
      <c r="V219">
        <f>(Tabela2[[#This Row],[SMOKE]]+Tabela2[[#This Row],[CALC_bebe_alcool_frequentemente]])</f>
        <v>2</v>
      </c>
      <c r="W219" s="8">
        <f>(Tabela2[[#This Row],[Weight]]/(Tabela2[[#This Row],[Height]] ^2))</f>
        <v>25.64891761567662</v>
      </c>
    </row>
    <row r="220" spans="1:23" x14ac:dyDescent="0.25">
      <c r="A220" t="s">
        <v>13</v>
      </c>
      <c r="B220" s="7">
        <v>21</v>
      </c>
      <c r="C220" s="4">
        <v>1.5</v>
      </c>
      <c r="D220" s="7">
        <v>42.3</v>
      </c>
      <c r="E220">
        <v>1</v>
      </c>
      <c r="F220">
        <v>0</v>
      </c>
      <c r="G220" s="2">
        <v>1</v>
      </c>
      <c r="H220" s="2">
        <v>1</v>
      </c>
      <c r="I220">
        <v>1</v>
      </c>
      <c r="J220">
        <v>0</v>
      </c>
      <c r="K220" s="2">
        <v>2</v>
      </c>
      <c r="L220">
        <v>0</v>
      </c>
      <c r="M220" s="7">
        <v>3</v>
      </c>
      <c r="N220" s="7">
        <v>0</v>
      </c>
      <c r="O220">
        <v>0</v>
      </c>
      <c r="P220" t="s">
        <v>14</v>
      </c>
      <c r="Q220">
        <v>1</v>
      </c>
      <c r="R220" s="8">
        <f>(Tabela2[[#This Row],[FAF_atividade_fisica_frequente_em_horas]]+ 0.1)</f>
        <v>3.1</v>
      </c>
      <c r="S220" s="1">
        <f>(Tabela2[[#This Row],[TUE_tempo_uso_aparelhos_em_horas]]/Tabela2[[#This Row],[FAF_Var]])</f>
        <v>0</v>
      </c>
      <c r="T220">
        <f>(Tabela2[[#This Row],[CAEC_lanche_entre_refeicoes]]*Tabela2[[#This Row],[FAVC_consumo_frequente_de_alimentos_mt_caloricos]])</f>
        <v>0</v>
      </c>
      <c r="U220" s="1">
        <f>IF(OR(Tabela2[[#This Row],[MTRANS]]="Walking",Tabela2[[#This Row],[MTRANS]]="Bike"),Tabela2[[#This Row],[FAF_atividade_fisica_frequente_em_horas]]+1,M220)</f>
        <v>3</v>
      </c>
      <c r="V220">
        <f>(Tabela2[[#This Row],[SMOKE]]+Tabela2[[#This Row],[CALC_bebe_alcool_frequentemente]])</f>
        <v>0</v>
      </c>
      <c r="W220" s="8">
        <f>(Tabela2[[#This Row],[Weight]]/(Tabela2[[#This Row],[Height]] ^2))</f>
        <v>18.799999999999997</v>
      </c>
    </row>
    <row r="221" spans="1:23" x14ac:dyDescent="0.25">
      <c r="A221" t="s">
        <v>13</v>
      </c>
      <c r="B221" s="7">
        <v>21</v>
      </c>
      <c r="C221" s="4">
        <v>1.6</v>
      </c>
      <c r="D221" s="7">
        <v>68</v>
      </c>
      <c r="E221">
        <v>1</v>
      </c>
      <c r="F221">
        <v>1</v>
      </c>
      <c r="G221" s="2">
        <v>2</v>
      </c>
      <c r="H221" s="2">
        <v>3</v>
      </c>
      <c r="I221">
        <v>1</v>
      </c>
      <c r="J221">
        <v>0</v>
      </c>
      <c r="K221" s="2">
        <v>3</v>
      </c>
      <c r="L221">
        <v>0</v>
      </c>
      <c r="M221" s="7">
        <v>1</v>
      </c>
      <c r="N221" s="7">
        <v>0</v>
      </c>
      <c r="O221">
        <v>1</v>
      </c>
      <c r="P221" t="s">
        <v>14</v>
      </c>
      <c r="Q221">
        <v>2</v>
      </c>
      <c r="R221" s="8">
        <f>(Tabela2[[#This Row],[FAF_atividade_fisica_frequente_em_horas]]+ 0.1)</f>
        <v>1.1000000000000001</v>
      </c>
      <c r="S221" s="1">
        <f>(Tabela2[[#This Row],[TUE_tempo_uso_aparelhos_em_horas]]/Tabela2[[#This Row],[FAF_Var]])</f>
        <v>0</v>
      </c>
      <c r="T221">
        <f>(Tabela2[[#This Row],[CAEC_lanche_entre_refeicoes]]*Tabela2[[#This Row],[FAVC_consumo_frequente_de_alimentos_mt_caloricos]])</f>
        <v>1</v>
      </c>
      <c r="U221" s="1">
        <f>IF(OR(Tabela2[[#This Row],[MTRANS]]="Walking",Tabela2[[#This Row],[MTRANS]]="Bike"),Tabela2[[#This Row],[FAF_atividade_fisica_frequente_em_horas]]+1,M221)</f>
        <v>1</v>
      </c>
      <c r="V221">
        <f>(Tabela2[[#This Row],[SMOKE]]+Tabela2[[#This Row],[CALC_bebe_alcool_frequentemente]])</f>
        <v>1</v>
      </c>
      <c r="W221" s="8">
        <f>(Tabela2[[#This Row],[Weight]]/(Tabela2[[#This Row],[Height]] ^2))</f>
        <v>26.562499999999996</v>
      </c>
    </row>
    <row r="222" spans="1:23" x14ac:dyDescent="0.25">
      <c r="A222" t="s">
        <v>13</v>
      </c>
      <c r="B222" s="7">
        <v>21</v>
      </c>
      <c r="C222" s="4">
        <v>1.75</v>
      </c>
      <c r="D222" s="7">
        <v>78</v>
      </c>
      <c r="E222">
        <v>1</v>
      </c>
      <c r="F222">
        <v>0</v>
      </c>
      <c r="G222" s="2">
        <v>2</v>
      </c>
      <c r="H222" s="2">
        <v>3</v>
      </c>
      <c r="I222">
        <v>2</v>
      </c>
      <c r="J222">
        <v>0</v>
      </c>
      <c r="K222" s="2">
        <v>2</v>
      </c>
      <c r="L222">
        <v>1</v>
      </c>
      <c r="M222" s="7">
        <v>0</v>
      </c>
      <c r="N222" s="7">
        <v>2</v>
      </c>
      <c r="O222">
        <v>2</v>
      </c>
      <c r="P222" t="s">
        <v>14</v>
      </c>
      <c r="Q222">
        <v>2</v>
      </c>
      <c r="R222" s="8">
        <f>(Tabela2[[#This Row],[FAF_atividade_fisica_frequente_em_horas]]+ 0.1)</f>
        <v>0.1</v>
      </c>
      <c r="S222" s="1">
        <f>(Tabela2[[#This Row],[TUE_tempo_uso_aparelhos_em_horas]]/Tabela2[[#This Row],[FAF_Var]])</f>
        <v>20</v>
      </c>
      <c r="T222">
        <f>(Tabela2[[#This Row],[CAEC_lanche_entre_refeicoes]]*Tabela2[[#This Row],[FAVC_consumo_frequente_de_alimentos_mt_caloricos]])</f>
        <v>0</v>
      </c>
      <c r="U222" s="1">
        <f>IF(OR(Tabela2[[#This Row],[MTRANS]]="Walking",Tabela2[[#This Row],[MTRANS]]="Bike"),Tabela2[[#This Row],[FAF_atividade_fisica_frequente_em_horas]]+1,M222)</f>
        <v>0</v>
      </c>
      <c r="V222">
        <f>(Tabela2[[#This Row],[SMOKE]]+Tabela2[[#This Row],[CALC_bebe_alcool_frequentemente]])</f>
        <v>2</v>
      </c>
      <c r="W222" s="8">
        <f>(Tabela2[[#This Row],[Weight]]/(Tabela2[[#This Row],[Height]] ^2))</f>
        <v>25.469387755102041</v>
      </c>
    </row>
    <row r="223" spans="1:23" x14ac:dyDescent="0.25">
      <c r="A223" t="s">
        <v>15</v>
      </c>
      <c r="B223" s="7">
        <v>23</v>
      </c>
      <c r="C223" s="4">
        <v>1.72</v>
      </c>
      <c r="D223" s="7">
        <v>82</v>
      </c>
      <c r="E223">
        <v>1</v>
      </c>
      <c r="F223">
        <v>1</v>
      </c>
      <c r="G223" s="2">
        <v>2</v>
      </c>
      <c r="H223" s="2">
        <v>1</v>
      </c>
      <c r="I223">
        <v>1</v>
      </c>
      <c r="J223">
        <v>0</v>
      </c>
      <c r="K223" s="2">
        <v>1</v>
      </c>
      <c r="L223">
        <v>0</v>
      </c>
      <c r="M223" s="7">
        <v>1</v>
      </c>
      <c r="N223" s="7">
        <v>1</v>
      </c>
      <c r="O223">
        <v>1</v>
      </c>
      <c r="P223" t="s">
        <v>14</v>
      </c>
      <c r="Q223">
        <v>3</v>
      </c>
      <c r="R223" s="8">
        <f>(Tabela2[[#This Row],[FAF_atividade_fisica_frequente_em_horas]]+ 0.1)</f>
        <v>1.1000000000000001</v>
      </c>
      <c r="S223" s="1">
        <f>(Tabela2[[#This Row],[TUE_tempo_uso_aparelhos_em_horas]]/Tabela2[[#This Row],[FAF_Var]])</f>
        <v>0.90909090909090906</v>
      </c>
      <c r="T223">
        <f>(Tabela2[[#This Row],[CAEC_lanche_entre_refeicoes]]*Tabela2[[#This Row],[FAVC_consumo_frequente_de_alimentos_mt_caloricos]])</f>
        <v>1</v>
      </c>
      <c r="U223" s="1">
        <f>IF(OR(Tabela2[[#This Row],[MTRANS]]="Walking",Tabela2[[#This Row],[MTRANS]]="Bike"),Tabela2[[#This Row],[FAF_atividade_fisica_frequente_em_horas]]+1,M223)</f>
        <v>1</v>
      </c>
      <c r="V223">
        <f>(Tabela2[[#This Row],[SMOKE]]+Tabela2[[#This Row],[CALC_bebe_alcool_frequentemente]])</f>
        <v>1</v>
      </c>
      <c r="W223" s="8">
        <f>(Tabela2[[#This Row],[Weight]]/(Tabela2[[#This Row],[Height]] ^2))</f>
        <v>27.717685235262305</v>
      </c>
    </row>
    <row r="224" spans="1:23" x14ac:dyDescent="0.25">
      <c r="A224" t="s">
        <v>13</v>
      </c>
      <c r="B224" s="7">
        <v>21</v>
      </c>
      <c r="C224" s="4">
        <v>1.72</v>
      </c>
      <c r="D224" s="7">
        <v>66.5</v>
      </c>
      <c r="E224">
        <v>1</v>
      </c>
      <c r="F224">
        <v>1</v>
      </c>
      <c r="G224" s="2">
        <v>3</v>
      </c>
      <c r="H224" s="2">
        <v>4</v>
      </c>
      <c r="I224">
        <v>3</v>
      </c>
      <c r="J224">
        <v>0</v>
      </c>
      <c r="K224" s="2">
        <v>3</v>
      </c>
      <c r="L224">
        <v>0</v>
      </c>
      <c r="M224" s="7">
        <v>0</v>
      </c>
      <c r="N224" s="7">
        <v>2</v>
      </c>
      <c r="O224">
        <v>0</v>
      </c>
      <c r="P224" t="s">
        <v>14</v>
      </c>
      <c r="Q224">
        <v>1</v>
      </c>
      <c r="R224" s="8">
        <f>(Tabela2[[#This Row],[FAF_atividade_fisica_frequente_em_horas]]+ 0.1)</f>
        <v>0.1</v>
      </c>
      <c r="S224" s="1">
        <f>(Tabela2[[#This Row],[TUE_tempo_uso_aparelhos_em_horas]]/Tabela2[[#This Row],[FAF_Var]])</f>
        <v>20</v>
      </c>
      <c r="T224">
        <f>(Tabela2[[#This Row],[CAEC_lanche_entre_refeicoes]]*Tabela2[[#This Row],[FAVC_consumo_frequente_de_alimentos_mt_caloricos]])</f>
        <v>3</v>
      </c>
      <c r="U224" s="1">
        <f>IF(OR(Tabela2[[#This Row],[MTRANS]]="Walking",Tabela2[[#This Row],[MTRANS]]="Bike"),Tabela2[[#This Row],[FAF_atividade_fisica_frequente_em_horas]]+1,M224)</f>
        <v>0</v>
      </c>
      <c r="V224">
        <f>(Tabela2[[#This Row],[SMOKE]]+Tabela2[[#This Row],[CALC_bebe_alcool_frequentemente]])</f>
        <v>0</v>
      </c>
      <c r="W224" s="8">
        <f>(Tabela2[[#This Row],[Weight]]/(Tabela2[[#This Row],[Height]] ^2))</f>
        <v>22.478366684694432</v>
      </c>
    </row>
    <row r="225" spans="1:23" x14ac:dyDescent="0.25">
      <c r="A225" t="s">
        <v>13</v>
      </c>
      <c r="B225" s="7">
        <v>22</v>
      </c>
      <c r="C225" s="4">
        <v>1.61</v>
      </c>
      <c r="D225" s="7">
        <v>63</v>
      </c>
      <c r="E225">
        <v>1</v>
      </c>
      <c r="F225">
        <v>1</v>
      </c>
      <c r="G225" s="2">
        <v>3</v>
      </c>
      <c r="H225" s="2">
        <v>3</v>
      </c>
      <c r="I225">
        <v>2</v>
      </c>
      <c r="J225">
        <v>0</v>
      </c>
      <c r="K225" s="2">
        <v>3</v>
      </c>
      <c r="L225">
        <v>0</v>
      </c>
      <c r="M225" s="7">
        <v>1</v>
      </c>
      <c r="N225" s="7">
        <v>0</v>
      </c>
      <c r="O225">
        <v>0</v>
      </c>
      <c r="P225" t="s">
        <v>14</v>
      </c>
      <c r="Q225">
        <v>1</v>
      </c>
      <c r="R225" s="8">
        <f>(Tabela2[[#This Row],[FAF_atividade_fisica_frequente_em_horas]]+ 0.1)</f>
        <v>1.1000000000000001</v>
      </c>
      <c r="S225" s="1">
        <f>(Tabela2[[#This Row],[TUE_tempo_uso_aparelhos_em_horas]]/Tabela2[[#This Row],[FAF_Var]])</f>
        <v>0</v>
      </c>
      <c r="T225">
        <f>(Tabela2[[#This Row],[CAEC_lanche_entre_refeicoes]]*Tabela2[[#This Row],[FAVC_consumo_frequente_de_alimentos_mt_caloricos]])</f>
        <v>2</v>
      </c>
      <c r="U225" s="1">
        <f>IF(OR(Tabela2[[#This Row],[MTRANS]]="Walking",Tabela2[[#This Row],[MTRANS]]="Bike"),Tabela2[[#This Row],[FAF_atividade_fisica_frequente_em_horas]]+1,M225)</f>
        <v>1</v>
      </c>
      <c r="V225">
        <f>(Tabela2[[#This Row],[SMOKE]]+Tabela2[[#This Row],[CALC_bebe_alcool_frequentemente]])</f>
        <v>0</v>
      </c>
      <c r="W225" s="8">
        <f>(Tabela2[[#This Row],[Weight]]/(Tabela2[[#This Row],[Height]] ^2))</f>
        <v>24.304617877396701</v>
      </c>
    </row>
    <row r="226" spans="1:23" x14ac:dyDescent="0.25">
      <c r="A226" t="s">
        <v>13</v>
      </c>
      <c r="B226" s="7">
        <v>23</v>
      </c>
      <c r="C226" s="4">
        <v>1.63</v>
      </c>
      <c r="D226" s="7">
        <v>82</v>
      </c>
      <c r="E226">
        <v>1</v>
      </c>
      <c r="F226">
        <v>1</v>
      </c>
      <c r="G226" s="2">
        <v>2</v>
      </c>
      <c r="H226" s="2">
        <v>1</v>
      </c>
      <c r="I226">
        <v>1</v>
      </c>
      <c r="J226">
        <v>0</v>
      </c>
      <c r="K226" s="2">
        <v>2</v>
      </c>
      <c r="L226">
        <v>0</v>
      </c>
      <c r="M226" s="7">
        <v>0</v>
      </c>
      <c r="N226" s="7">
        <v>0</v>
      </c>
      <c r="O226">
        <v>0</v>
      </c>
      <c r="P226" t="s">
        <v>14</v>
      </c>
      <c r="Q226">
        <v>4</v>
      </c>
      <c r="R226" s="8">
        <f>(Tabela2[[#This Row],[FAF_atividade_fisica_frequente_em_horas]]+ 0.1)</f>
        <v>0.1</v>
      </c>
      <c r="S226" s="1">
        <f>(Tabela2[[#This Row],[TUE_tempo_uso_aparelhos_em_horas]]/Tabela2[[#This Row],[FAF_Var]])</f>
        <v>0</v>
      </c>
      <c r="T226">
        <f>(Tabela2[[#This Row],[CAEC_lanche_entre_refeicoes]]*Tabela2[[#This Row],[FAVC_consumo_frequente_de_alimentos_mt_caloricos]])</f>
        <v>1</v>
      </c>
      <c r="U226" s="1">
        <f>IF(OR(Tabela2[[#This Row],[MTRANS]]="Walking",Tabela2[[#This Row],[MTRANS]]="Bike"),Tabela2[[#This Row],[FAF_atividade_fisica_frequente_em_horas]]+1,M226)</f>
        <v>0</v>
      </c>
      <c r="V226">
        <f>(Tabela2[[#This Row],[SMOKE]]+Tabela2[[#This Row],[CALC_bebe_alcool_frequentemente]])</f>
        <v>0</v>
      </c>
      <c r="W226" s="8">
        <f>(Tabela2[[#This Row],[Weight]]/(Tabela2[[#This Row],[Height]] ^2))</f>
        <v>30.863035868869737</v>
      </c>
    </row>
    <row r="227" spans="1:23" x14ac:dyDescent="0.25">
      <c r="A227" t="s">
        <v>15</v>
      </c>
      <c r="B227" s="7">
        <v>25</v>
      </c>
      <c r="C227" s="4">
        <v>1.83</v>
      </c>
      <c r="D227" s="7">
        <v>121</v>
      </c>
      <c r="E227">
        <v>1</v>
      </c>
      <c r="F227">
        <v>0</v>
      </c>
      <c r="G227" s="2">
        <v>3</v>
      </c>
      <c r="H227" s="2">
        <v>3</v>
      </c>
      <c r="I227">
        <v>1</v>
      </c>
      <c r="J227">
        <v>0</v>
      </c>
      <c r="K227" s="2">
        <v>3</v>
      </c>
      <c r="L227">
        <v>0</v>
      </c>
      <c r="M227" s="7">
        <v>2</v>
      </c>
      <c r="N227" s="7">
        <v>0</v>
      </c>
      <c r="O227">
        <v>1</v>
      </c>
      <c r="P227" t="s">
        <v>16</v>
      </c>
      <c r="Q227">
        <v>5</v>
      </c>
      <c r="R227" s="8">
        <f>(Tabela2[[#This Row],[FAF_atividade_fisica_frequente_em_horas]]+ 0.1)</f>
        <v>2.1</v>
      </c>
      <c r="S227" s="1">
        <f>(Tabela2[[#This Row],[TUE_tempo_uso_aparelhos_em_horas]]/Tabela2[[#This Row],[FAF_Var]])</f>
        <v>0</v>
      </c>
      <c r="T227">
        <f>(Tabela2[[#This Row],[CAEC_lanche_entre_refeicoes]]*Tabela2[[#This Row],[FAVC_consumo_frequente_de_alimentos_mt_caloricos]])</f>
        <v>0</v>
      </c>
      <c r="U227" s="1">
        <f>IF(OR(Tabela2[[#This Row],[MTRANS]]="Walking",Tabela2[[#This Row],[MTRANS]]="Bike"),Tabela2[[#This Row],[FAF_atividade_fisica_frequente_em_horas]]+1,M227)</f>
        <v>3</v>
      </c>
      <c r="V227">
        <f>(Tabela2[[#This Row],[SMOKE]]+Tabela2[[#This Row],[CALC_bebe_alcool_frequentemente]])</f>
        <v>1</v>
      </c>
      <c r="W227" s="8">
        <f>(Tabela2[[#This Row],[Weight]]/(Tabela2[[#This Row],[Height]] ^2))</f>
        <v>36.131266983188503</v>
      </c>
    </row>
    <row r="228" spans="1:23" x14ac:dyDescent="0.25">
      <c r="A228" t="s">
        <v>13</v>
      </c>
      <c r="B228" s="7">
        <v>20</v>
      </c>
      <c r="C228" s="4">
        <v>1.6</v>
      </c>
      <c r="D228" s="7">
        <v>50</v>
      </c>
      <c r="E228">
        <v>0</v>
      </c>
      <c r="F228">
        <v>1</v>
      </c>
      <c r="G228" s="2">
        <v>2</v>
      </c>
      <c r="H228" s="2">
        <v>3</v>
      </c>
      <c r="I228">
        <v>1</v>
      </c>
      <c r="J228">
        <v>0</v>
      </c>
      <c r="K228" s="2">
        <v>1</v>
      </c>
      <c r="L228">
        <v>0</v>
      </c>
      <c r="M228" s="7">
        <v>0</v>
      </c>
      <c r="N228" s="7">
        <v>1</v>
      </c>
      <c r="O228">
        <v>0</v>
      </c>
      <c r="P228" t="s">
        <v>17</v>
      </c>
      <c r="Q228">
        <v>1</v>
      </c>
      <c r="R228" s="8">
        <f>(Tabela2[[#This Row],[FAF_atividade_fisica_frequente_em_horas]]+ 0.1)</f>
        <v>0.1</v>
      </c>
      <c r="S228" s="1">
        <f>(Tabela2[[#This Row],[TUE_tempo_uso_aparelhos_em_horas]]/Tabela2[[#This Row],[FAF_Var]])</f>
        <v>10</v>
      </c>
      <c r="T228">
        <f>(Tabela2[[#This Row],[CAEC_lanche_entre_refeicoes]]*Tabela2[[#This Row],[FAVC_consumo_frequente_de_alimentos_mt_caloricos]])</f>
        <v>1</v>
      </c>
      <c r="U228" s="1">
        <f>IF(OR(Tabela2[[#This Row],[MTRANS]]="Walking",Tabela2[[#This Row],[MTRANS]]="Bike"),Tabela2[[#This Row],[FAF_atividade_fisica_frequente_em_horas]]+1,M228)</f>
        <v>0</v>
      </c>
      <c r="V228">
        <f>(Tabela2[[#This Row],[SMOKE]]+Tabela2[[#This Row],[CALC_bebe_alcool_frequentemente]])</f>
        <v>0</v>
      </c>
      <c r="W228" s="8">
        <f>(Tabela2[[#This Row],[Weight]]/(Tabela2[[#This Row],[Height]] ^2))</f>
        <v>19.531249999999996</v>
      </c>
    </row>
    <row r="229" spans="1:23" x14ac:dyDescent="0.25">
      <c r="A229" t="s">
        <v>13</v>
      </c>
      <c r="B229" s="7">
        <v>24</v>
      </c>
      <c r="C229" s="4">
        <v>1.62</v>
      </c>
      <c r="D229" s="7">
        <v>58</v>
      </c>
      <c r="E229">
        <v>0</v>
      </c>
      <c r="F229">
        <v>1</v>
      </c>
      <c r="G229" s="2">
        <v>3</v>
      </c>
      <c r="H229" s="2">
        <v>3</v>
      </c>
      <c r="I229">
        <v>1</v>
      </c>
      <c r="J229">
        <v>0</v>
      </c>
      <c r="K229" s="2">
        <v>2</v>
      </c>
      <c r="L229">
        <v>0</v>
      </c>
      <c r="M229" s="7">
        <v>1</v>
      </c>
      <c r="N229" s="7">
        <v>1</v>
      </c>
      <c r="O229">
        <v>1</v>
      </c>
      <c r="P229" t="s">
        <v>14</v>
      </c>
      <c r="Q229">
        <v>1</v>
      </c>
      <c r="R229" s="8">
        <f>(Tabela2[[#This Row],[FAF_atividade_fisica_frequente_em_horas]]+ 0.1)</f>
        <v>1.1000000000000001</v>
      </c>
      <c r="S229" s="1">
        <f>(Tabela2[[#This Row],[TUE_tempo_uso_aparelhos_em_horas]]/Tabela2[[#This Row],[FAF_Var]])</f>
        <v>0.90909090909090906</v>
      </c>
      <c r="T229">
        <f>(Tabela2[[#This Row],[CAEC_lanche_entre_refeicoes]]*Tabela2[[#This Row],[FAVC_consumo_frequente_de_alimentos_mt_caloricos]])</f>
        <v>1</v>
      </c>
      <c r="U229" s="1">
        <f>IF(OR(Tabela2[[#This Row],[MTRANS]]="Walking",Tabela2[[#This Row],[MTRANS]]="Bike"),Tabela2[[#This Row],[FAF_atividade_fisica_frequente_em_horas]]+1,M229)</f>
        <v>1</v>
      </c>
      <c r="V229">
        <f>(Tabela2[[#This Row],[SMOKE]]+Tabela2[[#This Row],[CALC_bebe_alcool_frequentemente]])</f>
        <v>1</v>
      </c>
      <c r="W229" s="8">
        <f>(Tabela2[[#This Row],[Weight]]/(Tabela2[[#This Row],[Height]] ^2))</f>
        <v>22.10028959000152</v>
      </c>
    </row>
    <row r="230" spans="1:23" x14ac:dyDescent="0.25">
      <c r="A230" t="s">
        <v>13</v>
      </c>
      <c r="B230" s="7">
        <v>40</v>
      </c>
      <c r="C230" s="4">
        <v>1.68</v>
      </c>
      <c r="D230" s="7">
        <v>80</v>
      </c>
      <c r="E230">
        <v>0</v>
      </c>
      <c r="F230">
        <v>0</v>
      </c>
      <c r="G230" s="2">
        <v>3</v>
      </c>
      <c r="H230" s="2">
        <v>3</v>
      </c>
      <c r="I230">
        <v>1</v>
      </c>
      <c r="J230">
        <v>0</v>
      </c>
      <c r="K230" s="2">
        <v>3</v>
      </c>
      <c r="L230">
        <v>0</v>
      </c>
      <c r="M230" s="7">
        <v>0</v>
      </c>
      <c r="N230" s="7">
        <v>0</v>
      </c>
      <c r="O230">
        <v>0</v>
      </c>
      <c r="P230" t="s">
        <v>17</v>
      </c>
      <c r="Q230">
        <v>3</v>
      </c>
      <c r="R230" s="8">
        <f>(Tabela2[[#This Row],[FAF_atividade_fisica_frequente_em_horas]]+ 0.1)</f>
        <v>0.1</v>
      </c>
      <c r="S230" s="1">
        <f>(Tabela2[[#This Row],[TUE_tempo_uso_aparelhos_em_horas]]/Tabela2[[#This Row],[FAF_Var]])</f>
        <v>0</v>
      </c>
      <c r="T230">
        <f>(Tabela2[[#This Row],[CAEC_lanche_entre_refeicoes]]*Tabela2[[#This Row],[FAVC_consumo_frequente_de_alimentos_mt_caloricos]])</f>
        <v>0</v>
      </c>
      <c r="U230" s="1">
        <f>IF(OR(Tabela2[[#This Row],[MTRANS]]="Walking",Tabela2[[#This Row],[MTRANS]]="Bike"),Tabela2[[#This Row],[FAF_atividade_fisica_frequente_em_horas]]+1,M230)</f>
        <v>0</v>
      </c>
      <c r="V230">
        <f>(Tabela2[[#This Row],[SMOKE]]+Tabela2[[#This Row],[CALC_bebe_alcool_frequentemente]])</f>
        <v>0</v>
      </c>
      <c r="W230" s="8">
        <f>(Tabela2[[#This Row],[Weight]]/(Tabela2[[#This Row],[Height]] ^2))</f>
        <v>28.344671201814062</v>
      </c>
    </row>
    <row r="231" spans="1:23" x14ac:dyDescent="0.25">
      <c r="A231" t="s">
        <v>15</v>
      </c>
      <c r="B231" s="7">
        <v>32</v>
      </c>
      <c r="C231" s="4">
        <v>1.75</v>
      </c>
      <c r="D231" s="7">
        <v>120</v>
      </c>
      <c r="E231">
        <v>1</v>
      </c>
      <c r="F231">
        <v>0</v>
      </c>
      <c r="G231" s="2">
        <v>3</v>
      </c>
      <c r="H231" s="2">
        <v>3</v>
      </c>
      <c r="I231">
        <v>1</v>
      </c>
      <c r="J231">
        <v>0</v>
      </c>
      <c r="K231" s="2">
        <v>3</v>
      </c>
      <c r="L231">
        <v>0</v>
      </c>
      <c r="M231" s="7">
        <v>0</v>
      </c>
      <c r="N231" s="7">
        <v>2</v>
      </c>
      <c r="O231">
        <v>0</v>
      </c>
      <c r="P231" t="s">
        <v>17</v>
      </c>
      <c r="Q231">
        <v>5</v>
      </c>
      <c r="R231" s="8">
        <f>(Tabela2[[#This Row],[FAF_atividade_fisica_frequente_em_horas]]+ 0.1)</f>
        <v>0.1</v>
      </c>
      <c r="S231" s="1">
        <f>(Tabela2[[#This Row],[TUE_tempo_uso_aparelhos_em_horas]]/Tabela2[[#This Row],[FAF_Var]])</f>
        <v>20</v>
      </c>
      <c r="T231">
        <f>(Tabela2[[#This Row],[CAEC_lanche_entre_refeicoes]]*Tabela2[[#This Row],[FAVC_consumo_frequente_de_alimentos_mt_caloricos]])</f>
        <v>0</v>
      </c>
      <c r="U231" s="1">
        <f>IF(OR(Tabela2[[#This Row],[MTRANS]]="Walking",Tabela2[[#This Row],[MTRANS]]="Bike"),Tabela2[[#This Row],[FAF_atividade_fisica_frequente_em_horas]]+1,M231)</f>
        <v>0</v>
      </c>
      <c r="V231">
        <f>(Tabela2[[#This Row],[SMOKE]]+Tabela2[[#This Row],[CALC_bebe_alcool_frequentemente]])</f>
        <v>0</v>
      </c>
      <c r="W231" s="8">
        <f>(Tabela2[[#This Row],[Weight]]/(Tabela2[[#This Row],[Height]] ^2))</f>
        <v>39.183673469387756</v>
      </c>
    </row>
    <row r="232" spans="1:23" x14ac:dyDescent="0.25">
      <c r="A232" t="s">
        <v>15</v>
      </c>
      <c r="B232" s="7">
        <v>20</v>
      </c>
      <c r="C232" s="4">
        <v>1.9</v>
      </c>
      <c r="D232" s="7">
        <v>91</v>
      </c>
      <c r="E232">
        <v>1</v>
      </c>
      <c r="F232">
        <v>1</v>
      </c>
      <c r="G232" s="2">
        <v>3</v>
      </c>
      <c r="H232" s="2">
        <v>4</v>
      </c>
      <c r="I232">
        <v>1</v>
      </c>
      <c r="J232">
        <v>0</v>
      </c>
      <c r="K232" s="2">
        <v>3</v>
      </c>
      <c r="L232">
        <v>0</v>
      </c>
      <c r="M232" s="7">
        <v>2</v>
      </c>
      <c r="N232" s="7">
        <v>0</v>
      </c>
      <c r="O232">
        <v>1</v>
      </c>
      <c r="P232" t="s">
        <v>16</v>
      </c>
      <c r="Q232">
        <v>2</v>
      </c>
      <c r="R232" s="8">
        <f>(Tabela2[[#This Row],[FAF_atividade_fisica_frequente_em_horas]]+ 0.1)</f>
        <v>2.1</v>
      </c>
      <c r="S232" s="1">
        <f>(Tabela2[[#This Row],[TUE_tempo_uso_aparelhos_em_horas]]/Tabela2[[#This Row],[FAF_Var]])</f>
        <v>0</v>
      </c>
      <c r="T232">
        <f>(Tabela2[[#This Row],[CAEC_lanche_entre_refeicoes]]*Tabela2[[#This Row],[FAVC_consumo_frequente_de_alimentos_mt_caloricos]])</f>
        <v>1</v>
      </c>
      <c r="U232" s="1">
        <f>IF(OR(Tabela2[[#This Row],[MTRANS]]="Walking",Tabela2[[#This Row],[MTRANS]]="Bike"),Tabela2[[#This Row],[FAF_atividade_fisica_frequente_em_horas]]+1,M232)</f>
        <v>3</v>
      </c>
      <c r="V232">
        <f>(Tabela2[[#This Row],[SMOKE]]+Tabela2[[#This Row],[CALC_bebe_alcool_frequentemente]])</f>
        <v>1</v>
      </c>
      <c r="W232" s="8">
        <f>(Tabela2[[#This Row],[Weight]]/(Tabela2[[#This Row],[Height]] ^2))</f>
        <v>25.207756232686982</v>
      </c>
    </row>
    <row r="233" spans="1:23" x14ac:dyDescent="0.25">
      <c r="A233" t="s">
        <v>13</v>
      </c>
      <c r="B233" s="7">
        <v>21</v>
      </c>
      <c r="C233" s="4">
        <v>1.63</v>
      </c>
      <c r="D233" s="7">
        <v>66</v>
      </c>
      <c r="E233">
        <v>1</v>
      </c>
      <c r="F233">
        <v>1</v>
      </c>
      <c r="G233" s="2">
        <v>3</v>
      </c>
      <c r="H233" s="2">
        <v>1</v>
      </c>
      <c r="I233">
        <v>1</v>
      </c>
      <c r="J233">
        <v>1</v>
      </c>
      <c r="K233" s="2">
        <v>3</v>
      </c>
      <c r="L233">
        <v>0</v>
      </c>
      <c r="M233" s="7">
        <v>0</v>
      </c>
      <c r="N233" s="7">
        <v>0</v>
      </c>
      <c r="O233">
        <v>1</v>
      </c>
      <c r="P233" t="s">
        <v>14</v>
      </c>
      <c r="Q233">
        <v>1</v>
      </c>
      <c r="R233" s="8">
        <f>(Tabela2[[#This Row],[FAF_atividade_fisica_frequente_em_horas]]+ 0.1)</f>
        <v>0.1</v>
      </c>
      <c r="S233" s="1">
        <f>(Tabela2[[#This Row],[TUE_tempo_uso_aparelhos_em_horas]]/Tabela2[[#This Row],[FAF_Var]])</f>
        <v>0</v>
      </c>
      <c r="T233">
        <f>(Tabela2[[#This Row],[CAEC_lanche_entre_refeicoes]]*Tabela2[[#This Row],[FAVC_consumo_frequente_de_alimentos_mt_caloricos]])</f>
        <v>1</v>
      </c>
      <c r="U233" s="1">
        <f>IF(OR(Tabela2[[#This Row],[MTRANS]]="Walking",Tabela2[[#This Row],[MTRANS]]="Bike"),Tabela2[[#This Row],[FAF_atividade_fisica_frequente_em_horas]]+1,M233)</f>
        <v>0</v>
      </c>
      <c r="V233">
        <f>(Tabela2[[#This Row],[SMOKE]]+Tabela2[[#This Row],[CALC_bebe_alcool_frequentemente]])</f>
        <v>2</v>
      </c>
      <c r="W233" s="8">
        <f>(Tabela2[[#This Row],[Weight]]/(Tabela2[[#This Row],[Height]] ^2))</f>
        <v>24.840980089578082</v>
      </c>
    </row>
    <row r="234" spans="1:23" x14ac:dyDescent="0.25">
      <c r="A234" t="s">
        <v>13</v>
      </c>
      <c r="B234" s="7">
        <v>51</v>
      </c>
      <c r="C234" s="4">
        <v>1.59</v>
      </c>
      <c r="D234" s="7">
        <v>50</v>
      </c>
      <c r="E234">
        <v>1</v>
      </c>
      <c r="F234">
        <v>0</v>
      </c>
      <c r="G234" s="2">
        <v>3</v>
      </c>
      <c r="H234" s="2">
        <v>3</v>
      </c>
      <c r="I234">
        <v>1</v>
      </c>
      <c r="J234">
        <v>1</v>
      </c>
      <c r="K234" s="2">
        <v>3</v>
      </c>
      <c r="L234">
        <v>1</v>
      </c>
      <c r="M234" s="7">
        <v>2</v>
      </c>
      <c r="N234" s="7">
        <v>0</v>
      </c>
      <c r="O234">
        <v>0</v>
      </c>
      <c r="P234" t="s">
        <v>14</v>
      </c>
      <c r="Q234">
        <v>1</v>
      </c>
      <c r="R234" s="8">
        <f>(Tabela2[[#This Row],[FAF_atividade_fisica_frequente_em_horas]]+ 0.1)</f>
        <v>2.1</v>
      </c>
      <c r="S234" s="1">
        <f>(Tabela2[[#This Row],[TUE_tempo_uso_aparelhos_em_horas]]/Tabela2[[#This Row],[FAF_Var]])</f>
        <v>0</v>
      </c>
      <c r="T234">
        <f>(Tabela2[[#This Row],[CAEC_lanche_entre_refeicoes]]*Tabela2[[#This Row],[FAVC_consumo_frequente_de_alimentos_mt_caloricos]])</f>
        <v>0</v>
      </c>
      <c r="U234" s="1">
        <f>IF(OR(Tabela2[[#This Row],[MTRANS]]="Walking",Tabela2[[#This Row],[MTRANS]]="Bike"),Tabela2[[#This Row],[FAF_atividade_fisica_frequente_em_horas]]+1,M234)</f>
        <v>2</v>
      </c>
      <c r="V234">
        <f>(Tabela2[[#This Row],[SMOKE]]+Tabela2[[#This Row],[CALC_bebe_alcool_frequentemente]])</f>
        <v>1</v>
      </c>
      <c r="W234" s="8">
        <f>(Tabela2[[#This Row],[Weight]]/(Tabela2[[#This Row],[Height]] ^2))</f>
        <v>19.77769866698311</v>
      </c>
    </row>
    <row r="235" spans="1:23" x14ac:dyDescent="0.25">
      <c r="A235" t="s">
        <v>13</v>
      </c>
      <c r="B235" s="7">
        <v>34</v>
      </c>
      <c r="C235" s="4">
        <v>1.68</v>
      </c>
      <c r="D235" s="7">
        <v>77</v>
      </c>
      <c r="E235">
        <v>1</v>
      </c>
      <c r="F235">
        <v>0</v>
      </c>
      <c r="G235" s="2">
        <v>3</v>
      </c>
      <c r="H235" s="2">
        <v>1</v>
      </c>
      <c r="I235">
        <v>1</v>
      </c>
      <c r="J235">
        <v>0</v>
      </c>
      <c r="K235" s="2">
        <v>2</v>
      </c>
      <c r="L235">
        <v>0</v>
      </c>
      <c r="M235" s="7">
        <v>1</v>
      </c>
      <c r="N235" s="7">
        <v>0</v>
      </c>
      <c r="O235">
        <v>1</v>
      </c>
      <c r="P235" t="s">
        <v>17</v>
      </c>
      <c r="Q235">
        <v>3</v>
      </c>
      <c r="R235" s="8">
        <f>(Tabela2[[#This Row],[FAF_atividade_fisica_frequente_em_horas]]+ 0.1)</f>
        <v>1.1000000000000001</v>
      </c>
      <c r="S235" s="1">
        <f>(Tabela2[[#This Row],[TUE_tempo_uso_aparelhos_em_horas]]/Tabela2[[#This Row],[FAF_Var]])</f>
        <v>0</v>
      </c>
      <c r="T235">
        <f>(Tabela2[[#This Row],[CAEC_lanche_entre_refeicoes]]*Tabela2[[#This Row],[FAVC_consumo_frequente_de_alimentos_mt_caloricos]])</f>
        <v>0</v>
      </c>
      <c r="U235" s="1">
        <f>IF(OR(Tabela2[[#This Row],[MTRANS]]="Walking",Tabela2[[#This Row],[MTRANS]]="Bike"),Tabela2[[#This Row],[FAF_atividade_fisica_frequente_em_horas]]+1,M235)</f>
        <v>1</v>
      </c>
      <c r="V235">
        <f>(Tabela2[[#This Row],[SMOKE]]+Tabela2[[#This Row],[CALC_bebe_alcool_frequentemente]])</f>
        <v>1</v>
      </c>
      <c r="W235" s="8">
        <f>(Tabela2[[#This Row],[Weight]]/(Tabela2[[#This Row],[Height]] ^2))</f>
        <v>27.281746031746035</v>
      </c>
    </row>
    <row r="236" spans="1:23" x14ac:dyDescent="0.25">
      <c r="A236" t="s">
        <v>13</v>
      </c>
      <c r="B236" s="7">
        <v>19</v>
      </c>
      <c r="C236" s="4">
        <v>1.59</v>
      </c>
      <c r="D236" s="7">
        <v>49</v>
      </c>
      <c r="E236">
        <v>1</v>
      </c>
      <c r="F236">
        <v>1</v>
      </c>
      <c r="G236" s="2">
        <v>2</v>
      </c>
      <c r="H236" s="2">
        <v>1</v>
      </c>
      <c r="I236">
        <v>0</v>
      </c>
      <c r="J236">
        <v>0</v>
      </c>
      <c r="K236" s="2">
        <v>2</v>
      </c>
      <c r="L236">
        <v>0</v>
      </c>
      <c r="M236" s="7">
        <v>2</v>
      </c>
      <c r="N236" s="7">
        <v>0</v>
      </c>
      <c r="O236">
        <v>0</v>
      </c>
      <c r="P236" t="s">
        <v>14</v>
      </c>
      <c r="Q236">
        <v>1</v>
      </c>
      <c r="R236" s="8">
        <f>(Tabela2[[#This Row],[FAF_atividade_fisica_frequente_em_horas]]+ 0.1)</f>
        <v>2.1</v>
      </c>
      <c r="S236" s="1">
        <f>(Tabela2[[#This Row],[TUE_tempo_uso_aparelhos_em_horas]]/Tabela2[[#This Row],[FAF_Var]])</f>
        <v>0</v>
      </c>
      <c r="T236">
        <f>(Tabela2[[#This Row],[CAEC_lanche_entre_refeicoes]]*Tabela2[[#This Row],[FAVC_consumo_frequente_de_alimentos_mt_caloricos]])</f>
        <v>0</v>
      </c>
      <c r="U236" s="1">
        <f>IF(OR(Tabela2[[#This Row],[MTRANS]]="Walking",Tabela2[[#This Row],[MTRANS]]="Bike"),Tabela2[[#This Row],[FAF_atividade_fisica_frequente_em_horas]]+1,M236)</f>
        <v>2</v>
      </c>
      <c r="V236">
        <f>(Tabela2[[#This Row],[SMOKE]]+Tabela2[[#This Row],[CALC_bebe_alcool_frequentemente]])</f>
        <v>0</v>
      </c>
      <c r="W236" s="8">
        <f>(Tabela2[[#This Row],[Weight]]/(Tabela2[[#This Row],[Height]] ^2))</f>
        <v>19.382144693643447</v>
      </c>
    </row>
    <row r="237" spans="1:23" x14ac:dyDescent="0.25">
      <c r="A237" t="s">
        <v>13</v>
      </c>
      <c r="B237" s="7">
        <v>19</v>
      </c>
      <c r="C237" s="4">
        <v>1.69</v>
      </c>
      <c r="D237" s="7">
        <v>70</v>
      </c>
      <c r="E237">
        <v>1</v>
      </c>
      <c r="F237">
        <v>0</v>
      </c>
      <c r="G237" s="2">
        <v>2</v>
      </c>
      <c r="H237" s="2">
        <v>1</v>
      </c>
      <c r="I237">
        <v>0</v>
      </c>
      <c r="J237">
        <v>0</v>
      </c>
      <c r="K237" s="2">
        <v>2</v>
      </c>
      <c r="L237">
        <v>0</v>
      </c>
      <c r="M237" s="7">
        <v>2</v>
      </c>
      <c r="N237" s="7">
        <v>0</v>
      </c>
      <c r="O237">
        <v>0</v>
      </c>
      <c r="P237" t="s">
        <v>14</v>
      </c>
      <c r="Q237">
        <v>1</v>
      </c>
      <c r="R237" s="8">
        <f>(Tabela2[[#This Row],[FAF_atividade_fisica_frequente_em_horas]]+ 0.1)</f>
        <v>2.1</v>
      </c>
      <c r="S237" s="1">
        <f>(Tabela2[[#This Row],[TUE_tempo_uso_aparelhos_em_horas]]/Tabela2[[#This Row],[FAF_Var]])</f>
        <v>0</v>
      </c>
      <c r="T237">
        <f>(Tabela2[[#This Row],[CAEC_lanche_entre_refeicoes]]*Tabela2[[#This Row],[FAVC_consumo_frequente_de_alimentos_mt_caloricos]])</f>
        <v>0</v>
      </c>
      <c r="U237" s="1">
        <f>IF(OR(Tabela2[[#This Row],[MTRANS]]="Walking",Tabela2[[#This Row],[MTRANS]]="Bike"),Tabela2[[#This Row],[FAF_atividade_fisica_frequente_em_horas]]+1,M237)</f>
        <v>2</v>
      </c>
      <c r="V237">
        <f>(Tabela2[[#This Row],[SMOKE]]+Tabela2[[#This Row],[CALC_bebe_alcool_frequentemente]])</f>
        <v>0</v>
      </c>
      <c r="W237" s="8">
        <f>(Tabela2[[#This Row],[Weight]]/(Tabela2[[#This Row],[Height]] ^2))</f>
        <v>24.508945765204302</v>
      </c>
    </row>
    <row r="238" spans="1:23" x14ac:dyDescent="0.25">
      <c r="A238" t="s">
        <v>13</v>
      </c>
      <c r="B238" s="7">
        <v>21</v>
      </c>
      <c r="C238" s="4">
        <v>1.66</v>
      </c>
      <c r="D238" s="7">
        <v>59</v>
      </c>
      <c r="E238">
        <v>0</v>
      </c>
      <c r="F238">
        <v>1</v>
      </c>
      <c r="G238" s="2">
        <v>1</v>
      </c>
      <c r="H238" s="2">
        <v>3</v>
      </c>
      <c r="I238">
        <v>3</v>
      </c>
      <c r="J238">
        <v>0</v>
      </c>
      <c r="K238" s="2">
        <v>2</v>
      </c>
      <c r="L238">
        <v>1</v>
      </c>
      <c r="M238" s="7">
        <v>3</v>
      </c>
      <c r="N238" s="7">
        <v>0</v>
      </c>
      <c r="O238">
        <v>0</v>
      </c>
      <c r="P238" t="s">
        <v>17</v>
      </c>
      <c r="Q238">
        <v>1</v>
      </c>
      <c r="R238" s="8">
        <f>(Tabela2[[#This Row],[FAF_atividade_fisica_frequente_em_horas]]+ 0.1)</f>
        <v>3.1</v>
      </c>
      <c r="S238" s="1">
        <f>(Tabela2[[#This Row],[TUE_tempo_uso_aparelhos_em_horas]]/Tabela2[[#This Row],[FAF_Var]])</f>
        <v>0</v>
      </c>
      <c r="T238">
        <f>(Tabela2[[#This Row],[CAEC_lanche_entre_refeicoes]]*Tabela2[[#This Row],[FAVC_consumo_frequente_de_alimentos_mt_caloricos]])</f>
        <v>3</v>
      </c>
      <c r="U238" s="1">
        <f>IF(OR(Tabela2[[#This Row],[MTRANS]]="Walking",Tabela2[[#This Row],[MTRANS]]="Bike"),Tabela2[[#This Row],[FAF_atividade_fisica_frequente_em_horas]]+1,M238)</f>
        <v>3</v>
      </c>
      <c r="V238">
        <f>(Tabela2[[#This Row],[SMOKE]]+Tabela2[[#This Row],[CALC_bebe_alcool_frequentemente]])</f>
        <v>0</v>
      </c>
      <c r="W238" s="8">
        <f>(Tabela2[[#This Row],[Weight]]/(Tabela2[[#This Row],[Height]] ^2))</f>
        <v>21.410944984758313</v>
      </c>
    </row>
    <row r="239" spans="1:23" x14ac:dyDescent="0.25">
      <c r="A239" t="s">
        <v>13</v>
      </c>
      <c r="B239" s="7">
        <v>19</v>
      </c>
      <c r="C239" s="4">
        <v>1.64</v>
      </c>
      <c r="D239" s="7">
        <v>53</v>
      </c>
      <c r="E239">
        <v>1</v>
      </c>
      <c r="F239">
        <v>1</v>
      </c>
      <c r="G239" s="2">
        <v>3</v>
      </c>
      <c r="H239" s="2">
        <v>3</v>
      </c>
      <c r="I239">
        <v>1</v>
      </c>
      <c r="J239">
        <v>0</v>
      </c>
      <c r="K239" s="2">
        <v>1</v>
      </c>
      <c r="L239">
        <v>0</v>
      </c>
      <c r="M239" s="7">
        <v>1</v>
      </c>
      <c r="N239" s="7">
        <v>1</v>
      </c>
      <c r="O239">
        <v>0</v>
      </c>
      <c r="P239" t="s">
        <v>14</v>
      </c>
      <c r="Q239">
        <v>1</v>
      </c>
      <c r="R239" s="8">
        <f>(Tabela2[[#This Row],[FAF_atividade_fisica_frequente_em_horas]]+ 0.1)</f>
        <v>1.1000000000000001</v>
      </c>
      <c r="S239" s="1">
        <f>(Tabela2[[#This Row],[TUE_tempo_uso_aparelhos_em_horas]]/Tabela2[[#This Row],[FAF_Var]])</f>
        <v>0.90909090909090906</v>
      </c>
      <c r="T239">
        <f>(Tabela2[[#This Row],[CAEC_lanche_entre_refeicoes]]*Tabela2[[#This Row],[FAVC_consumo_frequente_de_alimentos_mt_caloricos]])</f>
        <v>1</v>
      </c>
      <c r="U239" s="1">
        <f>IF(OR(Tabela2[[#This Row],[MTRANS]]="Walking",Tabela2[[#This Row],[MTRANS]]="Bike"),Tabela2[[#This Row],[FAF_atividade_fisica_frequente_em_horas]]+1,M239)</f>
        <v>1</v>
      </c>
      <c r="V239">
        <f>(Tabela2[[#This Row],[SMOKE]]+Tabela2[[#This Row],[CALC_bebe_alcool_frequentemente]])</f>
        <v>0</v>
      </c>
      <c r="W239" s="8">
        <f>(Tabela2[[#This Row],[Weight]]/(Tabela2[[#This Row],[Height]] ^2))</f>
        <v>19.705532421177875</v>
      </c>
    </row>
    <row r="240" spans="1:23" x14ac:dyDescent="0.25">
      <c r="A240" t="s">
        <v>13</v>
      </c>
      <c r="B240" s="7">
        <v>20</v>
      </c>
      <c r="C240" s="4">
        <v>1.62</v>
      </c>
      <c r="D240" s="7">
        <v>53</v>
      </c>
      <c r="E240">
        <v>0</v>
      </c>
      <c r="F240">
        <v>1</v>
      </c>
      <c r="G240" s="2">
        <v>3</v>
      </c>
      <c r="H240" s="2">
        <v>1</v>
      </c>
      <c r="I240">
        <v>1</v>
      </c>
      <c r="J240">
        <v>0</v>
      </c>
      <c r="K240" s="2">
        <v>3</v>
      </c>
      <c r="L240">
        <v>0</v>
      </c>
      <c r="M240" s="7">
        <v>1</v>
      </c>
      <c r="N240" s="7">
        <v>1</v>
      </c>
      <c r="O240">
        <v>0</v>
      </c>
      <c r="P240" t="s">
        <v>14</v>
      </c>
      <c r="Q240">
        <v>1</v>
      </c>
      <c r="R240" s="8">
        <f>(Tabela2[[#This Row],[FAF_atividade_fisica_frequente_em_horas]]+ 0.1)</f>
        <v>1.1000000000000001</v>
      </c>
      <c r="S240" s="1">
        <f>(Tabela2[[#This Row],[TUE_tempo_uso_aparelhos_em_horas]]/Tabela2[[#This Row],[FAF_Var]])</f>
        <v>0.90909090909090906</v>
      </c>
      <c r="T240">
        <f>(Tabela2[[#This Row],[CAEC_lanche_entre_refeicoes]]*Tabela2[[#This Row],[FAVC_consumo_frequente_de_alimentos_mt_caloricos]])</f>
        <v>1</v>
      </c>
      <c r="U240" s="1">
        <f>IF(OR(Tabela2[[#This Row],[MTRANS]]="Walking",Tabela2[[#This Row],[MTRANS]]="Bike"),Tabela2[[#This Row],[FAF_atividade_fisica_frequente_em_horas]]+1,M240)</f>
        <v>1</v>
      </c>
      <c r="V240">
        <f>(Tabela2[[#This Row],[SMOKE]]+Tabela2[[#This Row],[CALC_bebe_alcool_frequentemente]])</f>
        <v>0</v>
      </c>
      <c r="W240" s="8">
        <f>(Tabela2[[#This Row],[Weight]]/(Tabela2[[#This Row],[Height]] ^2))</f>
        <v>20.195092211553114</v>
      </c>
    </row>
    <row r="241" spans="1:23" x14ac:dyDescent="0.25">
      <c r="A241" t="s">
        <v>13</v>
      </c>
      <c r="B241" s="7">
        <v>19</v>
      </c>
      <c r="C241" s="4">
        <v>1.7</v>
      </c>
      <c r="D241" s="7">
        <v>64</v>
      </c>
      <c r="E241">
        <v>1</v>
      </c>
      <c r="F241">
        <v>1</v>
      </c>
      <c r="G241" s="2">
        <v>3</v>
      </c>
      <c r="H241" s="2">
        <v>3</v>
      </c>
      <c r="I241">
        <v>0</v>
      </c>
      <c r="J241">
        <v>0</v>
      </c>
      <c r="K241" s="2">
        <v>3</v>
      </c>
      <c r="L241">
        <v>1</v>
      </c>
      <c r="M241" s="7">
        <v>3</v>
      </c>
      <c r="N241" s="7">
        <v>1</v>
      </c>
      <c r="O241">
        <v>0</v>
      </c>
      <c r="P241" t="s">
        <v>14</v>
      </c>
      <c r="Q241">
        <v>1</v>
      </c>
      <c r="R241" s="8">
        <f>(Tabela2[[#This Row],[FAF_atividade_fisica_frequente_em_horas]]+ 0.1)</f>
        <v>3.1</v>
      </c>
      <c r="S241" s="1">
        <f>(Tabela2[[#This Row],[TUE_tempo_uso_aparelhos_em_horas]]/Tabela2[[#This Row],[FAF_Var]])</f>
        <v>0.32258064516129031</v>
      </c>
      <c r="T241">
        <f>(Tabela2[[#This Row],[CAEC_lanche_entre_refeicoes]]*Tabela2[[#This Row],[FAVC_consumo_frequente_de_alimentos_mt_caloricos]])</f>
        <v>0</v>
      </c>
      <c r="U241" s="1">
        <f>IF(OR(Tabela2[[#This Row],[MTRANS]]="Walking",Tabela2[[#This Row],[MTRANS]]="Bike"),Tabela2[[#This Row],[FAF_atividade_fisica_frequente_em_horas]]+1,M241)</f>
        <v>3</v>
      </c>
      <c r="V241">
        <f>(Tabela2[[#This Row],[SMOKE]]+Tabela2[[#This Row],[CALC_bebe_alcool_frequentemente]])</f>
        <v>0</v>
      </c>
      <c r="W241" s="8">
        <f>(Tabela2[[#This Row],[Weight]]/(Tabela2[[#This Row],[Height]] ^2))</f>
        <v>22.145328719723185</v>
      </c>
    </row>
    <row r="242" spans="1:23" x14ac:dyDescent="0.25">
      <c r="A242" t="s">
        <v>13</v>
      </c>
      <c r="B242" s="7">
        <v>17</v>
      </c>
      <c r="C242" s="4">
        <v>1.63</v>
      </c>
      <c r="D242" s="7">
        <v>65</v>
      </c>
      <c r="E242">
        <v>0</v>
      </c>
      <c r="F242">
        <v>1</v>
      </c>
      <c r="G242" s="2">
        <v>2</v>
      </c>
      <c r="H242" s="2">
        <v>1</v>
      </c>
      <c r="I242">
        <v>1</v>
      </c>
      <c r="J242">
        <v>0</v>
      </c>
      <c r="K242" s="2">
        <v>3</v>
      </c>
      <c r="L242">
        <v>0</v>
      </c>
      <c r="M242" s="7">
        <v>1</v>
      </c>
      <c r="N242" s="7">
        <v>1</v>
      </c>
      <c r="O242">
        <v>0</v>
      </c>
      <c r="P242" t="s">
        <v>14</v>
      </c>
      <c r="Q242">
        <v>1</v>
      </c>
      <c r="R242" s="8">
        <f>(Tabela2[[#This Row],[FAF_atividade_fisica_frequente_em_horas]]+ 0.1)</f>
        <v>1.1000000000000001</v>
      </c>
      <c r="S242" s="1">
        <f>(Tabela2[[#This Row],[TUE_tempo_uso_aparelhos_em_horas]]/Tabela2[[#This Row],[FAF_Var]])</f>
        <v>0.90909090909090906</v>
      </c>
      <c r="T242">
        <f>(Tabela2[[#This Row],[CAEC_lanche_entre_refeicoes]]*Tabela2[[#This Row],[FAVC_consumo_frequente_de_alimentos_mt_caloricos]])</f>
        <v>1</v>
      </c>
      <c r="U242" s="1">
        <f>IF(OR(Tabela2[[#This Row],[MTRANS]]="Walking",Tabela2[[#This Row],[MTRANS]]="Bike"),Tabela2[[#This Row],[FAF_atividade_fisica_frequente_em_horas]]+1,M242)</f>
        <v>1</v>
      </c>
      <c r="V242">
        <f>(Tabela2[[#This Row],[SMOKE]]+Tabela2[[#This Row],[CALC_bebe_alcool_frequentemente]])</f>
        <v>0</v>
      </c>
      <c r="W242" s="8">
        <f>(Tabela2[[#This Row],[Weight]]/(Tabela2[[#This Row],[Height]] ^2))</f>
        <v>24.464601603372351</v>
      </c>
    </row>
    <row r="243" spans="1:23" x14ac:dyDescent="0.25">
      <c r="A243" t="s">
        <v>15</v>
      </c>
      <c r="B243" s="7">
        <v>22</v>
      </c>
      <c r="C243" s="4">
        <v>1.6</v>
      </c>
      <c r="D243" s="7">
        <v>66</v>
      </c>
      <c r="E243">
        <v>0</v>
      </c>
      <c r="F243">
        <v>1</v>
      </c>
      <c r="G243" s="2">
        <v>3</v>
      </c>
      <c r="H243" s="2">
        <v>3</v>
      </c>
      <c r="I243">
        <v>1</v>
      </c>
      <c r="J243">
        <v>0</v>
      </c>
      <c r="K243" s="2">
        <v>2</v>
      </c>
      <c r="L243">
        <v>0</v>
      </c>
      <c r="M243" s="7">
        <v>3</v>
      </c>
      <c r="N243" s="7">
        <v>0</v>
      </c>
      <c r="O243">
        <v>0</v>
      </c>
      <c r="P243" t="s">
        <v>19</v>
      </c>
      <c r="Q243">
        <v>2</v>
      </c>
      <c r="R243" s="8">
        <f>(Tabela2[[#This Row],[FAF_atividade_fisica_frequente_em_horas]]+ 0.1)</f>
        <v>3.1</v>
      </c>
      <c r="S243" s="1">
        <f>(Tabela2[[#This Row],[TUE_tempo_uso_aparelhos_em_horas]]/Tabela2[[#This Row],[FAF_Var]])</f>
        <v>0</v>
      </c>
      <c r="T243">
        <f>(Tabela2[[#This Row],[CAEC_lanche_entre_refeicoes]]*Tabela2[[#This Row],[FAVC_consumo_frequente_de_alimentos_mt_caloricos]])</f>
        <v>1</v>
      </c>
      <c r="U243" s="1">
        <f>IF(OR(Tabela2[[#This Row],[MTRANS]]="Walking",Tabela2[[#This Row],[MTRANS]]="Bike"),Tabela2[[#This Row],[FAF_atividade_fisica_frequente_em_horas]]+1,M243)</f>
        <v>4</v>
      </c>
      <c r="V243">
        <f>(Tabela2[[#This Row],[SMOKE]]+Tabela2[[#This Row],[CALC_bebe_alcool_frequentemente]])</f>
        <v>0</v>
      </c>
      <c r="W243" s="8">
        <f>(Tabela2[[#This Row],[Weight]]/(Tabela2[[#This Row],[Height]] ^2))</f>
        <v>25.781249999999996</v>
      </c>
    </row>
    <row r="244" spans="1:23" x14ac:dyDescent="0.25">
      <c r="A244" t="s">
        <v>13</v>
      </c>
      <c r="B244" s="7">
        <v>20</v>
      </c>
      <c r="C244" s="4">
        <v>1.63</v>
      </c>
      <c r="D244" s="7">
        <v>64</v>
      </c>
      <c r="E244">
        <v>1</v>
      </c>
      <c r="F244">
        <v>1</v>
      </c>
      <c r="G244" s="2">
        <v>1</v>
      </c>
      <c r="H244" s="2">
        <v>3</v>
      </c>
      <c r="I244">
        <v>3</v>
      </c>
      <c r="J244">
        <v>0</v>
      </c>
      <c r="K244" s="2">
        <v>2</v>
      </c>
      <c r="L244">
        <v>0</v>
      </c>
      <c r="M244" s="7">
        <v>0</v>
      </c>
      <c r="N244" s="7">
        <v>2</v>
      </c>
      <c r="O244">
        <v>0</v>
      </c>
      <c r="P244" t="s">
        <v>17</v>
      </c>
      <c r="Q244">
        <v>1</v>
      </c>
      <c r="R244" s="8">
        <f>(Tabela2[[#This Row],[FAF_atividade_fisica_frequente_em_horas]]+ 0.1)</f>
        <v>0.1</v>
      </c>
      <c r="S244" s="1">
        <f>(Tabela2[[#This Row],[TUE_tempo_uso_aparelhos_em_horas]]/Tabela2[[#This Row],[FAF_Var]])</f>
        <v>20</v>
      </c>
      <c r="T244">
        <f>(Tabela2[[#This Row],[CAEC_lanche_entre_refeicoes]]*Tabela2[[#This Row],[FAVC_consumo_frequente_de_alimentos_mt_caloricos]])</f>
        <v>3</v>
      </c>
      <c r="U244" s="1">
        <f>IF(OR(Tabela2[[#This Row],[MTRANS]]="Walking",Tabela2[[#This Row],[MTRANS]]="Bike"),Tabela2[[#This Row],[FAF_atividade_fisica_frequente_em_horas]]+1,M244)</f>
        <v>0</v>
      </c>
      <c r="V244">
        <f>(Tabela2[[#This Row],[SMOKE]]+Tabela2[[#This Row],[CALC_bebe_alcool_frequentemente]])</f>
        <v>0</v>
      </c>
      <c r="W244" s="8">
        <f>(Tabela2[[#This Row],[Weight]]/(Tabela2[[#This Row],[Height]] ^2))</f>
        <v>24.088223117166624</v>
      </c>
    </row>
    <row r="245" spans="1:23" x14ac:dyDescent="0.25">
      <c r="A245" t="s">
        <v>15</v>
      </c>
      <c r="B245" s="7">
        <v>33</v>
      </c>
      <c r="C245" s="4">
        <v>1.85</v>
      </c>
      <c r="D245" s="7">
        <v>99</v>
      </c>
      <c r="E245">
        <v>1</v>
      </c>
      <c r="F245">
        <v>1</v>
      </c>
      <c r="G245" s="2">
        <v>2</v>
      </c>
      <c r="H245" s="2">
        <v>3</v>
      </c>
      <c r="I245">
        <v>1</v>
      </c>
      <c r="J245">
        <v>1</v>
      </c>
      <c r="K245" s="2">
        <v>3</v>
      </c>
      <c r="L245">
        <v>0</v>
      </c>
      <c r="M245" s="7">
        <v>1</v>
      </c>
      <c r="N245" s="7">
        <v>0</v>
      </c>
      <c r="O245">
        <v>1</v>
      </c>
      <c r="P245" t="s">
        <v>17</v>
      </c>
      <c r="Q245">
        <v>3</v>
      </c>
      <c r="R245" s="8">
        <f>(Tabela2[[#This Row],[FAF_atividade_fisica_frequente_em_horas]]+ 0.1)</f>
        <v>1.1000000000000001</v>
      </c>
      <c r="S245" s="1">
        <f>(Tabela2[[#This Row],[TUE_tempo_uso_aparelhos_em_horas]]/Tabela2[[#This Row],[FAF_Var]])</f>
        <v>0</v>
      </c>
      <c r="T245">
        <f>(Tabela2[[#This Row],[CAEC_lanche_entre_refeicoes]]*Tabela2[[#This Row],[FAVC_consumo_frequente_de_alimentos_mt_caloricos]])</f>
        <v>1</v>
      </c>
      <c r="U245" s="1">
        <f>IF(OR(Tabela2[[#This Row],[MTRANS]]="Walking",Tabela2[[#This Row],[MTRANS]]="Bike"),Tabela2[[#This Row],[FAF_atividade_fisica_frequente_em_horas]]+1,M245)</f>
        <v>1</v>
      </c>
      <c r="V245">
        <f>(Tabela2[[#This Row],[SMOKE]]+Tabela2[[#This Row],[CALC_bebe_alcool_frequentemente]])</f>
        <v>2</v>
      </c>
      <c r="W245" s="8">
        <f>(Tabela2[[#This Row],[Weight]]/(Tabela2[[#This Row],[Height]] ^2))</f>
        <v>28.926223520818112</v>
      </c>
    </row>
    <row r="246" spans="1:23" x14ac:dyDescent="0.25">
      <c r="A246" t="s">
        <v>13</v>
      </c>
      <c r="B246" s="7">
        <v>21</v>
      </c>
      <c r="C246" s="4">
        <v>1.54</v>
      </c>
      <c r="D246" s="7">
        <v>49</v>
      </c>
      <c r="E246">
        <v>1</v>
      </c>
      <c r="F246">
        <v>0</v>
      </c>
      <c r="G246" s="2">
        <v>2</v>
      </c>
      <c r="H246" s="2">
        <v>1</v>
      </c>
      <c r="I246">
        <v>1</v>
      </c>
      <c r="J246">
        <v>0</v>
      </c>
      <c r="K246" s="2">
        <v>2</v>
      </c>
      <c r="L246">
        <v>1</v>
      </c>
      <c r="M246" s="7">
        <v>2</v>
      </c>
      <c r="N246" s="7">
        <v>0</v>
      </c>
      <c r="O246">
        <v>1</v>
      </c>
      <c r="P246" t="s">
        <v>14</v>
      </c>
      <c r="Q246">
        <v>1</v>
      </c>
      <c r="R246" s="8">
        <f>(Tabela2[[#This Row],[FAF_atividade_fisica_frequente_em_horas]]+ 0.1)</f>
        <v>2.1</v>
      </c>
      <c r="S246" s="1">
        <f>(Tabela2[[#This Row],[TUE_tempo_uso_aparelhos_em_horas]]/Tabela2[[#This Row],[FAF_Var]])</f>
        <v>0</v>
      </c>
      <c r="T246">
        <f>(Tabela2[[#This Row],[CAEC_lanche_entre_refeicoes]]*Tabela2[[#This Row],[FAVC_consumo_frequente_de_alimentos_mt_caloricos]])</f>
        <v>0</v>
      </c>
      <c r="U246" s="1">
        <f>IF(OR(Tabela2[[#This Row],[MTRANS]]="Walking",Tabela2[[#This Row],[MTRANS]]="Bike"),Tabela2[[#This Row],[FAF_atividade_fisica_frequente_em_horas]]+1,M246)</f>
        <v>2</v>
      </c>
      <c r="V246">
        <f>(Tabela2[[#This Row],[SMOKE]]+Tabela2[[#This Row],[CALC_bebe_alcool_frequentemente]])</f>
        <v>1</v>
      </c>
      <c r="W246" s="8">
        <f>(Tabela2[[#This Row],[Weight]]/(Tabela2[[#This Row],[Height]] ^2))</f>
        <v>20.66115702479339</v>
      </c>
    </row>
    <row r="247" spans="1:23" x14ac:dyDescent="0.25">
      <c r="A247" t="s">
        <v>13</v>
      </c>
      <c r="B247" s="7">
        <v>20</v>
      </c>
      <c r="C247" s="4">
        <v>1.64</v>
      </c>
      <c r="D247" s="7">
        <v>49</v>
      </c>
      <c r="E247">
        <v>0</v>
      </c>
      <c r="F247">
        <v>0</v>
      </c>
      <c r="G247" s="2">
        <v>3</v>
      </c>
      <c r="H247" s="2">
        <v>3</v>
      </c>
      <c r="I247">
        <v>1</v>
      </c>
      <c r="J247">
        <v>1</v>
      </c>
      <c r="K247" s="2">
        <v>2</v>
      </c>
      <c r="L247">
        <v>0</v>
      </c>
      <c r="M247" s="7">
        <v>2</v>
      </c>
      <c r="N247" s="7">
        <v>1</v>
      </c>
      <c r="O247">
        <v>1</v>
      </c>
      <c r="P247" t="s">
        <v>17</v>
      </c>
      <c r="Q247">
        <v>0</v>
      </c>
      <c r="R247" s="8">
        <f>(Tabela2[[#This Row],[FAF_atividade_fisica_frequente_em_horas]]+ 0.1)</f>
        <v>2.1</v>
      </c>
      <c r="S247" s="1">
        <f>(Tabela2[[#This Row],[TUE_tempo_uso_aparelhos_em_horas]]/Tabela2[[#This Row],[FAF_Var]])</f>
        <v>0.47619047619047616</v>
      </c>
      <c r="T247">
        <f>(Tabela2[[#This Row],[CAEC_lanche_entre_refeicoes]]*Tabela2[[#This Row],[FAVC_consumo_frequente_de_alimentos_mt_caloricos]])</f>
        <v>0</v>
      </c>
      <c r="U247" s="1">
        <f>IF(OR(Tabela2[[#This Row],[MTRANS]]="Walking",Tabela2[[#This Row],[MTRANS]]="Bike"),Tabela2[[#This Row],[FAF_atividade_fisica_frequente_em_horas]]+1,M247)</f>
        <v>2</v>
      </c>
      <c r="V247">
        <f>(Tabela2[[#This Row],[SMOKE]]+Tabela2[[#This Row],[CALC_bebe_alcool_frequentemente]])</f>
        <v>2</v>
      </c>
      <c r="W247" s="8">
        <f>(Tabela2[[#This Row],[Weight]]/(Tabela2[[#This Row],[Height]] ^2))</f>
        <v>18.218322427126715</v>
      </c>
    </row>
    <row r="248" spans="1:23" x14ac:dyDescent="0.25">
      <c r="A248" t="s">
        <v>13</v>
      </c>
      <c r="B248" s="7">
        <v>20</v>
      </c>
      <c r="C248" s="4">
        <v>1.57</v>
      </c>
      <c r="D248" s="7">
        <v>60</v>
      </c>
      <c r="E248">
        <v>0</v>
      </c>
      <c r="F248">
        <v>1</v>
      </c>
      <c r="G248" s="2">
        <v>3</v>
      </c>
      <c r="H248" s="2">
        <v>3</v>
      </c>
      <c r="I248">
        <v>1</v>
      </c>
      <c r="J248">
        <v>0</v>
      </c>
      <c r="K248" s="2">
        <v>3</v>
      </c>
      <c r="L248">
        <v>0</v>
      </c>
      <c r="M248" s="7">
        <v>0</v>
      </c>
      <c r="N248" s="7">
        <v>1</v>
      </c>
      <c r="O248">
        <v>1</v>
      </c>
      <c r="P248" t="s">
        <v>14</v>
      </c>
      <c r="Q248">
        <v>1</v>
      </c>
      <c r="R248" s="8">
        <f>(Tabela2[[#This Row],[FAF_atividade_fisica_frequente_em_horas]]+ 0.1)</f>
        <v>0.1</v>
      </c>
      <c r="S248" s="1">
        <f>(Tabela2[[#This Row],[TUE_tempo_uso_aparelhos_em_horas]]/Tabela2[[#This Row],[FAF_Var]])</f>
        <v>10</v>
      </c>
      <c r="T248">
        <f>(Tabela2[[#This Row],[CAEC_lanche_entre_refeicoes]]*Tabela2[[#This Row],[FAVC_consumo_frequente_de_alimentos_mt_caloricos]])</f>
        <v>1</v>
      </c>
      <c r="U248" s="1">
        <f>IF(OR(Tabela2[[#This Row],[MTRANS]]="Walking",Tabela2[[#This Row],[MTRANS]]="Bike"),Tabela2[[#This Row],[FAF_atividade_fisica_frequente_em_horas]]+1,M248)</f>
        <v>0</v>
      </c>
      <c r="V248">
        <f>(Tabela2[[#This Row],[SMOKE]]+Tabela2[[#This Row],[CALC_bebe_alcool_frequentemente]])</f>
        <v>1</v>
      </c>
      <c r="W248" s="8">
        <f>(Tabela2[[#This Row],[Weight]]/(Tabela2[[#This Row],[Height]] ^2))</f>
        <v>24.341758286340216</v>
      </c>
    </row>
    <row r="249" spans="1:23" x14ac:dyDescent="0.25">
      <c r="A249" t="s">
        <v>13</v>
      </c>
      <c r="B249" s="7">
        <v>20</v>
      </c>
      <c r="C249" s="4">
        <v>1.62</v>
      </c>
      <c r="D249" s="7">
        <v>52</v>
      </c>
      <c r="E249">
        <v>0</v>
      </c>
      <c r="F249">
        <v>1</v>
      </c>
      <c r="G249" s="2">
        <v>3</v>
      </c>
      <c r="H249" s="2">
        <v>3</v>
      </c>
      <c r="I249">
        <v>2</v>
      </c>
      <c r="J249">
        <v>0</v>
      </c>
      <c r="K249" s="2">
        <v>1</v>
      </c>
      <c r="L249">
        <v>0</v>
      </c>
      <c r="M249" s="7">
        <v>3</v>
      </c>
      <c r="N249" s="7">
        <v>1</v>
      </c>
      <c r="O249">
        <v>0</v>
      </c>
      <c r="P249" t="s">
        <v>17</v>
      </c>
      <c r="Q249">
        <v>1</v>
      </c>
      <c r="R249" s="8">
        <f>(Tabela2[[#This Row],[FAF_atividade_fisica_frequente_em_horas]]+ 0.1)</f>
        <v>3.1</v>
      </c>
      <c r="S249" s="1">
        <f>(Tabela2[[#This Row],[TUE_tempo_uso_aparelhos_em_horas]]/Tabela2[[#This Row],[FAF_Var]])</f>
        <v>0.32258064516129031</v>
      </c>
      <c r="T249">
        <f>(Tabela2[[#This Row],[CAEC_lanche_entre_refeicoes]]*Tabela2[[#This Row],[FAVC_consumo_frequente_de_alimentos_mt_caloricos]])</f>
        <v>2</v>
      </c>
      <c r="U249" s="1">
        <f>IF(OR(Tabela2[[#This Row],[MTRANS]]="Walking",Tabela2[[#This Row],[MTRANS]]="Bike"),Tabela2[[#This Row],[FAF_atividade_fisica_frequente_em_horas]]+1,M249)</f>
        <v>3</v>
      </c>
      <c r="V249">
        <f>(Tabela2[[#This Row],[SMOKE]]+Tabela2[[#This Row],[CALC_bebe_alcool_frequentemente]])</f>
        <v>0</v>
      </c>
      <c r="W249" s="8">
        <f>(Tabela2[[#This Row],[Weight]]/(Tabela2[[#This Row],[Height]] ^2))</f>
        <v>19.814052735863431</v>
      </c>
    </row>
    <row r="250" spans="1:23" x14ac:dyDescent="0.25">
      <c r="A250" t="s">
        <v>15</v>
      </c>
      <c r="B250" s="7">
        <v>21</v>
      </c>
      <c r="C250" s="4">
        <v>1.72</v>
      </c>
      <c r="D250" s="7">
        <v>72</v>
      </c>
      <c r="E250">
        <v>1</v>
      </c>
      <c r="F250">
        <v>1</v>
      </c>
      <c r="G250" s="2">
        <v>3</v>
      </c>
      <c r="H250" s="2">
        <v>3</v>
      </c>
      <c r="I250">
        <v>3</v>
      </c>
      <c r="J250">
        <v>0</v>
      </c>
      <c r="K250" s="2">
        <v>3</v>
      </c>
      <c r="L250">
        <v>1</v>
      </c>
      <c r="M250" s="7">
        <v>3</v>
      </c>
      <c r="N250" s="7">
        <v>0</v>
      </c>
      <c r="O250">
        <v>1</v>
      </c>
      <c r="P250" t="s">
        <v>17</v>
      </c>
      <c r="Q250">
        <v>1</v>
      </c>
      <c r="R250" s="8">
        <f>(Tabela2[[#This Row],[FAF_atividade_fisica_frequente_em_horas]]+ 0.1)</f>
        <v>3.1</v>
      </c>
      <c r="S250" s="1">
        <f>(Tabela2[[#This Row],[TUE_tempo_uso_aparelhos_em_horas]]/Tabela2[[#This Row],[FAF_Var]])</f>
        <v>0</v>
      </c>
      <c r="T250">
        <f>(Tabela2[[#This Row],[CAEC_lanche_entre_refeicoes]]*Tabela2[[#This Row],[FAVC_consumo_frequente_de_alimentos_mt_caloricos]])</f>
        <v>3</v>
      </c>
      <c r="U250" s="1">
        <f>IF(OR(Tabela2[[#This Row],[MTRANS]]="Walking",Tabela2[[#This Row],[MTRANS]]="Bike"),Tabela2[[#This Row],[FAF_atividade_fisica_frequente_em_horas]]+1,M250)</f>
        <v>3</v>
      </c>
      <c r="V250">
        <f>(Tabela2[[#This Row],[SMOKE]]+Tabela2[[#This Row],[CALC_bebe_alcool_frequentemente]])</f>
        <v>1</v>
      </c>
      <c r="W250" s="8">
        <f>(Tabela2[[#This Row],[Weight]]/(Tabela2[[#This Row],[Height]] ^2))</f>
        <v>24.337479718766904</v>
      </c>
    </row>
    <row r="251" spans="1:23" x14ac:dyDescent="0.25">
      <c r="A251" t="s">
        <v>15</v>
      </c>
      <c r="B251" s="7">
        <v>21</v>
      </c>
      <c r="C251" s="4">
        <v>1.76</v>
      </c>
      <c r="D251" s="7">
        <v>78</v>
      </c>
      <c r="E251">
        <v>1</v>
      </c>
      <c r="F251">
        <v>1</v>
      </c>
      <c r="G251" s="2">
        <v>3</v>
      </c>
      <c r="H251" s="2">
        <v>1</v>
      </c>
      <c r="I251">
        <v>1</v>
      </c>
      <c r="J251">
        <v>0</v>
      </c>
      <c r="K251" s="2">
        <v>2</v>
      </c>
      <c r="L251">
        <v>0</v>
      </c>
      <c r="M251" s="7">
        <v>3</v>
      </c>
      <c r="N251" s="7">
        <v>0</v>
      </c>
      <c r="O251">
        <v>1</v>
      </c>
      <c r="P251" t="s">
        <v>16</v>
      </c>
      <c r="Q251">
        <v>2</v>
      </c>
      <c r="R251" s="8">
        <f>(Tabela2[[#This Row],[FAF_atividade_fisica_frequente_em_horas]]+ 0.1)</f>
        <v>3.1</v>
      </c>
      <c r="S251" s="1">
        <f>(Tabela2[[#This Row],[TUE_tempo_uso_aparelhos_em_horas]]/Tabela2[[#This Row],[FAF_Var]])</f>
        <v>0</v>
      </c>
      <c r="T251">
        <f>(Tabela2[[#This Row],[CAEC_lanche_entre_refeicoes]]*Tabela2[[#This Row],[FAVC_consumo_frequente_de_alimentos_mt_caloricos]])</f>
        <v>1</v>
      </c>
      <c r="U251" s="1">
        <f>IF(OR(Tabela2[[#This Row],[MTRANS]]="Walking",Tabela2[[#This Row],[MTRANS]]="Bike"),Tabela2[[#This Row],[FAF_atividade_fisica_frequente_em_horas]]+1,M251)</f>
        <v>4</v>
      </c>
      <c r="V251">
        <f>(Tabela2[[#This Row],[SMOKE]]+Tabela2[[#This Row],[CALC_bebe_alcool_frequentemente]])</f>
        <v>1</v>
      </c>
      <c r="W251" s="8">
        <f>(Tabela2[[#This Row],[Weight]]/(Tabela2[[#This Row],[Height]] ^2))</f>
        <v>25.180785123966942</v>
      </c>
    </row>
    <row r="252" spans="1:23" x14ac:dyDescent="0.25">
      <c r="A252" t="s">
        <v>13</v>
      </c>
      <c r="B252" s="7">
        <v>20</v>
      </c>
      <c r="C252" s="4">
        <v>1.65</v>
      </c>
      <c r="D252" s="7">
        <v>75</v>
      </c>
      <c r="E252">
        <v>1</v>
      </c>
      <c r="F252">
        <v>1</v>
      </c>
      <c r="G252" s="2">
        <v>3</v>
      </c>
      <c r="H252" s="2">
        <v>1</v>
      </c>
      <c r="I252">
        <v>1</v>
      </c>
      <c r="J252">
        <v>0</v>
      </c>
      <c r="K252" s="2">
        <v>2</v>
      </c>
      <c r="L252">
        <v>0</v>
      </c>
      <c r="M252" s="7">
        <v>1</v>
      </c>
      <c r="N252" s="7">
        <v>1</v>
      </c>
      <c r="O252">
        <v>0</v>
      </c>
      <c r="P252" t="s">
        <v>14</v>
      </c>
      <c r="Q252">
        <v>3</v>
      </c>
      <c r="R252" s="8">
        <f>(Tabela2[[#This Row],[FAF_atividade_fisica_frequente_em_horas]]+ 0.1)</f>
        <v>1.1000000000000001</v>
      </c>
      <c r="S252" s="1">
        <f>(Tabela2[[#This Row],[TUE_tempo_uso_aparelhos_em_horas]]/Tabela2[[#This Row],[FAF_Var]])</f>
        <v>0.90909090909090906</v>
      </c>
      <c r="T252">
        <f>(Tabela2[[#This Row],[CAEC_lanche_entre_refeicoes]]*Tabela2[[#This Row],[FAVC_consumo_frequente_de_alimentos_mt_caloricos]])</f>
        <v>1</v>
      </c>
      <c r="U252" s="1">
        <f>IF(OR(Tabela2[[#This Row],[MTRANS]]="Walking",Tabela2[[#This Row],[MTRANS]]="Bike"),Tabela2[[#This Row],[FAF_atividade_fisica_frequente_em_horas]]+1,M252)</f>
        <v>1</v>
      </c>
      <c r="V252">
        <f>(Tabela2[[#This Row],[SMOKE]]+Tabela2[[#This Row],[CALC_bebe_alcool_frequentemente]])</f>
        <v>0</v>
      </c>
      <c r="W252" s="8">
        <f>(Tabela2[[#This Row],[Weight]]/(Tabela2[[#This Row],[Height]] ^2))</f>
        <v>27.548209366391188</v>
      </c>
    </row>
    <row r="253" spans="1:23" x14ac:dyDescent="0.25">
      <c r="A253" t="s">
        <v>15</v>
      </c>
      <c r="B253" s="7">
        <v>20</v>
      </c>
      <c r="C253" s="4">
        <v>1.67</v>
      </c>
      <c r="D253" s="7">
        <v>78</v>
      </c>
      <c r="E253">
        <v>1</v>
      </c>
      <c r="F253">
        <v>0</v>
      </c>
      <c r="G253" s="2">
        <v>2</v>
      </c>
      <c r="H253" s="2">
        <v>1</v>
      </c>
      <c r="I253">
        <v>1</v>
      </c>
      <c r="J253">
        <v>0</v>
      </c>
      <c r="K253" s="2">
        <v>3</v>
      </c>
      <c r="L253">
        <v>0</v>
      </c>
      <c r="M253" s="7">
        <v>0</v>
      </c>
      <c r="N253" s="7">
        <v>0</v>
      </c>
      <c r="O253">
        <v>2</v>
      </c>
      <c r="P253" t="s">
        <v>17</v>
      </c>
      <c r="Q253">
        <v>3</v>
      </c>
      <c r="R253" s="8">
        <f>(Tabela2[[#This Row],[FAF_atividade_fisica_frequente_em_horas]]+ 0.1)</f>
        <v>0.1</v>
      </c>
      <c r="S253" s="1">
        <f>(Tabela2[[#This Row],[TUE_tempo_uso_aparelhos_em_horas]]/Tabela2[[#This Row],[FAF_Var]])</f>
        <v>0</v>
      </c>
      <c r="T253">
        <f>(Tabela2[[#This Row],[CAEC_lanche_entre_refeicoes]]*Tabela2[[#This Row],[FAVC_consumo_frequente_de_alimentos_mt_caloricos]])</f>
        <v>0</v>
      </c>
      <c r="U253" s="1">
        <f>IF(OR(Tabela2[[#This Row],[MTRANS]]="Walking",Tabela2[[#This Row],[MTRANS]]="Bike"),Tabela2[[#This Row],[FAF_atividade_fisica_frequente_em_horas]]+1,M253)</f>
        <v>0</v>
      </c>
      <c r="V253">
        <f>(Tabela2[[#This Row],[SMOKE]]+Tabela2[[#This Row],[CALC_bebe_alcool_frequentemente]])</f>
        <v>2</v>
      </c>
      <c r="W253" s="8">
        <f>(Tabela2[[#This Row],[Weight]]/(Tabela2[[#This Row],[Height]] ^2))</f>
        <v>27.968016063681024</v>
      </c>
    </row>
    <row r="254" spans="1:23" x14ac:dyDescent="0.25">
      <c r="A254" t="s">
        <v>15</v>
      </c>
      <c r="B254" s="7">
        <v>56</v>
      </c>
      <c r="C254" s="4">
        <v>1.79</v>
      </c>
      <c r="D254" s="7">
        <v>90</v>
      </c>
      <c r="E254">
        <v>1</v>
      </c>
      <c r="F254">
        <v>0</v>
      </c>
      <c r="G254" s="2">
        <v>2</v>
      </c>
      <c r="H254" s="2">
        <v>3</v>
      </c>
      <c r="I254">
        <v>1</v>
      </c>
      <c r="J254">
        <v>1</v>
      </c>
      <c r="K254" s="2">
        <v>2</v>
      </c>
      <c r="L254">
        <v>0</v>
      </c>
      <c r="M254" s="7">
        <v>1</v>
      </c>
      <c r="N254" s="7">
        <v>0</v>
      </c>
      <c r="O254">
        <v>2</v>
      </c>
      <c r="P254" t="s">
        <v>17</v>
      </c>
      <c r="Q254">
        <v>3</v>
      </c>
      <c r="R254" s="8">
        <f>(Tabela2[[#This Row],[FAF_atividade_fisica_frequente_em_horas]]+ 0.1)</f>
        <v>1.1000000000000001</v>
      </c>
      <c r="S254" s="1">
        <f>(Tabela2[[#This Row],[TUE_tempo_uso_aparelhos_em_horas]]/Tabela2[[#This Row],[FAF_Var]])</f>
        <v>0</v>
      </c>
      <c r="T254">
        <f>(Tabela2[[#This Row],[CAEC_lanche_entre_refeicoes]]*Tabela2[[#This Row],[FAVC_consumo_frequente_de_alimentos_mt_caloricos]])</f>
        <v>0</v>
      </c>
      <c r="U254" s="1">
        <f>IF(OR(Tabela2[[#This Row],[MTRANS]]="Walking",Tabela2[[#This Row],[MTRANS]]="Bike"),Tabela2[[#This Row],[FAF_atividade_fisica_frequente_em_horas]]+1,M254)</f>
        <v>1</v>
      </c>
      <c r="V254">
        <f>(Tabela2[[#This Row],[SMOKE]]+Tabela2[[#This Row],[CALC_bebe_alcool_frequentemente]])</f>
        <v>3</v>
      </c>
      <c r="W254" s="8">
        <f>(Tabela2[[#This Row],[Weight]]/(Tabela2[[#This Row],[Height]] ^2))</f>
        <v>28.089010954714272</v>
      </c>
    </row>
    <row r="255" spans="1:23" x14ac:dyDescent="0.25">
      <c r="A255" t="s">
        <v>13</v>
      </c>
      <c r="B255" s="7">
        <v>26</v>
      </c>
      <c r="C255" s="4">
        <v>1.59</v>
      </c>
      <c r="D255" s="7">
        <v>47</v>
      </c>
      <c r="E255">
        <v>1</v>
      </c>
      <c r="F255">
        <v>1</v>
      </c>
      <c r="G255" s="2">
        <v>2</v>
      </c>
      <c r="H255" s="2">
        <v>1</v>
      </c>
      <c r="I255">
        <v>1</v>
      </c>
      <c r="J255">
        <v>0</v>
      </c>
      <c r="K255" s="2">
        <v>2</v>
      </c>
      <c r="L255">
        <v>0</v>
      </c>
      <c r="M255" s="7">
        <v>0</v>
      </c>
      <c r="N255" s="7">
        <v>2</v>
      </c>
      <c r="O255">
        <v>1</v>
      </c>
      <c r="P255" t="s">
        <v>14</v>
      </c>
      <c r="Q255">
        <v>1</v>
      </c>
      <c r="R255" s="8">
        <f>(Tabela2[[#This Row],[FAF_atividade_fisica_frequente_em_horas]]+ 0.1)</f>
        <v>0.1</v>
      </c>
      <c r="S255" s="1">
        <f>(Tabela2[[#This Row],[TUE_tempo_uso_aparelhos_em_horas]]/Tabela2[[#This Row],[FAF_Var]])</f>
        <v>20</v>
      </c>
      <c r="T255">
        <f>(Tabela2[[#This Row],[CAEC_lanche_entre_refeicoes]]*Tabela2[[#This Row],[FAVC_consumo_frequente_de_alimentos_mt_caloricos]])</f>
        <v>1</v>
      </c>
      <c r="U255" s="1">
        <f>IF(OR(Tabela2[[#This Row],[MTRANS]]="Walking",Tabela2[[#This Row],[MTRANS]]="Bike"),Tabela2[[#This Row],[FAF_atividade_fisica_frequente_em_horas]]+1,M255)</f>
        <v>0</v>
      </c>
      <c r="V255">
        <f>(Tabela2[[#This Row],[SMOKE]]+Tabela2[[#This Row],[CALC_bebe_alcool_frequentemente]])</f>
        <v>1</v>
      </c>
      <c r="W255" s="8">
        <f>(Tabela2[[#This Row],[Weight]]/(Tabela2[[#This Row],[Height]] ^2))</f>
        <v>18.591036746964122</v>
      </c>
    </row>
    <row r="256" spans="1:23" x14ac:dyDescent="0.25">
      <c r="A256" t="s">
        <v>13</v>
      </c>
      <c r="B256" s="7">
        <v>22</v>
      </c>
      <c r="C256" s="4">
        <v>1.64</v>
      </c>
      <c r="D256" s="7">
        <v>56</v>
      </c>
      <c r="E256">
        <v>1</v>
      </c>
      <c r="F256">
        <v>0</v>
      </c>
      <c r="G256" s="2">
        <v>3</v>
      </c>
      <c r="H256" s="2">
        <v>3</v>
      </c>
      <c r="I256">
        <v>1</v>
      </c>
      <c r="J256">
        <v>0</v>
      </c>
      <c r="K256" s="2">
        <v>2</v>
      </c>
      <c r="L256">
        <v>0</v>
      </c>
      <c r="M256" s="7">
        <v>0</v>
      </c>
      <c r="N256" s="7">
        <v>0</v>
      </c>
      <c r="O256">
        <v>0</v>
      </c>
      <c r="P256" t="s">
        <v>14</v>
      </c>
      <c r="Q256">
        <v>1</v>
      </c>
      <c r="R256" s="8">
        <f>(Tabela2[[#This Row],[FAF_atividade_fisica_frequente_em_horas]]+ 0.1)</f>
        <v>0.1</v>
      </c>
      <c r="S256" s="1">
        <f>(Tabela2[[#This Row],[TUE_tempo_uso_aparelhos_em_horas]]/Tabela2[[#This Row],[FAF_Var]])</f>
        <v>0</v>
      </c>
      <c r="T256">
        <f>(Tabela2[[#This Row],[CAEC_lanche_entre_refeicoes]]*Tabela2[[#This Row],[FAVC_consumo_frequente_de_alimentos_mt_caloricos]])</f>
        <v>0</v>
      </c>
      <c r="U256" s="1">
        <f>IF(OR(Tabela2[[#This Row],[MTRANS]]="Walking",Tabela2[[#This Row],[MTRANS]]="Bike"),Tabela2[[#This Row],[FAF_atividade_fisica_frequente_em_horas]]+1,M256)</f>
        <v>0</v>
      </c>
      <c r="V256">
        <f>(Tabela2[[#This Row],[SMOKE]]+Tabela2[[#This Row],[CALC_bebe_alcool_frequentemente]])</f>
        <v>0</v>
      </c>
      <c r="W256" s="8">
        <f>(Tabela2[[#This Row],[Weight]]/(Tabela2[[#This Row],[Height]] ^2))</f>
        <v>20.820939916716245</v>
      </c>
    </row>
    <row r="257" spans="1:23" x14ac:dyDescent="0.25">
      <c r="A257" t="s">
        <v>15</v>
      </c>
      <c r="B257" s="7">
        <v>19</v>
      </c>
      <c r="C257" s="4">
        <v>1.78</v>
      </c>
      <c r="D257" s="7">
        <v>81</v>
      </c>
      <c r="E257">
        <v>1</v>
      </c>
      <c r="F257">
        <v>0</v>
      </c>
      <c r="G257" s="2">
        <v>1</v>
      </c>
      <c r="H257" s="2">
        <v>3</v>
      </c>
      <c r="I257">
        <v>1</v>
      </c>
      <c r="J257">
        <v>0</v>
      </c>
      <c r="K257" s="2">
        <v>2</v>
      </c>
      <c r="L257">
        <v>0</v>
      </c>
      <c r="M257" s="7">
        <v>3</v>
      </c>
      <c r="N257" s="7">
        <v>0</v>
      </c>
      <c r="O257">
        <v>0</v>
      </c>
      <c r="P257" t="s">
        <v>19</v>
      </c>
      <c r="Q257">
        <v>2</v>
      </c>
      <c r="R257" s="8">
        <f>(Tabela2[[#This Row],[FAF_atividade_fisica_frequente_em_horas]]+ 0.1)</f>
        <v>3.1</v>
      </c>
      <c r="S257" s="1">
        <f>(Tabela2[[#This Row],[TUE_tempo_uso_aparelhos_em_horas]]/Tabela2[[#This Row],[FAF_Var]])</f>
        <v>0</v>
      </c>
      <c r="T257">
        <f>(Tabela2[[#This Row],[CAEC_lanche_entre_refeicoes]]*Tabela2[[#This Row],[FAVC_consumo_frequente_de_alimentos_mt_caloricos]])</f>
        <v>0</v>
      </c>
      <c r="U257" s="1">
        <f>IF(OR(Tabela2[[#This Row],[MTRANS]]="Walking",Tabela2[[#This Row],[MTRANS]]="Bike"),Tabela2[[#This Row],[FAF_atividade_fisica_frequente_em_horas]]+1,M257)</f>
        <v>4</v>
      </c>
      <c r="V257">
        <f>(Tabela2[[#This Row],[SMOKE]]+Tabela2[[#This Row],[CALC_bebe_alcool_frequentemente]])</f>
        <v>0</v>
      </c>
      <c r="W257" s="8">
        <f>(Tabela2[[#This Row],[Weight]]/(Tabela2[[#This Row],[Height]] ^2))</f>
        <v>25.564953919959599</v>
      </c>
    </row>
    <row r="258" spans="1:23" x14ac:dyDescent="0.25">
      <c r="A258" t="s">
        <v>15</v>
      </c>
      <c r="B258" s="7">
        <v>18</v>
      </c>
      <c r="C258" s="4">
        <v>1.75</v>
      </c>
      <c r="D258" s="7">
        <v>85</v>
      </c>
      <c r="E258">
        <v>1</v>
      </c>
      <c r="F258">
        <v>0</v>
      </c>
      <c r="G258" s="2">
        <v>2</v>
      </c>
      <c r="H258" s="2">
        <v>3</v>
      </c>
      <c r="I258">
        <v>1</v>
      </c>
      <c r="J258">
        <v>0</v>
      </c>
      <c r="K258" s="2">
        <v>3</v>
      </c>
      <c r="L258">
        <v>0</v>
      </c>
      <c r="M258" s="7">
        <v>1</v>
      </c>
      <c r="N258" s="7">
        <v>0</v>
      </c>
      <c r="O258">
        <v>1</v>
      </c>
      <c r="P258" t="s">
        <v>14</v>
      </c>
      <c r="Q258">
        <v>3</v>
      </c>
      <c r="R258" s="8">
        <f>(Tabela2[[#This Row],[FAF_atividade_fisica_frequente_em_horas]]+ 0.1)</f>
        <v>1.1000000000000001</v>
      </c>
      <c r="S258" s="1">
        <f>(Tabela2[[#This Row],[TUE_tempo_uso_aparelhos_em_horas]]/Tabela2[[#This Row],[FAF_Var]])</f>
        <v>0</v>
      </c>
      <c r="T258">
        <f>(Tabela2[[#This Row],[CAEC_lanche_entre_refeicoes]]*Tabela2[[#This Row],[FAVC_consumo_frequente_de_alimentos_mt_caloricos]])</f>
        <v>0</v>
      </c>
      <c r="U258" s="1">
        <f>IF(OR(Tabela2[[#This Row],[MTRANS]]="Walking",Tabela2[[#This Row],[MTRANS]]="Bike"),Tabela2[[#This Row],[FAF_atividade_fisica_frequente_em_horas]]+1,M258)</f>
        <v>1</v>
      </c>
      <c r="V258">
        <f>(Tabela2[[#This Row],[SMOKE]]+Tabela2[[#This Row],[CALC_bebe_alcool_frequentemente]])</f>
        <v>1</v>
      </c>
      <c r="W258" s="8">
        <f>(Tabela2[[#This Row],[Weight]]/(Tabela2[[#This Row],[Height]] ^2))</f>
        <v>27.755102040816325</v>
      </c>
    </row>
    <row r="259" spans="1:23" x14ac:dyDescent="0.25">
      <c r="A259" t="s">
        <v>15</v>
      </c>
      <c r="B259" s="7">
        <v>19</v>
      </c>
      <c r="C259" s="4">
        <v>1.85</v>
      </c>
      <c r="D259" s="7">
        <v>115</v>
      </c>
      <c r="E259">
        <v>0</v>
      </c>
      <c r="F259">
        <v>0</v>
      </c>
      <c r="G259" s="2">
        <v>2</v>
      </c>
      <c r="H259" s="2">
        <v>3</v>
      </c>
      <c r="I259">
        <v>1</v>
      </c>
      <c r="J259">
        <v>0</v>
      </c>
      <c r="K259" s="2">
        <v>3</v>
      </c>
      <c r="L259">
        <v>1</v>
      </c>
      <c r="M259" s="7">
        <v>1</v>
      </c>
      <c r="N259" s="7">
        <v>2</v>
      </c>
      <c r="O259">
        <v>0</v>
      </c>
      <c r="P259" t="s">
        <v>14</v>
      </c>
      <c r="Q259">
        <v>4</v>
      </c>
      <c r="R259" s="8">
        <f>(Tabela2[[#This Row],[FAF_atividade_fisica_frequente_em_horas]]+ 0.1)</f>
        <v>1.1000000000000001</v>
      </c>
      <c r="S259" s="1">
        <f>(Tabela2[[#This Row],[TUE_tempo_uso_aparelhos_em_horas]]/Tabela2[[#This Row],[FAF_Var]])</f>
        <v>1.8181818181818181</v>
      </c>
      <c r="T259">
        <f>(Tabela2[[#This Row],[CAEC_lanche_entre_refeicoes]]*Tabela2[[#This Row],[FAVC_consumo_frequente_de_alimentos_mt_caloricos]])</f>
        <v>0</v>
      </c>
      <c r="U259" s="1">
        <f>IF(OR(Tabela2[[#This Row],[MTRANS]]="Walking",Tabela2[[#This Row],[MTRANS]]="Bike"),Tabela2[[#This Row],[FAF_atividade_fisica_frequente_em_horas]]+1,M259)</f>
        <v>1</v>
      </c>
      <c r="V259">
        <f>(Tabela2[[#This Row],[SMOKE]]+Tabela2[[#This Row],[CALC_bebe_alcool_frequentemente]])</f>
        <v>0</v>
      </c>
      <c r="W259" s="8">
        <f>(Tabela2[[#This Row],[Weight]]/(Tabela2[[#This Row],[Height]] ^2))</f>
        <v>33.601168736303869</v>
      </c>
    </row>
    <row r="260" spans="1:23" x14ac:dyDescent="0.25">
      <c r="A260" t="s">
        <v>15</v>
      </c>
      <c r="B260" s="7">
        <v>18</v>
      </c>
      <c r="C260" s="4">
        <v>1.7</v>
      </c>
      <c r="D260" s="7">
        <v>80</v>
      </c>
      <c r="E260">
        <v>0</v>
      </c>
      <c r="F260">
        <v>0</v>
      </c>
      <c r="G260" s="2">
        <v>3</v>
      </c>
      <c r="H260" s="2">
        <v>1</v>
      </c>
      <c r="I260">
        <v>1</v>
      </c>
      <c r="J260">
        <v>0</v>
      </c>
      <c r="K260" s="2">
        <v>1</v>
      </c>
      <c r="L260">
        <v>0</v>
      </c>
      <c r="M260" s="7">
        <v>1</v>
      </c>
      <c r="N260" s="7">
        <v>0</v>
      </c>
      <c r="O260">
        <v>0</v>
      </c>
      <c r="P260" t="s">
        <v>14</v>
      </c>
      <c r="Q260">
        <v>3</v>
      </c>
      <c r="R260" s="8">
        <f>(Tabela2[[#This Row],[FAF_atividade_fisica_frequente_em_horas]]+ 0.1)</f>
        <v>1.1000000000000001</v>
      </c>
      <c r="S260" s="1">
        <f>(Tabela2[[#This Row],[TUE_tempo_uso_aparelhos_em_horas]]/Tabela2[[#This Row],[FAF_Var]])</f>
        <v>0</v>
      </c>
      <c r="T260">
        <f>(Tabela2[[#This Row],[CAEC_lanche_entre_refeicoes]]*Tabela2[[#This Row],[FAVC_consumo_frequente_de_alimentos_mt_caloricos]])</f>
        <v>0</v>
      </c>
      <c r="U260" s="1">
        <f>IF(OR(Tabela2[[#This Row],[MTRANS]]="Walking",Tabela2[[#This Row],[MTRANS]]="Bike"),Tabela2[[#This Row],[FAF_atividade_fisica_frequente_em_horas]]+1,M260)</f>
        <v>1</v>
      </c>
      <c r="V260">
        <f>(Tabela2[[#This Row],[SMOKE]]+Tabela2[[#This Row],[CALC_bebe_alcool_frequentemente]])</f>
        <v>0</v>
      </c>
      <c r="W260" s="8">
        <f>(Tabela2[[#This Row],[Weight]]/(Tabela2[[#This Row],[Height]] ^2))</f>
        <v>27.681660899653981</v>
      </c>
    </row>
    <row r="261" spans="1:23" x14ac:dyDescent="0.25">
      <c r="A261" t="s">
        <v>13</v>
      </c>
      <c r="B261" s="7">
        <v>18</v>
      </c>
      <c r="C261" s="4">
        <v>1.67</v>
      </c>
      <c r="D261" s="7">
        <v>91</v>
      </c>
      <c r="E261">
        <v>1</v>
      </c>
      <c r="F261">
        <v>1</v>
      </c>
      <c r="G261" s="2">
        <v>1</v>
      </c>
      <c r="H261" s="2">
        <v>3</v>
      </c>
      <c r="I261">
        <v>2</v>
      </c>
      <c r="J261">
        <v>0</v>
      </c>
      <c r="K261" s="2">
        <v>1</v>
      </c>
      <c r="L261">
        <v>0</v>
      </c>
      <c r="M261" s="7">
        <v>0</v>
      </c>
      <c r="N261" s="7">
        <v>1</v>
      </c>
      <c r="O261">
        <v>1</v>
      </c>
      <c r="P261" t="s">
        <v>14</v>
      </c>
      <c r="Q261">
        <v>4</v>
      </c>
      <c r="R261" s="8">
        <f>(Tabela2[[#This Row],[FAF_atividade_fisica_frequente_em_horas]]+ 0.1)</f>
        <v>0.1</v>
      </c>
      <c r="S261" s="1">
        <f>(Tabela2[[#This Row],[TUE_tempo_uso_aparelhos_em_horas]]/Tabela2[[#This Row],[FAF_Var]])</f>
        <v>10</v>
      </c>
      <c r="T261">
        <f>(Tabela2[[#This Row],[CAEC_lanche_entre_refeicoes]]*Tabela2[[#This Row],[FAVC_consumo_frequente_de_alimentos_mt_caloricos]])</f>
        <v>2</v>
      </c>
      <c r="U261" s="1">
        <f>IF(OR(Tabela2[[#This Row],[MTRANS]]="Walking",Tabela2[[#This Row],[MTRANS]]="Bike"),Tabela2[[#This Row],[FAF_atividade_fisica_frequente_em_horas]]+1,M261)</f>
        <v>0</v>
      </c>
      <c r="V261">
        <f>(Tabela2[[#This Row],[SMOKE]]+Tabela2[[#This Row],[CALC_bebe_alcool_frequentemente]])</f>
        <v>1</v>
      </c>
      <c r="W261" s="8">
        <f>(Tabela2[[#This Row],[Weight]]/(Tabela2[[#This Row],[Height]] ^2))</f>
        <v>32.629352074294523</v>
      </c>
    </row>
    <row r="262" spans="1:23" x14ac:dyDescent="0.25">
      <c r="A262" t="s">
        <v>15</v>
      </c>
      <c r="B262" s="7">
        <v>21</v>
      </c>
      <c r="C262" s="4">
        <v>1.72</v>
      </c>
      <c r="D262" s="7">
        <v>75</v>
      </c>
      <c r="E262">
        <v>0</v>
      </c>
      <c r="F262">
        <v>1</v>
      </c>
      <c r="G262" s="2">
        <v>2</v>
      </c>
      <c r="H262" s="2">
        <v>3</v>
      </c>
      <c r="I262">
        <v>1</v>
      </c>
      <c r="J262">
        <v>0</v>
      </c>
      <c r="K262" s="2">
        <v>1</v>
      </c>
      <c r="L262">
        <v>0</v>
      </c>
      <c r="M262" s="7">
        <v>1</v>
      </c>
      <c r="N262" s="7">
        <v>0</v>
      </c>
      <c r="O262">
        <v>0</v>
      </c>
      <c r="P262" t="s">
        <v>14</v>
      </c>
      <c r="Q262">
        <v>2</v>
      </c>
      <c r="R262" s="8">
        <f>(Tabela2[[#This Row],[FAF_atividade_fisica_frequente_em_horas]]+ 0.1)</f>
        <v>1.1000000000000001</v>
      </c>
      <c r="S262" s="1">
        <f>(Tabela2[[#This Row],[TUE_tempo_uso_aparelhos_em_horas]]/Tabela2[[#This Row],[FAF_Var]])</f>
        <v>0</v>
      </c>
      <c r="T262">
        <f>(Tabela2[[#This Row],[CAEC_lanche_entre_refeicoes]]*Tabela2[[#This Row],[FAVC_consumo_frequente_de_alimentos_mt_caloricos]])</f>
        <v>1</v>
      </c>
      <c r="U262" s="1">
        <f>IF(OR(Tabela2[[#This Row],[MTRANS]]="Walking",Tabela2[[#This Row],[MTRANS]]="Bike"),Tabela2[[#This Row],[FAF_atividade_fisica_frequente_em_horas]]+1,M262)</f>
        <v>1</v>
      </c>
      <c r="V262">
        <f>(Tabela2[[#This Row],[SMOKE]]+Tabela2[[#This Row],[CALC_bebe_alcool_frequentemente]])</f>
        <v>0</v>
      </c>
      <c r="W262" s="8">
        <f>(Tabela2[[#This Row],[Weight]]/(Tabela2[[#This Row],[Height]] ^2))</f>
        <v>25.351541373715524</v>
      </c>
    </row>
    <row r="263" spans="1:23" x14ac:dyDescent="0.25">
      <c r="A263" t="s">
        <v>13</v>
      </c>
      <c r="B263" s="7">
        <v>28</v>
      </c>
      <c r="C263" s="4">
        <v>1.7</v>
      </c>
      <c r="D263" s="7">
        <v>73</v>
      </c>
      <c r="E263">
        <v>1</v>
      </c>
      <c r="F263">
        <v>0</v>
      </c>
      <c r="G263" s="2">
        <v>2</v>
      </c>
      <c r="H263" s="2">
        <v>3</v>
      </c>
      <c r="I263">
        <v>2</v>
      </c>
      <c r="J263">
        <v>0</v>
      </c>
      <c r="K263" s="2">
        <v>2</v>
      </c>
      <c r="L263">
        <v>1</v>
      </c>
      <c r="M263" s="7">
        <v>2</v>
      </c>
      <c r="N263" s="7">
        <v>0</v>
      </c>
      <c r="O263">
        <v>1</v>
      </c>
      <c r="P263" t="s">
        <v>16</v>
      </c>
      <c r="Q263">
        <v>2</v>
      </c>
      <c r="R263" s="8">
        <f>(Tabela2[[#This Row],[FAF_atividade_fisica_frequente_em_horas]]+ 0.1)</f>
        <v>2.1</v>
      </c>
      <c r="S263" s="1">
        <f>(Tabela2[[#This Row],[TUE_tempo_uso_aparelhos_em_horas]]/Tabela2[[#This Row],[FAF_Var]])</f>
        <v>0</v>
      </c>
      <c r="T263">
        <f>(Tabela2[[#This Row],[CAEC_lanche_entre_refeicoes]]*Tabela2[[#This Row],[FAVC_consumo_frequente_de_alimentos_mt_caloricos]])</f>
        <v>0</v>
      </c>
      <c r="U263" s="1">
        <f>IF(OR(Tabela2[[#This Row],[MTRANS]]="Walking",Tabela2[[#This Row],[MTRANS]]="Bike"),Tabela2[[#This Row],[FAF_atividade_fisica_frequente_em_horas]]+1,M263)</f>
        <v>3</v>
      </c>
      <c r="V263">
        <f>(Tabela2[[#This Row],[SMOKE]]+Tabela2[[#This Row],[CALC_bebe_alcool_frequentemente]])</f>
        <v>1</v>
      </c>
      <c r="W263" s="8">
        <f>(Tabela2[[#This Row],[Weight]]/(Tabela2[[#This Row],[Height]] ^2))</f>
        <v>25.259515570934258</v>
      </c>
    </row>
    <row r="264" spans="1:23" x14ac:dyDescent="0.25">
      <c r="A264" t="s">
        <v>15</v>
      </c>
      <c r="B264" s="7">
        <v>18</v>
      </c>
      <c r="C264" s="4">
        <v>1.74</v>
      </c>
      <c r="D264" s="7">
        <v>70</v>
      </c>
      <c r="E264">
        <v>0</v>
      </c>
      <c r="F264">
        <v>1</v>
      </c>
      <c r="G264" s="2">
        <v>2</v>
      </c>
      <c r="H264" s="2">
        <v>3</v>
      </c>
      <c r="I264">
        <v>1</v>
      </c>
      <c r="J264">
        <v>0</v>
      </c>
      <c r="K264" s="2">
        <v>2</v>
      </c>
      <c r="L264">
        <v>0</v>
      </c>
      <c r="M264" s="7">
        <v>1</v>
      </c>
      <c r="N264" s="7">
        <v>1</v>
      </c>
      <c r="O264">
        <v>1</v>
      </c>
      <c r="P264" t="s">
        <v>14</v>
      </c>
      <c r="Q264">
        <v>1</v>
      </c>
      <c r="R264" s="8">
        <f>(Tabela2[[#This Row],[FAF_atividade_fisica_frequente_em_horas]]+ 0.1)</f>
        <v>1.1000000000000001</v>
      </c>
      <c r="S264" s="1">
        <f>(Tabela2[[#This Row],[TUE_tempo_uso_aparelhos_em_horas]]/Tabela2[[#This Row],[FAF_Var]])</f>
        <v>0.90909090909090906</v>
      </c>
      <c r="T264">
        <f>(Tabela2[[#This Row],[CAEC_lanche_entre_refeicoes]]*Tabela2[[#This Row],[FAVC_consumo_frequente_de_alimentos_mt_caloricos]])</f>
        <v>1</v>
      </c>
      <c r="U264" s="1">
        <f>IF(OR(Tabela2[[#This Row],[MTRANS]]="Walking",Tabela2[[#This Row],[MTRANS]]="Bike"),Tabela2[[#This Row],[FAF_atividade_fisica_frequente_em_horas]]+1,M264)</f>
        <v>1</v>
      </c>
      <c r="V264">
        <f>(Tabela2[[#This Row],[SMOKE]]+Tabela2[[#This Row],[CALC_bebe_alcool_frequentemente]])</f>
        <v>1</v>
      </c>
      <c r="W264" s="8">
        <f>(Tabela2[[#This Row],[Weight]]/(Tabela2[[#This Row],[Height]] ^2))</f>
        <v>23.120623596247853</v>
      </c>
    </row>
    <row r="265" spans="1:23" x14ac:dyDescent="0.25">
      <c r="A265" t="s">
        <v>15</v>
      </c>
      <c r="B265" s="7">
        <v>23</v>
      </c>
      <c r="C265" s="4">
        <v>1.74</v>
      </c>
      <c r="D265" s="7">
        <v>53</v>
      </c>
      <c r="E265">
        <v>0</v>
      </c>
      <c r="F265">
        <v>1</v>
      </c>
      <c r="G265" s="2">
        <v>2</v>
      </c>
      <c r="H265" s="2">
        <v>3</v>
      </c>
      <c r="I265">
        <v>2</v>
      </c>
      <c r="J265">
        <v>0</v>
      </c>
      <c r="K265" s="2">
        <v>1</v>
      </c>
      <c r="L265">
        <v>0</v>
      </c>
      <c r="M265" s="7">
        <v>3</v>
      </c>
      <c r="N265" s="7">
        <v>2</v>
      </c>
      <c r="O265">
        <v>0</v>
      </c>
      <c r="P265" t="s">
        <v>14</v>
      </c>
      <c r="Q265">
        <v>0</v>
      </c>
      <c r="R265" s="8">
        <f>(Tabela2[[#This Row],[FAF_atividade_fisica_frequente_em_horas]]+ 0.1)</f>
        <v>3.1</v>
      </c>
      <c r="S265" s="1">
        <f>(Tabela2[[#This Row],[TUE_tempo_uso_aparelhos_em_horas]]/Tabela2[[#This Row],[FAF_Var]])</f>
        <v>0.64516129032258063</v>
      </c>
      <c r="T265">
        <f>(Tabela2[[#This Row],[CAEC_lanche_entre_refeicoes]]*Tabela2[[#This Row],[FAVC_consumo_frequente_de_alimentos_mt_caloricos]])</f>
        <v>2</v>
      </c>
      <c r="U265" s="1">
        <f>IF(OR(Tabela2[[#This Row],[MTRANS]]="Walking",Tabela2[[#This Row],[MTRANS]]="Bike"),Tabela2[[#This Row],[FAF_atividade_fisica_frequente_em_horas]]+1,M265)</f>
        <v>3</v>
      </c>
      <c r="V265">
        <f>(Tabela2[[#This Row],[SMOKE]]+Tabela2[[#This Row],[CALC_bebe_alcool_frequentemente]])</f>
        <v>0</v>
      </c>
      <c r="W265" s="8">
        <f>(Tabela2[[#This Row],[Weight]]/(Tabela2[[#This Row],[Height]] ^2))</f>
        <v>17.505615008587661</v>
      </c>
    </row>
    <row r="266" spans="1:23" x14ac:dyDescent="0.25">
      <c r="A266" t="s">
        <v>15</v>
      </c>
      <c r="B266" s="7">
        <v>18</v>
      </c>
      <c r="C266" s="4">
        <v>1.87</v>
      </c>
      <c r="D266" s="7">
        <v>67</v>
      </c>
      <c r="E266">
        <v>1</v>
      </c>
      <c r="F266">
        <v>1</v>
      </c>
      <c r="G266" s="2">
        <v>3</v>
      </c>
      <c r="H266" s="2">
        <v>3</v>
      </c>
      <c r="I266">
        <v>2</v>
      </c>
      <c r="J266">
        <v>0</v>
      </c>
      <c r="K266" s="2">
        <v>3</v>
      </c>
      <c r="L266">
        <v>1</v>
      </c>
      <c r="M266" s="7">
        <v>1</v>
      </c>
      <c r="N266" s="7">
        <v>1</v>
      </c>
      <c r="O266">
        <v>1</v>
      </c>
      <c r="P266" t="s">
        <v>17</v>
      </c>
      <c r="Q266">
        <v>1</v>
      </c>
      <c r="R266" s="8">
        <f>(Tabela2[[#This Row],[FAF_atividade_fisica_frequente_em_horas]]+ 0.1)</f>
        <v>1.1000000000000001</v>
      </c>
      <c r="S266" s="1">
        <f>(Tabela2[[#This Row],[TUE_tempo_uso_aparelhos_em_horas]]/Tabela2[[#This Row],[FAF_Var]])</f>
        <v>0.90909090909090906</v>
      </c>
      <c r="T266">
        <f>(Tabela2[[#This Row],[CAEC_lanche_entre_refeicoes]]*Tabela2[[#This Row],[FAVC_consumo_frequente_de_alimentos_mt_caloricos]])</f>
        <v>2</v>
      </c>
      <c r="U266" s="1">
        <f>IF(OR(Tabela2[[#This Row],[MTRANS]]="Walking",Tabela2[[#This Row],[MTRANS]]="Bike"),Tabela2[[#This Row],[FAF_atividade_fisica_frequente_em_horas]]+1,M266)</f>
        <v>1</v>
      </c>
      <c r="V266">
        <f>(Tabela2[[#This Row],[SMOKE]]+Tabela2[[#This Row],[CALC_bebe_alcool_frequentemente]])</f>
        <v>1</v>
      </c>
      <c r="W266" s="8">
        <f>(Tabela2[[#This Row],[Weight]]/(Tabela2[[#This Row],[Height]] ^2))</f>
        <v>19.159827275586945</v>
      </c>
    </row>
    <row r="267" spans="1:23" x14ac:dyDescent="0.25">
      <c r="A267" t="s">
        <v>15</v>
      </c>
      <c r="B267" s="7">
        <v>18</v>
      </c>
      <c r="C267" s="4">
        <v>1.7</v>
      </c>
      <c r="D267" s="7">
        <v>50</v>
      </c>
      <c r="E267">
        <v>0</v>
      </c>
      <c r="F267">
        <v>1</v>
      </c>
      <c r="G267" s="2">
        <v>1</v>
      </c>
      <c r="H267" s="2">
        <v>3</v>
      </c>
      <c r="I267">
        <v>2</v>
      </c>
      <c r="J267">
        <v>0</v>
      </c>
      <c r="K267" s="2">
        <v>1</v>
      </c>
      <c r="L267">
        <v>0</v>
      </c>
      <c r="M267" s="7">
        <v>2</v>
      </c>
      <c r="N267" s="7">
        <v>1</v>
      </c>
      <c r="O267">
        <v>1</v>
      </c>
      <c r="P267" t="s">
        <v>14</v>
      </c>
      <c r="Q267">
        <v>0</v>
      </c>
      <c r="R267" s="8">
        <f>(Tabela2[[#This Row],[FAF_atividade_fisica_frequente_em_horas]]+ 0.1)</f>
        <v>2.1</v>
      </c>
      <c r="S267" s="1">
        <f>(Tabela2[[#This Row],[TUE_tempo_uso_aparelhos_em_horas]]/Tabela2[[#This Row],[FAF_Var]])</f>
        <v>0.47619047619047616</v>
      </c>
      <c r="T267">
        <f>(Tabela2[[#This Row],[CAEC_lanche_entre_refeicoes]]*Tabela2[[#This Row],[FAVC_consumo_frequente_de_alimentos_mt_caloricos]])</f>
        <v>2</v>
      </c>
      <c r="U267" s="1">
        <f>IF(OR(Tabela2[[#This Row],[MTRANS]]="Walking",Tabela2[[#This Row],[MTRANS]]="Bike"),Tabela2[[#This Row],[FAF_atividade_fisica_frequente_em_horas]]+1,M267)</f>
        <v>2</v>
      </c>
      <c r="V267">
        <f>(Tabela2[[#This Row],[SMOKE]]+Tabela2[[#This Row],[CALC_bebe_alcool_frequentemente]])</f>
        <v>1</v>
      </c>
      <c r="W267" s="8">
        <f>(Tabela2[[#This Row],[Weight]]/(Tabela2[[#This Row],[Height]] ^2))</f>
        <v>17.301038062283737</v>
      </c>
    </row>
    <row r="268" spans="1:23" x14ac:dyDescent="0.25">
      <c r="A268" t="s">
        <v>13</v>
      </c>
      <c r="B268" s="7">
        <v>39</v>
      </c>
      <c r="C268" s="4">
        <v>1.65</v>
      </c>
      <c r="D268" s="7">
        <v>50</v>
      </c>
      <c r="E268">
        <v>0</v>
      </c>
      <c r="F268">
        <v>1</v>
      </c>
      <c r="G268" s="2">
        <v>3</v>
      </c>
      <c r="H268" s="2">
        <v>4</v>
      </c>
      <c r="I268">
        <v>2</v>
      </c>
      <c r="J268">
        <v>0</v>
      </c>
      <c r="K268" s="2">
        <v>2</v>
      </c>
      <c r="L268">
        <v>0</v>
      </c>
      <c r="M268" s="7">
        <v>0</v>
      </c>
      <c r="N268" s="7">
        <v>0</v>
      </c>
      <c r="O268">
        <v>1</v>
      </c>
      <c r="P268" t="s">
        <v>14</v>
      </c>
      <c r="Q268">
        <v>0</v>
      </c>
      <c r="R268" s="8">
        <f>(Tabela2[[#This Row],[FAF_atividade_fisica_frequente_em_horas]]+ 0.1)</f>
        <v>0.1</v>
      </c>
      <c r="S268" s="1">
        <f>(Tabela2[[#This Row],[TUE_tempo_uso_aparelhos_em_horas]]/Tabela2[[#This Row],[FAF_Var]])</f>
        <v>0</v>
      </c>
      <c r="T268">
        <f>(Tabela2[[#This Row],[CAEC_lanche_entre_refeicoes]]*Tabela2[[#This Row],[FAVC_consumo_frequente_de_alimentos_mt_caloricos]])</f>
        <v>2</v>
      </c>
      <c r="U268" s="1">
        <f>IF(OR(Tabela2[[#This Row],[MTRANS]]="Walking",Tabela2[[#This Row],[MTRANS]]="Bike"),Tabela2[[#This Row],[FAF_atividade_fisica_frequente_em_horas]]+1,M268)</f>
        <v>0</v>
      </c>
      <c r="V268">
        <f>(Tabela2[[#This Row],[SMOKE]]+Tabela2[[#This Row],[CALC_bebe_alcool_frequentemente]])</f>
        <v>1</v>
      </c>
      <c r="W268" s="8">
        <f>(Tabela2[[#This Row],[Weight]]/(Tabela2[[#This Row],[Height]] ^2))</f>
        <v>18.365472910927458</v>
      </c>
    </row>
    <row r="269" spans="1:23" x14ac:dyDescent="0.25">
      <c r="A269" t="s">
        <v>15</v>
      </c>
      <c r="B269" s="7">
        <v>38</v>
      </c>
      <c r="C269" s="4">
        <v>1.7</v>
      </c>
      <c r="D269" s="7">
        <v>78</v>
      </c>
      <c r="E269">
        <v>0</v>
      </c>
      <c r="F269">
        <v>1</v>
      </c>
      <c r="G269" s="2">
        <v>3</v>
      </c>
      <c r="H269" s="2">
        <v>3</v>
      </c>
      <c r="I269">
        <v>2</v>
      </c>
      <c r="J269">
        <v>0</v>
      </c>
      <c r="K269" s="2">
        <v>2</v>
      </c>
      <c r="L269">
        <v>0</v>
      </c>
      <c r="M269" s="7">
        <v>0</v>
      </c>
      <c r="N269" s="7">
        <v>0</v>
      </c>
      <c r="O269">
        <v>2</v>
      </c>
      <c r="P269" t="s">
        <v>17</v>
      </c>
      <c r="Q269">
        <v>3</v>
      </c>
      <c r="R269" s="8">
        <f>(Tabela2[[#This Row],[FAF_atividade_fisica_frequente_em_horas]]+ 0.1)</f>
        <v>0.1</v>
      </c>
      <c r="S269" s="1">
        <f>(Tabela2[[#This Row],[TUE_tempo_uso_aparelhos_em_horas]]/Tabela2[[#This Row],[FAF_Var]])</f>
        <v>0</v>
      </c>
      <c r="T269">
        <f>(Tabela2[[#This Row],[CAEC_lanche_entre_refeicoes]]*Tabela2[[#This Row],[FAVC_consumo_frequente_de_alimentos_mt_caloricos]])</f>
        <v>2</v>
      </c>
      <c r="U269" s="1">
        <f>IF(OR(Tabela2[[#This Row],[MTRANS]]="Walking",Tabela2[[#This Row],[MTRANS]]="Bike"),Tabela2[[#This Row],[FAF_atividade_fisica_frequente_em_horas]]+1,M269)</f>
        <v>0</v>
      </c>
      <c r="V269">
        <f>(Tabela2[[#This Row],[SMOKE]]+Tabela2[[#This Row],[CALC_bebe_alcool_frequentemente]])</f>
        <v>2</v>
      </c>
      <c r="W269" s="8">
        <f>(Tabela2[[#This Row],[Weight]]/(Tabela2[[#This Row],[Height]] ^2))</f>
        <v>26.989619377162633</v>
      </c>
    </row>
    <row r="270" spans="1:23" x14ac:dyDescent="0.25">
      <c r="A270" t="s">
        <v>15</v>
      </c>
      <c r="B270" s="7">
        <v>17</v>
      </c>
      <c r="C270" s="4">
        <v>1.67</v>
      </c>
      <c r="D270" s="7">
        <v>60</v>
      </c>
      <c r="E270">
        <v>0</v>
      </c>
      <c r="F270">
        <v>0</v>
      </c>
      <c r="G270" s="2">
        <v>2</v>
      </c>
      <c r="H270" s="2">
        <v>4</v>
      </c>
      <c r="I270">
        <v>3</v>
      </c>
      <c r="J270">
        <v>0</v>
      </c>
      <c r="K270" s="2">
        <v>2</v>
      </c>
      <c r="L270">
        <v>0</v>
      </c>
      <c r="M270" s="7">
        <v>0</v>
      </c>
      <c r="N270" s="7">
        <v>2</v>
      </c>
      <c r="O270">
        <v>0</v>
      </c>
      <c r="P270" t="s">
        <v>14</v>
      </c>
      <c r="Q270">
        <v>1</v>
      </c>
      <c r="R270" s="8">
        <f>(Tabela2[[#This Row],[FAF_atividade_fisica_frequente_em_horas]]+ 0.1)</f>
        <v>0.1</v>
      </c>
      <c r="S270" s="1">
        <f>(Tabela2[[#This Row],[TUE_tempo_uso_aparelhos_em_horas]]/Tabela2[[#This Row],[FAF_Var]])</f>
        <v>20</v>
      </c>
      <c r="T270">
        <f>(Tabela2[[#This Row],[CAEC_lanche_entre_refeicoes]]*Tabela2[[#This Row],[FAVC_consumo_frequente_de_alimentos_mt_caloricos]])</f>
        <v>0</v>
      </c>
      <c r="U270" s="1">
        <f>IF(OR(Tabela2[[#This Row],[MTRANS]]="Walking",Tabela2[[#This Row],[MTRANS]]="Bike"),Tabela2[[#This Row],[FAF_atividade_fisica_frequente_em_horas]]+1,M270)</f>
        <v>0</v>
      </c>
      <c r="V270">
        <f>(Tabela2[[#This Row],[SMOKE]]+Tabela2[[#This Row],[CALC_bebe_alcool_frequentemente]])</f>
        <v>0</v>
      </c>
      <c r="W270" s="8">
        <f>(Tabela2[[#This Row],[Weight]]/(Tabela2[[#This Row],[Height]] ^2))</f>
        <v>21.513858510523864</v>
      </c>
    </row>
    <row r="271" spans="1:23" x14ac:dyDescent="0.25">
      <c r="A271" t="s">
        <v>15</v>
      </c>
      <c r="B271" s="7">
        <v>23</v>
      </c>
      <c r="C271" s="4">
        <v>1.72</v>
      </c>
      <c r="D271" s="7">
        <v>66</v>
      </c>
      <c r="E271">
        <v>1</v>
      </c>
      <c r="F271">
        <v>1</v>
      </c>
      <c r="G271" s="2">
        <v>2</v>
      </c>
      <c r="H271" s="2">
        <v>3</v>
      </c>
      <c r="I271">
        <v>1</v>
      </c>
      <c r="J271">
        <v>0</v>
      </c>
      <c r="K271" s="2">
        <v>2</v>
      </c>
      <c r="L271">
        <v>0</v>
      </c>
      <c r="M271" s="7">
        <v>0</v>
      </c>
      <c r="N271" s="7">
        <v>1</v>
      </c>
      <c r="O271">
        <v>1</v>
      </c>
      <c r="P271" t="s">
        <v>16</v>
      </c>
      <c r="Q271">
        <v>1</v>
      </c>
      <c r="R271" s="8">
        <f>(Tabela2[[#This Row],[FAF_atividade_fisica_frequente_em_horas]]+ 0.1)</f>
        <v>0.1</v>
      </c>
      <c r="S271" s="1">
        <f>(Tabela2[[#This Row],[TUE_tempo_uso_aparelhos_em_horas]]/Tabela2[[#This Row],[FAF_Var]])</f>
        <v>10</v>
      </c>
      <c r="T271">
        <f>(Tabela2[[#This Row],[CAEC_lanche_entre_refeicoes]]*Tabela2[[#This Row],[FAVC_consumo_frequente_de_alimentos_mt_caloricos]])</f>
        <v>1</v>
      </c>
      <c r="U271" s="1">
        <f>IF(OR(Tabela2[[#This Row],[MTRANS]]="Walking",Tabela2[[#This Row],[MTRANS]]="Bike"),Tabela2[[#This Row],[FAF_atividade_fisica_frequente_em_horas]]+1,M271)</f>
        <v>1</v>
      </c>
      <c r="V271">
        <f>(Tabela2[[#This Row],[SMOKE]]+Tabela2[[#This Row],[CALC_bebe_alcool_frequentemente]])</f>
        <v>1</v>
      </c>
      <c r="W271" s="8">
        <f>(Tabela2[[#This Row],[Weight]]/(Tabela2[[#This Row],[Height]] ^2))</f>
        <v>22.309356408869661</v>
      </c>
    </row>
    <row r="272" spans="1:23" x14ac:dyDescent="0.25">
      <c r="A272" t="s">
        <v>15</v>
      </c>
      <c r="B272" s="7">
        <v>23</v>
      </c>
      <c r="C272" s="4">
        <v>1.82</v>
      </c>
      <c r="D272" s="7">
        <v>107</v>
      </c>
      <c r="E272">
        <v>0</v>
      </c>
      <c r="F272">
        <v>1</v>
      </c>
      <c r="G272" s="2">
        <v>2</v>
      </c>
      <c r="H272" s="2">
        <v>3</v>
      </c>
      <c r="I272">
        <v>1</v>
      </c>
      <c r="J272">
        <v>0</v>
      </c>
      <c r="K272" s="2">
        <v>3</v>
      </c>
      <c r="L272">
        <v>0</v>
      </c>
      <c r="M272" s="7">
        <v>0</v>
      </c>
      <c r="N272" s="7">
        <v>1</v>
      </c>
      <c r="O272">
        <v>1</v>
      </c>
      <c r="P272" t="s">
        <v>14</v>
      </c>
      <c r="Q272">
        <v>4</v>
      </c>
      <c r="R272" s="8">
        <f>(Tabela2[[#This Row],[FAF_atividade_fisica_frequente_em_horas]]+ 0.1)</f>
        <v>0.1</v>
      </c>
      <c r="S272" s="1">
        <f>(Tabela2[[#This Row],[TUE_tempo_uso_aparelhos_em_horas]]/Tabela2[[#This Row],[FAF_Var]])</f>
        <v>10</v>
      </c>
      <c r="T272">
        <f>(Tabela2[[#This Row],[CAEC_lanche_entre_refeicoes]]*Tabela2[[#This Row],[FAVC_consumo_frequente_de_alimentos_mt_caloricos]])</f>
        <v>1</v>
      </c>
      <c r="U272" s="1">
        <f>IF(OR(Tabela2[[#This Row],[MTRANS]]="Walking",Tabela2[[#This Row],[MTRANS]]="Bike"),Tabela2[[#This Row],[FAF_atividade_fisica_frequente_em_horas]]+1,M272)</f>
        <v>0</v>
      </c>
      <c r="V272">
        <f>(Tabela2[[#This Row],[SMOKE]]+Tabela2[[#This Row],[CALC_bebe_alcool_frequentemente]])</f>
        <v>1</v>
      </c>
      <c r="W272" s="8">
        <f>(Tabela2[[#This Row],[Weight]]/(Tabela2[[#This Row],[Height]] ^2))</f>
        <v>32.302861973191639</v>
      </c>
    </row>
    <row r="273" spans="1:23" x14ac:dyDescent="0.25">
      <c r="A273" t="s">
        <v>13</v>
      </c>
      <c r="B273" s="7">
        <v>19</v>
      </c>
      <c r="C273" s="4">
        <v>1.5</v>
      </c>
      <c r="D273" s="7">
        <v>50</v>
      </c>
      <c r="E273">
        <v>0</v>
      </c>
      <c r="F273">
        <v>1</v>
      </c>
      <c r="G273" s="2">
        <v>2</v>
      </c>
      <c r="H273" s="2">
        <v>3</v>
      </c>
      <c r="I273">
        <v>2</v>
      </c>
      <c r="J273">
        <v>0</v>
      </c>
      <c r="K273" s="2">
        <v>1</v>
      </c>
      <c r="L273">
        <v>0</v>
      </c>
      <c r="M273" s="7">
        <v>0</v>
      </c>
      <c r="N273" s="7">
        <v>2</v>
      </c>
      <c r="O273">
        <v>1</v>
      </c>
      <c r="P273" t="s">
        <v>14</v>
      </c>
      <c r="Q273">
        <v>1</v>
      </c>
      <c r="R273" s="8">
        <f>(Tabela2[[#This Row],[FAF_atividade_fisica_frequente_em_horas]]+ 0.1)</f>
        <v>0.1</v>
      </c>
      <c r="S273" s="1">
        <f>(Tabela2[[#This Row],[TUE_tempo_uso_aparelhos_em_horas]]/Tabela2[[#This Row],[FAF_Var]])</f>
        <v>20</v>
      </c>
      <c r="T273">
        <f>(Tabela2[[#This Row],[CAEC_lanche_entre_refeicoes]]*Tabela2[[#This Row],[FAVC_consumo_frequente_de_alimentos_mt_caloricos]])</f>
        <v>2</v>
      </c>
      <c r="U273" s="1">
        <f>IF(OR(Tabela2[[#This Row],[MTRANS]]="Walking",Tabela2[[#This Row],[MTRANS]]="Bike"),Tabela2[[#This Row],[FAF_atividade_fisica_frequente_em_horas]]+1,M273)</f>
        <v>0</v>
      </c>
      <c r="V273">
        <f>(Tabela2[[#This Row],[SMOKE]]+Tabela2[[#This Row],[CALC_bebe_alcool_frequentemente]])</f>
        <v>1</v>
      </c>
      <c r="W273" s="8">
        <f>(Tabela2[[#This Row],[Weight]]/(Tabela2[[#This Row],[Height]] ^2))</f>
        <v>22.222222222222221</v>
      </c>
    </row>
    <row r="274" spans="1:23" x14ac:dyDescent="0.25">
      <c r="A274" t="s">
        <v>15</v>
      </c>
      <c r="B274" s="7">
        <v>18</v>
      </c>
      <c r="C274" s="4">
        <v>1.7</v>
      </c>
      <c r="D274" s="7">
        <v>60</v>
      </c>
      <c r="E274">
        <v>0</v>
      </c>
      <c r="F274">
        <v>1</v>
      </c>
      <c r="G274" s="2">
        <v>2</v>
      </c>
      <c r="H274" s="2">
        <v>3</v>
      </c>
      <c r="I274">
        <v>1</v>
      </c>
      <c r="J274">
        <v>0</v>
      </c>
      <c r="K274" s="2">
        <v>2</v>
      </c>
      <c r="L274">
        <v>0</v>
      </c>
      <c r="M274" s="7">
        <v>2</v>
      </c>
      <c r="N274" s="7">
        <v>1</v>
      </c>
      <c r="O274">
        <v>0</v>
      </c>
      <c r="P274" t="s">
        <v>14</v>
      </c>
      <c r="Q274">
        <v>1</v>
      </c>
      <c r="R274" s="8">
        <f>(Tabela2[[#This Row],[FAF_atividade_fisica_frequente_em_horas]]+ 0.1)</f>
        <v>2.1</v>
      </c>
      <c r="S274" s="1">
        <f>(Tabela2[[#This Row],[TUE_tempo_uso_aparelhos_em_horas]]/Tabela2[[#This Row],[FAF_Var]])</f>
        <v>0.47619047619047616</v>
      </c>
      <c r="T274">
        <f>(Tabela2[[#This Row],[CAEC_lanche_entre_refeicoes]]*Tabela2[[#This Row],[FAVC_consumo_frequente_de_alimentos_mt_caloricos]])</f>
        <v>1</v>
      </c>
      <c r="U274" s="1">
        <f>IF(OR(Tabela2[[#This Row],[MTRANS]]="Walking",Tabela2[[#This Row],[MTRANS]]="Bike"),Tabela2[[#This Row],[FAF_atividade_fisica_frequente_em_horas]]+1,M274)</f>
        <v>2</v>
      </c>
      <c r="V274">
        <f>(Tabela2[[#This Row],[SMOKE]]+Tabela2[[#This Row],[CALC_bebe_alcool_frequentemente]])</f>
        <v>0</v>
      </c>
      <c r="W274" s="8">
        <f>(Tabela2[[#This Row],[Weight]]/(Tabela2[[#This Row],[Height]] ^2))</f>
        <v>20.761245674740486</v>
      </c>
    </row>
    <row r="275" spans="1:23" x14ac:dyDescent="0.25">
      <c r="A275" t="s">
        <v>15</v>
      </c>
      <c r="B275" s="7">
        <v>25</v>
      </c>
      <c r="C275" s="4">
        <v>1.71</v>
      </c>
      <c r="D275" s="7">
        <v>71</v>
      </c>
      <c r="E275">
        <v>1</v>
      </c>
      <c r="F275">
        <v>1</v>
      </c>
      <c r="G275" s="2">
        <v>2</v>
      </c>
      <c r="H275" s="2">
        <v>3</v>
      </c>
      <c r="I275">
        <v>2</v>
      </c>
      <c r="J275">
        <v>0</v>
      </c>
      <c r="K275" s="2">
        <v>2</v>
      </c>
      <c r="L275">
        <v>0</v>
      </c>
      <c r="M275" s="7">
        <v>0</v>
      </c>
      <c r="N275" s="7">
        <v>0</v>
      </c>
      <c r="O275">
        <v>1</v>
      </c>
      <c r="P275" t="s">
        <v>18</v>
      </c>
      <c r="Q275">
        <v>1</v>
      </c>
      <c r="R275" s="8">
        <f>(Tabela2[[#This Row],[FAF_atividade_fisica_frequente_em_horas]]+ 0.1)</f>
        <v>0.1</v>
      </c>
      <c r="S275" s="1">
        <f>(Tabela2[[#This Row],[TUE_tempo_uso_aparelhos_em_horas]]/Tabela2[[#This Row],[FAF_Var]])</f>
        <v>0</v>
      </c>
      <c r="T275">
        <f>(Tabela2[[#This Row],[CAEC_lanche_entre_refeicoes]]*Tabela2[[#This Row],[FAVC_consumo_frequente_de_alimentos_mt_caloricos]])</f>
        <v>2</v>
      </c>
      <c r="U275" s="1">
        <f>IF(OR(Tabela2[[#This Row],[MTRANS]]="Walking",Tabela2[[#This Row],[MTRANS]]="Bike"),Tabela2[[#This Row],[FAF_atividade_fisica_frequente_em_horas]]+1,M275)</f>
        <v>0</v>
      </c>
      <c r="V275">
        <f>(Tabela2[[#This Row],[SMOKE]]+Tabela2[[#This Row],[CALC_bebe_alcool_frequentemente]])</f>
        <v>1</v>
      </c>
      <c r="W275" s="8">
        <f>(Tabela2[[#This Row],[Weight]]/(Tabela2[[#This Row],[Height]] ^2))</f>
        <v>24.280975342840534</v>
      </c>
    </row>
    <row r="276" spans="1:23" x14ac:dyDescent="0.25">
      <c r="A276" t="s">
        <v>13</v>
      </c>
      <c r="B276" s="7">
        <v>25</v>
      </c>
      <c r="C276" s="4">
        <v>1.61</v>
      </c>
      <c r="D276" s="7">
        <v>61</v>
      </c>
      <c r="E276">
        <v>0</v>
      </c>
      <c r="F276">
        <v>0</v>
      </c>
      <c r="G276" s="2">
        <v>2</v>
      </c>
      <c r="H276" s="2">
        <v>3</v>
      </c>
      <c r="I276">
        <v>1</v>
      </c>
      <c r="J276">
        <v>0</v>
      </c>
      <c r="K276" s="2">
        <v>1</v>
      </c>
      <c r="L276">
        <v>0</v>
      </c>
      <c r="M276" s="7">
        <v>2</v>
      </c>
      <c r="N276" s="7">
        <v>1</v>
      </c>
      <c r="O276">
        <v>1</v>
      </c>
      <c r="P276" t="s">
        <v>14</v>
      </c>
      <c r="Q276">
        <v>1</v>
      </c>
      <c r="R276" s="8">
        <f>(Tabela2[[#This Row],[FAF_atividade_fisica_frequente_em_horas]]+ 0.1)</f>
        <v>2.1</v>
      </c>
      <c r="S276" s="1">
        <f>(Tabela2[[#This Row],[TUE_tempo_uso_aparelhos_em_horas]]/Tabela2[[#This Row],[FAF_Var]])</f>
        <v>0.47619047619047616</v>
      </c>
      <c r="T276">
        <f>(Tabela2[[#This Row],[CAEC_lanche_entre_refeicoes]]*Tabela2[[#This Row],[FAVC_consumo_frequente_de_alimentos_mt_caloricos]])</f>
        <v>0</v>
      </c>
      <c r="U276" s="1">
        <f>IF(OR(Tabela2[[#This Row],[MTRANS]]="Walking",Tabela2[[#This Row],[MTRANS]]="Bike"),Tabela2[[#This Row],[FAF_atividade_fisica_frequente_em_horas]]+1,M276)</f>
        <v>2</v>
      </c>
      <c r="V276">
        <f>(Tabela2[[#This Row],[SMOKE]]+Tabela2[[#This Row],[CALC_bebe_alcool_frequentemente]])</f>
        <v>1</v>
      </c>
      <c r="W276" s="8">
        <f>(Tabela2[[#This Row],[Weight]]/(Tabela2[[#This Row],[Height]] ^2))</f>
        <v>23.533042706685695</v>
      </c>
    </row>
    <row r="277" spans="1:23" x14ac:dyDescent="0.25">
      <c r="A277" t="s">
        <v>13</v>
      </c>
      <c r="B277" s="7">
        <v>18</v>
      </c>
      <c r="C277" s="4">
        <v>1.5</v>
      </c>
      <c r="D277" s="7">
        <v>50</v>
      </c>
      <c r="E277">
        <v>1</v>
      </c>
      <c r="F277">
        <v>1</v>
      </c>
      <c r="G277" s="2">
        <v>3</v>
      </c>
      <c r="H277" s="2">
        <v>3</v>
      </c>
      <c r="I277">
        <v>2</v>
      </c>
      <c r="J277">
        <v>0</v>
      </c>
      <c r="K277" s="2">
        <v>2</v>
      </c>
      <c r="L277">
        <v>0</v>
      </c>
      <c r="M277" s="7">
        <v>0</v>
      </c>
      <c r="N277" s="7">
        <v>1</v>
      </c>
      <c r="O277">
        <v>1</v>
      </c>
      <c r="P277" t="s">
        <v>14</v>
      </c>
      <c r="Q277">
        <v>1</v>
      </c>
      <c r="R277" s="8">
        <f>(Tabela2[[#This Row],[FAF_atividade_fisica_frequente_em_horas]]+ 0.1)</f>
        <v>0.1</v>
      </c>
      <c r="S277" s="1">
        <f>(Tabela2[[#This Row],[TUE_tempo_uso_aparelhos_em_horas]]/Tabela2[[#This Row],[FAF_Var]])</f>
        <v>10</v>
      </c>
      <c r="T277">
        <f>(Tabela2[[#This Row],[CAEC_lanche_entre_refeicoes]]*Tabela2[[#This Row],[FAVC_consumo_frequente_de_alimentos_mt_caloricos]])</f>
        <v>2</v>
      </c>
      <c r="U277" s="1">
        <f>IF(OR(Tabela2[[#This Row],[MTRANS]]="Walking",Tabela2[[#This Row],[MTRANS]]="Bike"),Tabela2[[#This Row],[FAF_atividade_fisica_frequente_em_horas]]+1,M277)</f>
        <v>0</v>
      </c>
      <c r="V277">
        <f>(Tabela2[[#This Row],[SMOKE]]+Tabela2[[#This Row],[CALC_bebe_alcool_frequentemente]])</f>
        <v>1</v>
      </c>
      <c r="W277" s="8">
        <f>(Tabela2[[#This Row],[Weight]]/(Tabela2[[#This Row],[Height]] ^2))</f>
        <v>22.222222222222221</v>
      </c>
    </row>
    <row r="278" spans="1:23" x14ac:dyDescent="0.25">
      <c r="A278" t="s">
        <v>15</v>
      </c>
      <c r="B278" s="7">
        <v>16</v>
      </c>
      <c r="C278" s="4">
        <v>1.67</v>
      </c>
      <c r="D278" s="7">
        <v>50</v>
      </c>
      <c r="E278">
        <v>1</v>
      </c>
      <c r="F278">
        <v>1</v>
      </c>
      <c r="G278" s="2">
        <v>2</v>
      </c>
      <c r="H278" s="2">
        <v>1</v>
      </c>
      <c r="I278">
        <v>2</v>
      </c>
      <c r="J278">
        <v>0</v>
      </c>
      <c r="K278" s="2">
        <v>3</v>
      </c>
      <c r="L278">
        <v>0</v>
      </c>
      <c r="M278" s="7">
        <v>1</v>
      </c>
      <c r="N278" s="7">
        <v>0</v>
      </c>
      <c r="O278">
        <v>0</v>
      </c>
      <c r="P278" t="s">
        <v>14</v>
      </c>
      <c r="Q278">
        <v>0</v>
      </c>
      <c r="R278" s="8">
        <f>(Tabela2[[#This Row],[FAF_atividade_fisica_frequente_em_horas]]+ 0.1)</f>
        <v>1.1000000000000001</v>
      </c>
      <c r="S278" s="1">
        <f>(Tabela2[[#This Row],[TUE_tempo_uso_aparelhos_em_horas]]/Tabela2[[#This Row],[FAF_Var]])</f>
        <v>0</v>
      </c>
      <c r="T278">
        <f>(Tabela2[[#This Row],[CAEC_lanche_entre_refeicoes]]*Tabela2[[#This Row],[FAVC_consumo_frequente_de_alimentos_mt_caloricos]])</f>
        <v>2</v>
      </c>
      <c r="U278" s="1">
        <f>IF(OR(Tabela2[[#This Row],[MTRANS]]="Walking",Tabela2[[#This Row],[MTRANS]]="Bike"),Tabela2[[#This Row],[FAF_atividade_fisica_frequente_em_horas]]+1,M278)</f>
        <v>1</v>
      </c>
      <c r="V278">
        <f>(Tabela2[[#This Row],[SMOKE]]+Tabela2[[#This Row],[CALC_bebe_alcool_frequentemente]])</f>
        <v>0</v>
      </c>
      <c r="W278" s="8">
        <f>(Tabela2[[#This Row],[Weight]]/(Tabela2[[#This Row],[Height]] ^2))</f>
        <v>17.928215425436552</v>
      </c>
    </row>
    <row r="279" spans="1:23" x14ac:dyDescent="0.25">
      <c r="A279" t="s">
        <v>15</v>
      </c>
      <c r="B279" s="7">
        <v>21</v>
      </c>
      <c r="C279" s="4">
        <v>1.82</v>
      </c>
      <c r="D279" s="7">
        <v>67</v>
      </c>
      <c r="E279">
        <v>0</v>
      </c>
      <c r="F279">
        <v>1</v>
      </c>
      <c r="G279" s="2">
        <v>2</v>
      </c>
      <c r="H279" s="2">
        <v>4</v>
      </c>
      <c r="I279">
        <v>3</v>
      </c>
      <c r="J279">
        <v>1</v>
      </c>
      <c r="K279" s="2">
        <v>3</v>
      </c>
      <c r="L279">
        <v>0</v>
      </c>
      <c r="M279" s="7">
        <v>3</v>
      </c>
      <c r="N279" s="7">
        <v>2</v>
      </c>
      <c r="O279">
        <v>1</v>
      </c>
      <c r="P279" t="s">
        <v>16</v>
      </c>
      <c r="Q279">
        <v>1</v>
      </c>
      <c r="R279" s="8">
        <f>(Tabela2[[#This Row],[FAF_atividade_fisica_frequente_em_horas]]+ 0.1)</f>
        <v>3.1</v>
      </c>
      <c r="S279" s="1">
        <f>(Tabela2[[#This Row],[TUE_tempo_uso_aparelhos_em_horas]]/Tabela2[[#This Row],[FAF_Var]])</f>
        <v>0.64516129032258063</v>
      </c>
      <c r="T279">
        <f>(Tabela2[[#This Row],[CAEC_lanche_entre_refeicoes]]*Tabela2[[#This Row],[FAVC_consumo_frequente_de_alimentos_mt_caloricos]])</f>
        <v>3</v>
      </c>
      <c r="U279" s="1">
        <f>IF(OR(Tabela2[[#This Row],[MTRANS]]="Walking",Tabela2[[#This Row],[MTRANS]]="Bike"),Tabela2[[#This Row],[FAF_atividade_fisica_frequente_em_horas]]+1,M279)</f>
        <v>4</v>
      </c>
      <c r="V279">
        <f>(Tabela2[[#This Row],[SMOKE]]+Tabela2[[#This Row],[CALC_bebe_alcool_frequentemente]])</f>
        <v>2</v>
      </c>
      <c r="W279" s="8">
        <f>(Tabela2[[#This Row],[Weight]]/(Tabela2[[#This Row],[Height]] ^2))</f>
        <v>20.227025721531216</v>
      </c>
    </row>
    <row r="280" spans="1:23" x14ac:dyDescent="0.25">
      <c r="A280" t="s">
        <v>13</v>
      </c>
      <c r="B280" s="7">
        <v>32</v>
      </c>
      <c r="C280" s="4">
        <v>1.57</v>
      </c>
      <c r="D280" s="7">
        <v>57</v>
      </c>
      <c r="E280">
        <v>1</v>
      </c>
      <c r="F280">
        <v>1</v>
      </c>
      <c r="G280" s="2">
        <v>3</v>
      </c>
      <c r="H280" s="2">
        <v>3</v>
      </c>
      <c r="I280">
        <v>1</v>
      </c>
      <c r="J280">
        <v>0</v>
      </c>
      <c r="K280" s="2">
        <v>2</v>
      </c>
      <c r="L280">
        <v>0</v>
      </c>
      <c r="M280" s="7">
        <v>0</v>
      </c>
      <c r="N280" s="7">
        <v>0</v>
      </c>
      <c r="O280">
        <v>1</v>
      </c>
      <c r="P280" t="s">
        <v>17</v>
      </c>
      <c r="Q280">
        <v>1</v>
      </c>
      <c r="R280" s="8">
        <f>(Tabela2[[#This Row],[FAF_atividade_fisica_frequente_em_horas]]+ 0.1)</f>
        <v>0.1</v>
      </c>
      <c r="S280" s="1">
        <f>(Tabela2[[#This Row],[TUE_tempo_uso_aparelhos_em_horas]]/Tabela2[[#This Row],[FAF_Var]])</f>
        <v>0</v>
      </c>
      <c r="T280">
        <f>(Tabela2[[#This Row],[CAEC_lanche_entre_refeicoes]]*Tabela2[[#This Row],[FAVC_consumo_frequente_de_alimentos_mt_caloricos]])</f>
        <v>1</v>
      </c>
      <c r="U280" s="1">
        <f>IF(OR(Tabela2[[#This Row],[MTRANS]]="Walking",Tabela2[[#This Row],[MTRANS]]="Bike"),Tabela2[[#This Row],[FAF_atividade_fisica_frequente_em_horas]]+1,M280)</f>
        <v>0</v>
      </c>
      <c r="V280">
        <f>(Tabela2[[#This Row],[SMOKE]]+Tabela2[[#This Row],[CALC_bebe_alcool_frequentemente]])</f>
        <v>1</v>
      </c>
      <c r="W280" s="8">
        <f>(Tabela2[[#This Row],[Weight]]/(Tabela2[[#This Row],[Height]] ^2))</f>
        <v>23.124670372023203</v>
      </c>
    </row>
    <row r="281" spans="1:23" x14ac:dyDescent="0.25">
      <c r="A281" t="s">
        <v>15</v>
      </c>
      <c r="B281" s="7">
        <v>18</v>
      </c>
      <c r="C281" s="4">
        <v>1.79</v>
      </c>
      <c r="D281" s="7">
        <v>52</v>
      </c>
      <c r="E281">
        <v>0</v>
      </c>
      <c r="F281">
        <v>0</v>
      </c>
      <c r="G281" s="2">
        <v>3</v>
      </c>
      <c r="H281" s="2">
        <v>3</v>
      </c>
      <c r="I281">
        <v>1</v>
      </c>
      <c r="J281">
        <v>0</v>
      </c>
      <c r="K281" s="2">
        <v>2</v>
      </c>
      <c r="L281">
        <v>0</v>
      </c>
      <c r="M281" s="7">
        <v>1</v>
      </c>
      <c r="N281" s="7">
        <v>1</v>
      </c>
      <c r="O281">
        <v>1</v>
      </c>
      <c r="P281" t="s">
        <v>14</v>
      </c>
      <c r="Q281">
        <v>0</v>
      </c>
      <c r="R281" s="8">
        <f>(Tabela2[[#This Row],[FAF_atividade_fisica_frequente_em_horas]]+ 0.1)</f>
        <v>1.1000000000000001</v>
      </c>
      <c r="S281" s="1">
        <f>(Tabela2[[#This Row],[TUE_tempo_uso_aparelhos_em_horas]]/Tabela2[[#This Row],[FAF_Var]])</f>
        <v>0.90909090909090906</v>
      </c>
      <c r="T281">
        <f>(Tabela2[[#This Row],[CAEC_lanche_entre_refeicoes]]*Tabela2[[#This Row],[FAVC_consumo_frequente_de_alimentos_mt_caloricos]])</f>
        <v>0</v>
      </c>
      <c r="U281" s="1">
        <f>IF(OR(Tabela2[[#This Row],[MTRANS]]="Walking",Tabela2[[#This Row],[MTRANS]]="Bike"),Tabela2[[#This Row],[FAF_atividade_fisica_frequente_em_horas]]+1,M281)</f>
        <v>1</v>
      </c>
      <c r="V281">
        <f>(Tabela2[[#This Row],[SMOKE]]+Tabela2[[#This Row],[CALC_bebe_alcool_frequentemente]])</f>
        <v>1</v>
      </c>
      <c r="W281" s="8">
        <f>(Tabela2[[#This Row],[Weight]]/(Tabela2[[#This Row],[Height]] ^2))</f>
        <v>16.229206329390468</v>
      </c>
    </row>
    <row r="282" spans="1:23" x14ac:dyDescent="0.25">
      <c r="A282" t="s">
        <v>15</v>
      </c>
      <c r="B282" s="7">
        <v>21</v>
      </c>
      <c r="C282" s="4">
        <v>1.75</v>
      </c>
      <c r="D282" s="7">
        <v>62</v>
      </c>
      <c r="E282">
        <v>0</v>
      </c>
      <c r="F282">
        <v>1</v>
      </c>
      <c r="G282" s="2">
        <v>3</v>
      </c>
      <c r="H282" s="2">
        <v>4</v>
      </c>
      <c r="I282">
        <v>2</v>
      </c>
      <c r="J282">
        <v>1</v>
      </c>
      <c r="K282" s="2">
        <v>2</v>
      </c>
      <c r="L282">
        <v>0</v>
      </c>
      <c r="M282" s="7">
        <v>0</v>
      </c>
      <c r="N282" s="7">
        <v>0</v>
      </c>
      <c r="O282">
        <v>1</v>
      </c>
      <c r="P282" t="s">
        <v>14</v>
      </c>
      <c r="Q282">
        <v>1</v>
      </c>
      <c r="R282" s="8">
        <f>(Tabela2[[#This Row],[FAF_atividade_fisica_frequente_em_horas]]+ 0.1)</f>
        <v>0.1</v>
      </c>
      <c r="S282" s="1">
        <f>(Tabela2[[#This Row],[TUE_tempo_uso_aparelhos_em_horas]]/Tabela2[[#This Row],[FAF_Var]])</f>
        <v>0</v>
      </c>
      <c r="T282">
        <f>(Tabela2[[#This Row],[CAEC_lanche_entre_refeicoes]]*Tabela2[[#This Row],[FAVC_consumo_frequente_de_alimentos_mt_caloricos]])</f>
        <v>2</v>
      </c>
      <c r="U282" s="1">
        <f>IF(OR(Tabela2[[#This Row],[MTRANS]]="Walking",Tabela2[[#This Row],[MTRANS]]="Bike"),Tabela2[[#This Row],[FAF_atividade_fisica_frequente_em_horas]]+1,M282)</f>
        <v>0</v>
      </c>
      <c r="V282">
        <f>(Tabela2[[#This Row],[SMOKE]]+Tabela2[[#This Row],[CALC_bebe_alcool_frequentemente]])</f>
        <v>2</v>
      </c>
      <c r="W282" s="8">
        <f>(Tabela2[[#This Row],[Weight]]/(Tabela2[[#This Row],[Height]] ^2))</f>
        <v>20.244897959183675</v>
      </c>
    </row>
    <row r="283" spans="1:23" x14ac:dyDescent="0.25">
      <c r="A283" t="s">
        <v>15</v>
      </c>
      <c r="B283" s="7">
        <v>18</v>
      </c>
      <c r="C283" s="4">
        <v>1.7</v>
      </c>
      <c r="D283" s="7">
        <v>55</v>
      </c>
      <c r="E283">
        <v>1</v>
      </c>
      <c r="F283">
        <v>1</v>
      </c>
      <c r="G283" s="2">
        <v>2</v>
      </c>
      <c r="H283" s="2">
        <v>3</v>
      </c>
      <c r="I283">
        <v>2</v>
      </c>
      <c r="J283">
        <v>0</v>
      </c>
      <c r="K283" s="2">
        <v>2</v>
      </c>
      <c r="L283">
        <v>0</v>
      </c>
      <c r="M283" s="7">
        <v>0</v>
      </c>
      <c r="N283" s="7">
        <v>0</v>
      </c>
      <c r="O283">
        <v>1</v>
      </c>
      <c r="P283" t="s">
        <v>14</v>
      </c>
      <c r="Q283">
        <v>1</v>
      </c>
      <c r="R283" s="8">
        <f>(Tabela2[[#This Row],[FAF_atividade_fisica_frequente_em_horas]]+ 0.1)</f>
        <v>0.1</v>
      </c>
      <c r="S283" s="1">
        <f>(Tabela2[[#This Row],[TUE_tempo_uso_aparelhos_em_horas]]/Tabela2[[#This Row],[FAF_Var]])</f>
        <v>0</v>
      </c>
      <c r="T283">
        <f>(Tabela2[[#This Row],[CAEC_lanche_entre_refeicoes]]*Tabela2[[#This Row],[FAVC_consumo_frequente_de_alimentos_mt_caloricos]])</f>
        <v>2</v>
      </c>
      <c r="U283" s="1">
        <f>IF(OR(Tabela2[[#This Row],[MTRANS]]="Walking",Tabela2[[#This Row],[MTRANS]]="Bike"),Tabela2[[#This Row],[FAF_atividade_fisica_frequente_em_horas]]+1,M283)</f>
        <v>0</v>
      </c>
      <c r="V283">
        <f>(Tabela2[[#This Row],[SMOKE]]+Tabela2[[#This Row],[CALC_bebe_alcool_frequentemente]])</f>
        <v>1</v>
      </c>
      <c r="W283" s="8">
        <f>(Tabela2[[#This Row],[Weight]]/(Tabela2[[#This Row],[Height]] ^2))</f>
        <v>19.031141868512112</v>
      </c>
    </row>
    <row r="284" spans="1:23" x14ac:dyDescent="0.25">
      <c r="A284" t="s">
        <v>13</v>
      </c>
      <c r="B284" s="7">
        <v>18</v>
      </c>
      <c r="C284" s="4">
        <v>1.62</v>
      </c>
      <c r="D284" s="7">
        <v>55</v>
      </c>
      <c r="E284">
        <v>1</v>
      </c>
      <c r="F284">
        <v>1</v>
      </c>
      <c r="G284" s="2">
        <v>2</v>
      </c>
      <c r="H284" s="2">
        <v>3</v>
      </c>
      <c r="I284">
        <v>2</v>
      </c>
      <c r="J284">
        <v>0</v>
      </c>
      <c r="K284" s="2">
        <v>1</v>
      </c>
      <c r="L284">
        <v>0</v>
      </c>
      <c r="M284" s="7">
        <v>1</v>
      </c>
      <c r="N284" s="7">
        <v>1</v>
      </c>
      <c r="O284">
        <v>0</v>
      </c>
      <c r="P284" t="s">
        <v>14</v>
      </c>
      <c r="Q284">
        <v>1</v>
      </c>
      <c r="R284" s="8">
        <f>(Tabela2[[#This Row],[FAF_atividade_fisica_frequente_em_horas]]+ 0.1)</f>
        <v>1.1000000000000001</v>
      </c>
      <c r="S284" s="1">
        <f>(Tabela2[[#This Row],[TUE_tempo_uso_aparelhos_em_horas]]/Tabela2[[#This Row],[FAF_Var]])</f>
        <v>0.90909090909090906</v>
      </c>
      <c r="T284">
        <f>(Tabela2[[#This Row],[CAEC_lanche_entre_refeicoes]]*Tabela2[[#This Row],[FAVC_consumo_frequente_de_alimentos_mt_caloricos]])</f>
        <v>2</v>
      </c>
      <c r="U284" s="1">
        <f>IF(OR(Tabela2[[#This Row],[MTRANS]]="Walking",Tabela2[[#This Row],[MTRANS]]="Bike"),Tabela2[[#This Row],[FAF_atividade_fisica_frequente_em_horas]]+1,M284)</f>
        <v>1</v>
      </c>
      <c r="V284">
        <f>(Tabela2[[#This Row],[SMOKE]]+Tabela2[[#This Row],[CALC_bebe_alcool_frequentemente]])</f>
        <v>0</v>
      </c>
      <c r="W284" s="8">
        <f>(Tabela2[[#This Row],[Weight]]/(Tabela2[[#This Row],[Height]] ^2))</f>
        <v>20.957171162932475</v>
      </c>
    </row>
    <row r="285" spans="1:23" x14ac:dyDescent="0.25">
      <c r="A285" t="s">
        <v>15</v>
      </c>
      <c r="B285" s="7">
        <v>17</v>
      </c>
      <c r="C285" s="4">
        <v>1.69</v>
      </c>
      <c r="D285" s="7">
        <v>60</v>
      </c>
      <c r="E285">
        <v>0</v>
      </c>
      <c r="F285">
        <v>0</v>
      </c>
      <c r="G285" s="2">
        <v>2</v>
      </c>
      <c r="H285" s="2">
        <v>3</v>
      </c>
      <c r="I285">
        <v>1</v>
      </c>
      <c r="J285">
        <v>0</v>
      </c>
      <c r="K285" s="2">
        <v>3</v>
      </c>
      <c r="L285">
        <v>0</v>
      </c>
      <c r="M285" s="7">
        <v>2</v>
      </c>
      <c r="N285" s="7">
        <v>1</v>
      </c>
      <c r="O285">
        <v>1</v>
      </c>
      <c r="P285" t="s">
        <v>16</v>
      </c>
      <c r="Q285">
        <v>1</v>
      </c>
      <c r="R285" s="8">
        <f>(Tabela2[[#This Row],[FAF_atividade_fisica_frequente_em_horas]]+ 0.1)</f>
        <v>2.1</v>
      </c>
      <c r="S285" s="1">
        <f>(Tabela2[[#This Row],[TUE_tempo_uso_aparelhos_em_horas]]/Tabela2[[#This Row],[FAF_Var]])</f>
        <v>0.47619047619047616</v>
      </c>
      <c r="T285">
        <f>(Tabela2[[#This Row],[CAEC_lanche_entre_refeicoes]]*Tabela2[[#This Row],[FAVC_consumo_frequente_de_alimentos_mt_caloricos]])</f>
        <v>0</v>
      </c>
      <c r="U285" s="1">
        <f>IF(OR(Tabela2[[#This Row],[MTRANS]]="Walking",Tabela2[[#This Row],[MTRANS]]="Bike"),Tabela2[[#This Row],[FAF_atividade_fisica_frequente_em_horas]]+1,M285)</f>
        <v>3</v>
      </c>
      <c r="V285">
        <f>(Tabela2[[#This Row],[SMOKE]]+Tabela2[[#This Row],[CALC_bebe_alcool_frequentemente]])</f>
        <v>1</v>
      </c>
      <c r="W285" s="8">
        <f>(Tabela2[[#This Row],[Weight]]/(Tabela2[[#This Row],[Height]] ^2))</f>
        <v>21.007667798746546</v>
      </c>
    </row>
    <row r="286" spans="1:23" x14ac:dyDescent="0.25">
      <c r="A286" t="s">
        <v>15</v>
      </c>
      <c r="B286" s="7">
        <v>20</v>
      </c>
      <c r="C286" s="4">
        <v>1.77</v>
      </c>
      <c r="D286" s="7">
        <v>70</v>
      </c>
      <c r="E286">
        <v>1</v>
      </c>
      <c r="F286">
        <v>1</v>
      </c>
      <c r="G286" s="2">
        <v>1</v>
      </c>
      <c r="H286" s="2">
        <v>1</v>
      </c>
      <c r="I286">
        <v>1</v>
      </c>
      <c r="J286">
        <v>0</v>
      </c>
      <c r="K286" s="2">
        <v>2</v>
      </c>
      <c r="L286">
        <v>0</v>
      </c>
      <c r="M286" s="7">
        <v>1</v>
      </c>
      <c r="N286" s="7">
        <v>1</v>
      </c>
      <c r="O286">
        <v>1</v>
      </c>
      <c r="P286" t="s">
        <v>14</v>
      </c>
      <c r="Q286">
        <v>1</v>
      </c>
      <c r="R286" s="8">
        <f>(Tabela2[[#This Row],[FAF_atividade_fisica_frequente_em_horas]]+ 0.1)</f>
        <v>1.1000000000000001</v>
      </c>
      <c r="S286" s="1">
        <f>(Tabela2[[#This Row],[TUE_tempo_uso_aparelhos_em_horas]]/Tabela2[[#This Row],[FAF_Var]])</f>
        <v>0.90909090909090906</v>
      </c>
      <c r="T286">
        <f>(Tabela2[[#This Row],[CAEC_lanche_entre_refeicoes]]*Tabela2[[#This Row],[FAVC_consumo_frequente_de_alimentos_mt_caloricos]])</f>
        <v>1</v>
      </c>
      <c r="U286" s="1">
        <f>IF(OR(Tabela2[[#This Row],[MTRANS]]="Walking",Tabela2[[#This Row],[MTRANS]]="Bike"),Tabela2[[#This Row],[FAF_atividade_fisica_frequente_em_horas]]+1,M286)</f>
        <v>1</v>
      </c>
      <c r="V286">
        <f>(Tabela2[[#This Row],[SMOKE]]+Tabela2[[#This Row],[CALC_bebe_alcool_frequentemente]])</f>
        <v>1</v>
      </c>
      <c r="W286" s="8">
        <f>(Tabela2[[#This Row],[Weight]]/(Tabela2[[#This Row],[Height]] ^2))</f>
        <v>22.343515592581952</v>
      </c>
    </row>
    <row r="287" spans="1:23" x14ac:dyDescent="0.25">
      <c r="A287" t="s">
        <v>15</v>
      </c>
      <c r="B287" s="7">
        <v>21</v>
      </c>
      <c r="C287" s="4">
        <v>1.79</v>
      </c>
      <c r="D287" s="7">
        <v>105</v>
      </c>
      <c r="E287">
        <v>1</v>
      </c>
      <c r="F287">
        <v>1</v>
      </c>
      <c r="G287" s="2">
        <v>2</v>
      </c>
      <c r="H287" s="2">
        <v>3</v>
      </c>
      <c r="I287">
        <v>3</v>
      </c>
      <c r="J287">
        <v>0</v>
      </c>
      <c r="K287" s="2">
        <v>1</v>
      </c>
      <c r="L287">
        <v>0</v>
      </c>
      <c r="M287" s="7">
        <v>0</v>
      </c>
      <c r="N287" s="7">
        <v>0</v>
      </c>
      <c r="O287">
        <v>1</v>
      </c>
      <c r="P287" t="s">
        <v>14</v>
      </c>
      <c r="Q287">
        <v>4</v>
      </c>
      <c r="R287" s="8">
        <f>(Tabela2[[#This Row],[FAF_atividade_fisica_frequente_em_horas]]+ 0.1)</f>
        <v>0.1</v>
      </c>
      <c r="S287" s="1">
        <f>(Tabela2[[#This Row],[TUE_tempo_uso_aparelhos_em_horas]]/Tabela2[[#This Row],[FAF_Var]])</f>
        <v>0</v>
      </c>
      <c r="T287">
        <f>(Tabela2[[#This Row],[CAEC_lanche_entre_refeicoes]]*Tabela2[[#This Row],[FAVC_consumo_frequente_de_alimentos_mt_caloricos]])</f>
        <v>3</v>
      </c>
      <c r="U287" s="1">
        <f>IF(OR(Tabela2[[#This Row],[MTRANS]]="Walking",Tabela2[[#This Row],[MTRANS]]="Bike"),Tabela2[[#This Row],[FAF_atividade_fisica_frequente_em_horas]]+1,M287)</f>
        <v>0</v>
      </c>
      <c r="V287">
        <f>(Tabela2[[#This Row],[SMOKE]]+Tabela2[[#This Row],[CALC_bebe_alcool_frequentemente]])</f>
        <v>1</v>
      </c>
      <c r="W287" s="8">
        <f>(Tabela2[[#This Row],[Weight]]/(Tabela2[[#This Row],[Height]] ^2))</f>
        <v>32.770512780499985</v>
      </c>
    </row>
    <row r="288" spans="1:23" x14ac:dyDescent="0.25">
      <c r="A288" t="s">
        <v>13</v>
      </c>
      <c r="B288" s="7">
        <v>21</v>
      </c>
      <c r="C288" s="4">
        <v>1.6</v>
      </c>
      <c r="D288" s="7">
        <v>61</v>
      </c>
      <c r="E288">
        <v>0</v>
      </c>
      <c r="F288">
        <v>1</v>
      </c>
      <c r="G288" s="2">
        <v>2</v>
      </c>
      <c r="H288" s="2">
        <v>3</v>
      </c>
      <c r="I288">
        <v>1</v>
      </c>
      <c r="J288">
        <v>0</v>
      </c>
      <c r="K288" s="2">
        <v>1</v>
      </c>
      <c r="L288">
        <v>0</v>
      </c>
      <c r="M288" s="7">
        <v>1</v>
      </c>
      <c r="N288" s="7">
        <v>1</v>
      </c>
      <c r="O288">
        <v>1</v>
      </c>
      <c r="P288" t="s">
        <v>14</v>
      </c>
      <c r="Q288">
        <v>1</v>
      </c>
      <c r="R288" s="8">
        <f>(Tabela2[[#This Row],[FAF_atividade_fisica_frequente_em_horas]]+ 0.1)</f>
        <v>1.1000000000000001</v>
      </c>
      <c r="S288" s="1">
        <f>(Tabela2[[#This Row],[TUE_tempo_uso_aparelhos_em_horas]]/Tabela2[[#This Row],[FAF_Var]])</f>
        <v>0.90909090909090906</v>
      </c>
      <c r="T288">
        <f>(Tabela2[[#This Row],[CAEC_lanche_entre_refeicoes]]*Tabela2[[#This Row],[FAVC_consumo_frequente_de_alimentos_mt_caloricos]])</f>
        <v>1</v>
      </c>
      <c r="U288" s="1">
        <f>IF(OR(Tabela2[[#This Row],[MTRANS]]="Walking",Tabela2[[#This Row],[MTRANS]]="Bike"),Tabela2[[#This Row],[FAF_atividade_fisica_frequente_em_horas]]+1,M288)</f>
        <v>1</v>
      </c>
      <c r="V288">
        <f>(Tabela2[[#This Row],[SMOKE]]+Tabela2[[#This Row],[CALC_bebe_alcool_frequentemente]])</f>
        <v>1</v>
      </c>
      <c r="W288" s="8">
        <f>(Tabela2[[#This Row],[Weight]]/(Tabela2[[#This Row],[Height]] ^2))</f>
        <v>23.828124999999996</v>
      </c>
    </row>
    <row r="289" spans="1:23" x14ac:dyDescent="0.25">
      <c r="A289" t="s">
        <v>13</v>
      </c>
      <c r="B289" s="7">
        <v>18</v>
      </c>
      <c r="C289" s="4">
        <v>1.6</v>
      </c>
      <c r="D289" s="7">
        <v>58</v>
      </c>
      <c r="E289">
        <v>1</v>
      </c>
      <c r="F289">
        <v>1</v>
      </c>
      <c r="G289" s="2">
        <v>2</v>
      </c>
      <c r="H289" s="2">
        <v>3</v>
      </c>
      <c r="I289">
        <v>1</v>
      </c>
      <c r="J289">
        <v>0</v>
      </c>
      <c r="K289" s="2">
        <v>3</v>
      </c>
      <c r="L289">
        <v>0</v>
      </c>
      <c r="M289" s="7">
        <v>3</v>
      </c>
      <c r="N289" s="7">
        <v>0</v>
      </c>
      <c r="O289">
        <v>0</v>
      </c>
      <c r="P289" t="s">
        <v>14</v>
      </c>
      <c r="Q289">
        <v>1</v>
      </c>
      <c r="R289" s="8">
        <f>(Tabela2[[#This Row],[FAF_atividade_fisica_frequente_em_horas]]+ 0.1)</f>
        <v>3.1</v>
      </c>
      <c r="S289" s="1">
        <f>(Tabela2[[#This Row],[TUE_tempo_uso_aparelhos_em_horas]]/Tabela2[[#This Row],[FAF_Var]])</f>
        <v>0</v>
      </c>
      <c r="T289">
        <f>(Tabela2[[#This Row],[CAEC_lanche_entre_refeicoes]]*Tabela2[[#This Row],[FAVC_consumo_frequente_de_alimentos_mt_caloricos]])</f>
        <v>1</v>
      </c>
      <c r="U289" s="1">
        <f>IF(OR(Tabela2[[#This Row],[MTRANS]]="Walking",Tabela2[[#This Row],[MTRANS]]="Bike"),Tabela2[[#This Row],[FAF_atividade_fisica_frequente_em_horas]]+1,M289)</f>
        <v>3</v>
      </c>
      <c r="V289">
        <f>(Tabela2[[#This Row],[SMOKE]]+Tabela2[[#This Row],[CALC_bebe_alcool_frequentemente]])</f>
        <v>0</v>
      </c>
      <c r="W289" s="8">
        <f>(Tabela2[[#This Row],[Weight]]/(Tabela2[[#This Row],[Height]] ^2))</f>
        <v>22.656249999999996</v>
      </c>
    </row>
    <row r="290" spans="1:23" x14ac:dyDescent="0.25">
      <c r="A290" t="s">
        <v>13</v>
      </c>
      <c r="B290" s="7">
        <v>17</v>
      </c>
      <c r="C290" s="4">
        <v>1.56</v>
      </c>
      <c r="D290" s="7">
        <v>51</v>
      </c>
      <c r="E290">
        <v>0</v>
      </c>
      <c r="F290">
        <v>1</v>
      </c>
      <c r="G290" s="2">
        <v>3</v>
      </c>
      <c r="H290" s="2">
        <v>3</v>
      </c>
      <c r="I290">
        <v>1</v>
      </c>
      <c r="J290">
        <v>0</v>
      </c>
      <c r="K290" s="2">
        <v>1</v>
      </c>
      <c r="L290">
        <v>0</v>
      </c>
      <c r="M290" s="7">
        <v>0</v>
      </c>
      <c r="N290" s="7">
        <v>2</v>
      </c>
      <c r="O290">
        <v>0</v>
      </c>
      <c r="P290" t="s">
        <v>14</v>
      </c>
      <c r="Q290">
        <v>1</v>
      </c>
      <c r="R290" s="8">
        <f>(Tabela2[[#This Row],[FAF_atividade_fisica_frequente_em_horas]]+ 0.1)</f>
        <v>0.1</v>
      </c>
      <c r="S290" s="1">
        <f>(Tabela2[[#This Row],[TUE_tempo_uso_aparelhos_em_horas]]/Tabela2[[#This Row],[FAF_Var]])</f>
        <v>20</v>
      </c>
      <c r="T290">
        <f>(Tabela2[[#This Row],[CAEC_lanche_entre_refeicoes]]*Tabela2[[#This Row],[FAVC_consumo_frequente_de_alimentos_mt_caloricos]])</f>
        <v>1</v>
      </c>
      <c r="U290" s="1">
        <f>IF(OR(Tabela2[[#This Row],[MTRANS]]="Walking",Tabela2[[#This Row],[MTRANS]]="Bike"),Tabela2[[#This Row],[FAF_atividade_fisica_frequente_em_horas]]+1,M290)</f>
        <v>0</v>
      </c>
      <c r="V290">
        <f>(Tabela2[[#This Row],[SMOKE]]+Tabela2[[#This Row],[CALC_bebe_alcool_frequentemente]])</f>
        <v>0</v>
      </c>
      <c r="W290" s="8">
        <f>(Tabela2[[#This Row],[Weight]]/(Tabela2[[#This Row],[Height]] ^2))</f>
        <v>20.956607495069033</v>
      </c>
    </row>
    <row r="291" spans="1:23" x14ac:dyDescent="0.25">
      <c r="A291" t="s">
        <v>15</v>
      </c>
      <c r="B291" s="7">
        <v>19</v>
      </c>
      <c r="C291" s="4">
        <v>1.88</v>
      </c>
      <c r="D291" s="7">
        <v>79</v>
      </c>
      <c r="E291">
        <v>0</v>
      </c>
      <c r="F291">
        <v>0</v>
      </c>
      <c r="G291" s="2">
        <v>2</v>
      </c>
      <c r="H291" s="2">
        <v>3</v>
      </c>
      <c r="I291">
        <v>1</v>
      </c>
      <c r="J291">
        <v>0</v>
      </c>
      <c r="K291" s="2">
        <v>3</v>
      </c>
      <c r="L291">
        <v>0</v>
      </c>
      <c r="M291" s="7">
        <v>3</v>
      </c>
      <c r="N291" s="7">
        <v>0</v>
      </c>
      <c r="O291">
        <v>1</v>
      </c>
      <c r="P291" t="s">
        <v>17</v>
      </c>
      <c r="Q291">
        <v>1</v>
      </c>
      <c r="R291" s="8">
        <f>(Tabela2[[#This Row],[FAF_atividade_fisica_frequente_em_horas]]+ 0.1)</f>
        <v>3.1</v>
      </c>
      <c r="S291" s="1">
        <f>(Tabela2[[#This Row],[TUE_tempo_uso_aparelhos_em_horas]]/Tabela2[[#This Row],[FAF_Var]])</f>
        <v>0</v>
      </c>
      <c r="T291">
        <f>(Tabela2[[#This Row],[CAEC_lanche_entre_refeicoes]]*Tabela2[[#This Row],[FAVC_consumo_frequente_de_alimentos_mt_caloricos]])</f>
        <v>0</v>
      </c>
      <c r="U291" s="1">
        <f>IF(OR(Tabela2[[#This Row],[MTRANS]]="Walking",Tabela2[[#This Row],[MTRANS]]="Bike"),Tabela2[[#This Row],[FAF_atividade_fisica_frequente_em_horas]]+1,M291)</f>
        <v>3</v>
      </c>
      <c r="V291">
        <f>(Tabela2[[#This Row],[SMOKE]]+Tabela2[[#This Row],[CALC_bebe_alcool_frequentemente]])</f>
        <v>1</v>
      </c>
      <c r="W291" s="8">
        <f>(Tabela2[[#This Row],[Weight]]/(Tabela2[[#This Row],[Height]] ^2))</f>
        <v>22.351742870076958</v>
      </c>
    </row>
    <row r="292" spans="1:23" x14ac:dyDescent="0.25">
      <c r="A292" t="s">
        <v>15</v>
      </c>
      <c r="B292" s="7">
        <v>16</v>
      </c>
      <c r="C292" s="4">
        <v>1.82</v>
      </c>
      <c r="D292" s="7">
        <v>71</v>
      </c>
      <c r="E292">
        <v>1</v>
      </c>
      <c r="F292">
        <v>1</v>
      </c>
      <c r="G292" s="2">
        <v>2</v>
      </c>
      <c r="H292" s="2">
        <v>3</v>
      </c>
      <c r="I292">
        <v>2</v>
      </c>
      <c r="J292">
        <v>0</v>
      </c>
      <c r="K292" s="2">
        <v>2</v>
      </c>
      <c r="L292">
        <v>0</v>
      </c>
      <c r="M292" s="7">
        <v>2</v>
      </c>
      <c r="N292" s="7">
        <v>1</v>
      </c>
      <c r="O292">
        <v>1</v>
      </c>
      <c r="P292" t="s">
        <v>14</v>
      </c>
      <c r="Q292">
        <v>1</v>
      </c>
      <c r="R292" s="8">
        <f>(Tabela2[[#This Row],[FAF_atividade_fisica_frequente_em_horas]]+ 0.1)</f>
        <v>2.1</v>
      </c>
      <c r="S292" s="1">
        <f>(Tabela2[[#This Row],[TUE_tempo_uso_aparelhos_em_horas]]/Tabela2[[#This Row],[FAF_Var]])</f>
        <v>0.47619047619047616</v>
      </c>
      <c r="T292">
        <f>(Tabela2[[#This Row],[CAEC_lanche_entre_refeicoes]]*Tabela2[[#This Row],[FAVC_consumo_frequente_de_alimentos_mt_caloricos]])</f>
        <v>2</v>
      </c>
      <c r="U292" s="1">
        <f>IF(OR(Tabela2[[#This Row],[MTRANS]]="Walking",Tabela2[[#This Row],[MTRANS]]="Bike"),Tabela2[[#This Row],[FAF_atividade_fisica_frequente_em_horas]]+1,M292)</f>
        <v>2</v>
      </c>
      <c r="V292">
        <f>(Tabela2[[#This Row],[SMOKE]]+Tabela2[[#This Row],[CALC_bebe_alcool_frequentemente]])</f>
        <v>1</v>
      </c>
      <c r="W292" s="8">
        <f>(Tabela2[[#This Row],[Weight]]/(Tabela2[[#This Row],[Height]] ^2))</f>
        <v>21.434609346697258</v>
      </c>
    </row>
    <row r="293" spans="1:23" x14ac:dyDescent="0.25">
      <c r="A293" t="s">
        <v>15</v>
      </c>
      <c r="B293" s="7">
        <v>17</v>
      </c>
      <c r="C293" s="4">
        <v>1.8</v>
      </c>
      <c r="D293" s="7">
        <v>58</v>
      </c>
      <c r="E293">
        <v>0</v>
      </c>
      <c r="F293">
        <v>1</v>
      </c>
      <c r="G293" s="2">
        <v>2</v>
      </c>
      <c r="H293" s="2">
        <v>3</v>
      </c>
      <c r="I293">
        <v>2</v>
      </c>
      <c r="J293">
        <v>0</v>
      </c>
      <c r="K293" s="2">
        <v>2</v>
      </c>
      <c r="L293">
        <v>0</v>
      </c>
      <c r="M293" s="7">
        <v>2</v>
      </c>
      <c r="N293" s="7">
        <v>1</v>
      </c>
      <c r="O293">
        <v>0</v>
      </c>
      <c r="P293" t="s">
        <v>16</v>
      </c>
      <c r="Q293">
        <v>0</v>
      </c>
      <c r="R293" s="8">
        <f>(Tabela2[[#This Row],[FAF_atividade_fisica_frequente_em_horas]]+ 0.1)</f>
        <v>2.1</v>
      </c>
      <c r="S293" s="1">
        <f>(Tabela2[[#This Row],[TUE_tempo_uso_aparelhos_em_horas]]/Tabela2[[#This Row],[FAF_Var]])</f>
        <v>0.47619047619047616</v>
      </c>
      <c r="T293">
        <f>(Tabela2[[#This Row],[CAEC_lanche_entre_refeicoes]]*Tabela2[[#This Row],[FAVC_consumo_frequente_de_alimentos_mt_caloricos]])</f>
        <v>2</v>
      </c>
      <c r="U293" s="1">
        <f>IF(OR(Tabela2[[#This Row],[MTRANS]]="Walking",Tabela2[[#This Row],[MTRANS]]="Bike"),Tabela2[[#This Row],[FAF_atividade_fisica_frequente_em_horas]]+1,M293)</f>
        <v>3</v>
      </c>
      <c r="V293">
        <f>(Tabela2[[#This Row],[SMOKE]]+Tabela2[[#This Row],[CALC_bebe_alcool_frequentemente]])</f>
        <v>0</v>
      </c>
      <c r="W293" s="8">
        <f>(Tabela2[[#This Row],[Weight]]/(Tabela2[[#This Row],[Height]] ^2))</f>
        <v>17.901234567901234</v>
      </c>
    </row>
    <row r="294" spans="1:23" x14ac:dyDescent="0.25">
      <c r="A294" t="s">
        <v>15</v>
      </c>
      <c r="B294" s="7">
        <v>21</v>
      </c>
      <c r="C294" s="4">
        <v>1.7</v>
      </c>
      <c r="D294" s="7">
        <v>65</v>
      </c>
      <c r="E294">
        <v>1</v>
      </c>
      <c r="F294">
        <v>1</v>
      </c>
      <c r="G294" s="2">
        <v>2</v>
      </c>
      <c r="H294" s="2">
        <v>3</v>
      </c>
      <c r="I294">
        <v>2</v>
      </c>
      <c r="J294">
        <v>0</v>
      </c>
      <c r="K294" s="2">
        <v>1</v>
      </c>
      <c r="L294">
        <v>0</v>
      </c>
      <c r="M294" s="7">
        <v>1</v>
      </c>
      <c r="N294" s="7">
        <v>1</v>
      </c>
      <c r="O294">
        <v>0</v>
      </c>
      <c r="P294" t="s">
        <v>14</v>
      </c>
      <c r="Q294">
        <v>1</v>
      </c>
      <c r="R294" s="8">
        <f>(Tabela2[[#This Row],[FAF_atividade_fisica_frequente_em_horas]]+ 0.1)</f>
        <v>1.1000000000000001</v>
      </c>
      <c r="S294" s="1">
        <f>(Tabela2[[#This Row],[TUE_tempo_uso_aparelhos_em_horas]]/Tabela2[[#This Row],[FAF_Var]])</f>
        <v>0.90909090909090906</v>
      </c>
      <c r="T294">
        <f>(Tabela2[[#This Row],[CAEC_lanche_entre_refeicoes]]*Tabela2[[#This Row],[FAVC_consumo_frequente_de_alimentos_mt_caloricos]])</f>
        <v>2</v>
      </c>
      <c r="U294" s="1">
        <f>IF(OR(Tabela2[[#This Row],[MTRANS]]="Walking",Tabela2[[#This Row],[MTRANS]]="Bike"),Tabela2[[#This Row],[FAF_atividade_fisica_frequente_em_horas]]+1,M294)</f>
        <v>1</v>
      </c>
      <c r="V294">
        <f>(Tabela2[[#This Row],[SMOKE]]+Tabela2[[#This Row],[CALC_bebe_alcool_frequentemente]])</f>
        <v>0</v>
      </c>
      <c r="W294" s="8">
        <f>(Tabela2[[#This Row],[Weight]]/(Tabela2[[#This Row],[Height]] ^2))</f>
        <v>22.491349480968861</v>
      </c>
    </row>
    <row r="295" spans="1:23" x14ac:dyDescent="0.25">
      <c r="A295" t="s">
        <v>15</v>
      </c>
      <c r="B295" s="7">
        <v>19</v>
      </c>
      <c r="C295" s="4">
        <v>1.82</v>
      </c>
      <c r="D295" s="7">
        <v>75</v>
      </c>
      <c r="E295">
        <v>1</v>
      </c>
      <c r="F295">
        <v>0</v>
      </c>
      <c r="G295" s="2">
        <v>2</v>
      </c>
      <c r="H295" s="2">
        <v>3</v>
      </c>
      <c r="I295">
        <v>2</v>
      </c>
      <c r="J295">
        <v>0</v>
      </c>
      <c r="K295" s="2">
        <v>2</v>
      </c>
      <c r="L295">
        <v>0</v>
      </c>
      <c r="M295" s="7">
        <v>1</v>
      </c>
      <c r="N295" s="7">
        <v>0</v>
      </c>
      <c r="O295">
        <v>0</v>
      </c>
      <c r="P295" t="s">
        <v>14</v>
      </c>
      <c r="Q295">
        <v>1</v>
      </c>
      <c r="R295" s="8">
        <f>(Tabela2[[#This Row],[FAF_atividade_fisica_frequente_em_horas]]+ 0.1)</f>
        <v>1.1000000000000001</v>
      </c>
      <c r="S295" s="1">
        <f>(Tabela2[[#This Row],[TUE_tempo_uso_aparelhos_em_horas]]/Tabela2[[#This Row],[FAF_Var]])</f>
        <v>0</v>
      </c>
      <c r="T295">
        <f>(Tabela2[[#This Row],[CAEC_lanche_entre_refeicoes]]*Tabela2[[#This Row],[FAVC_consumo_frequente_de_alimentos_mt_caloricos]])</f>
        <v>0</v>
      </c>
      <c r="U295" s="1">
        <f>IF(OR(Tabela2[[#This Row],[MTRANS]]="Walking",Tabela2[[#This Row],[MTRANS]]="Bike"),Tabela2[[#This Row],[FAF_atividade_fisica_frequente_em_horas]]+1,M295)</f>
        <v>1</v>
      </c>
      <c r="V295">
        <f>(Tabela2[[#This Row],[SMOKE]]+Tabela2[[#This Row],[CALC_bebe_alcool_frequentemente]])</f>
        <v>0</v>
      </c>
      <c r="W295" s="8">
        <f>(Tabela2[[#This Row],[Weight]]/(Tabela2[[#This Row],[Height]] ^2))</f>
        <v>22.642192971863299</v>
      </c>
    </row>
    <row r="296" spans="1:23" x14ac:dyDescent="0.25">
      <c r="A296" t="s">
        <v>15</v>
      </c>
      <c r="B296" s="7">
        <v>18</v>
      </c>
      <c r="C296" s="4">
        <v>1.86</v>
      </c>
      <c r="D296" s="7">
        <v>110</v>
      </c>
      <c r="E296">
        <v>1</v>
      </c>
      <c r="F296">
        <v>1</v>
      </c>
      <c r="G296" s="2">
        <v>2</v>
      </c>
      <c r="H296" s="2">
        <v>1</v>
      </c>
      <c r="I296">
        <v>1</v>
      </c>
      <c r="J296">
        <v>1</v>
      </c>
      <c r="K296" s="2">
        <v>2</v>
      </c>
      <c r="L296">
        <v>0</v>
      </c>
      <c r="M296" s="7">
        <v>1</v>
      </c>
      <c r="N296" s="7">
        <v>2</v>
      </c>
      <c r="O296">
        <v>1</v>
      </c>
      <c r="P296" t="s">
        <v>14</v>
      </c>
      <c r="Q296">
        <v>4</v>
      </c>
      <c r="R296" s="8">
        <f>(Tabela2[[#This Row],[FAF_atividade_fisica_frequente_em_horas]]+ 0.1)</f>
        <v>1.1000000000000001</v>
      </c>
      <c r="S296" s="1">
        <f>(Tabela2[[#This Row],[TUE_tempo_uso_aparelhos_em_horas]]/Tabela2[[#This Row],[FAF_Var]])</f>
        <v>1.8181818181818181</v>
      </c>
      <c r="T296">
        <f>(Tabela2[[#This Row],[CAEC_lanche_entre_refeicoes]]*Tabela2[[#This Row],[FAVC_consumo_frequente_de_alimentos_mt_caloricos]])</f>
        <v>1</v>
      </c>
      <c r="U296" s="1">
        <f>IF(OR(Tabela2[[#This Row],[MTRANS]]="Walking",Tabela2[[#This Row],[MTRANS]]="Bike"),Tabela2[[#This Row],[FAF_atividade_fisica_frequente_em_horas]]+1,M296)</f>
        <v>1</v>
      </c>
      <c r="V296">
        <f>(Tabela2[[#This Row],[SMOKE]]+Tabela2[[#This Row],[CALC_bebe_alcool_frequentemente]])</f>
        <v>2</v>
      </c>
      <c r="W296" s="8">
        <f>(Tabela2[[#This Row],[Weight]]/(Tabela2[[#This Row],[Height]] ^2))</f>
        <v>31.795583304428252</v>
      </c>
    </row>
    <row r="297" spans="1:23" x14ac:dyDescent="0.25">
      <c r="A297" t="s">
        <v>13</v>
      </c>
      <c r="B297" s="7">
        <v>16</v>
      </c>
      <c r="C297" s="4">
        <v>1.66</v>
      </c>
      <c r="D297" s="7">
        <v>58</v>
      </c>
      <c r="E297">
        <v>0</v>
      </c>
      <c r="F297">
        <v>0</v>
      </c>
      <c r="G297" s="2">
        <v>2</v>
      </c>
      <c r="H297" s="2">
        <v>1</v>
      </c>
      <c r="I297">
        <v>1</v>
      </c>
      <c r="J297">
        <v>0</v>
      </c>
      <c r="K297" s="2">
        <v>1</v>
      </c>
      <c r="L297">
        <v>0</v>
      </c>
      <c r="M297" s="7">
        <v>0</v>
      </c>
      <c r="N297" s="7">
        <v>1</v>
      </c>
      <c r="O297">
        <v>0</v>
      </c>
      <c r="P297" t="s">
        <v>16</v>
      </c>
      <c r="Q297">
        <v>1</v>
      </c>
      <c r="R297" s="8">
        <f>(Tabela2[[#This Row],[FAF_atividade_fisica_frequente_em_horas]]+ 0.1)</f>
        <v>0.1</v>
      </c>
      <c r="S297" s="1">
        <f>(Tabela2[[#This Row],[TUE_tempo_uso_aparelhos_em_horas]]/Tabela2[[#This Row],[FAF_Var]])</f>
        <v>10</v>
      </c>
      <c r="T297">
        <f>(Tabela2[[#This Row],[CAEC_lanche_entre_refeicoes]]*Tabela2[[#This Row],[FAVC_consumo_frequente_de_alimentos_mt_caloricos]])</f>
        <v>0</v>
      </c>
      <c r="U297" s="1">
        <f>IF(OR(Tabela2[[#This Row],[MTRANS]]="Walking",Tabela2[[#This Row],[MTRANS]]="Bike"),Tabela2[[#This Row],[FAF_atividade_fisica_frequente_em_horas]]+1,M297)</f>
        <v>1</v>
      </c>
      <c r="V297">
        <f>(Tabela2[[#This Row],[SMOKE]]+Tabela2[[#This Row],[CALC_bebe_alcool_frequentemente]])</f>
        <v>0</v>
      </c>
      <c r="W297" s="8">
        <f>(Tabela2[[#This Row],[Weight]]/(Tabela2[[#This Row],[Height]] ^2))</f>
        <v>21.048047612135289</v>
      </c>
    </row>
    <row r="298" spans="1:23" x14ac:dyDescent="0.25">
      <c r="A298" t="s">
        <v>13</v>
      </c>
      <c r="B298" s="7">
        <v>21</v>
      </c>
      <c r="C298" s="4">
        <v>1.53</v>
      </c>
      <c r="D298" s="7">
        <v>53</v>
      </c>
      <c r="E298">
        <v>0</v>
      </c>
      <c r="F298">
        <v>1</v>
      </c>
      <c r="G298" s="2">
        <v>3</v>
      </c>
      <c r="H298" s="2">
        <v>3</v>
      </c>
      <c r="I298">
        <v>1</v>
      </c>
      <c r="J298">
        <v>0</v>
      </c>
      <c r="K298" s="2">
        <v>2</v>
      </c>
      <c r="L298">
        <v>0</v>
      </c>
      <c r="M298" s="7">
        <v>2</v>
      </c>
      <c r="N298" s="7">
        <v>1</v>
      </c>
      <c r="O298">
        <v>1</v>
      </c>
      <c r="P298" t="s">
        <v>14</v>
      </c>
      <c r="Q298">
        <v>1</v>
      </c>
      <c r="R298" s="8">
        <f>(Tabela2[[#This Row],[FAF_atividade_fisica_frequente_em_horas]]+ 0.1)</f>
        <v>2.1</v>
      </c>
      <c r="S298" s="1">
        <f>(Tabela2[[#This Row],[TUE_tempo_uso_aparelhos_em_horas]]/Tabela2[[#This Row],[FAF_Var]])</f>
        <v>0.47619047619047616</v>
      </c>
      <c r="T298">
        <f>(Tabela2[[#This Row],[CAEC_lanche_entre_refeicoes]]*Tabela2[[#This Row],[FAVC_consumo_frequente_de_alimentos_mt_caloricos]])</f>
        <v>1</v>
      </c>
      <c r="U298" s="1">
        <f>IF(OR(Tabela2[[#This Row],[MTRANS]]="Walking",Tabela2[[#This Row],[MTRANS]]="Bike"),Tabela2[[#This Row],[FAF_atividade_fisica_frequente_em_horas]]+1,M298)</f>
        <v>2</v>
      </c>
      <c r="V298">
        <f>(Tabela2[[#This Row],[SMOKE]]+Tabela2[[#This Row],[CALC_bebe_alcool_frequentemente]])</f>
        <v>1</v>
      </c>
      <c r="W298" s="8">
        <f>(Tabela2[[#This Row],[Weight]]/(Tabela2[[#This Row],[Height]] ^2))</f>
        <v>22.64086462471699</v>
      </c>
    </row>
    <row r="299" spans="1:23" x14ac:dyDescent="0.25">
      <c r="A299" t="s">
        <v>15</v>
      </c>
      <c r="B299" s="7">
        <v>26</v>
      </c>
      <c r="C299" s="4">
        <v>1.74</v>
      </c>
      <c r="D299" s="7">
        <v>80</v>
      </c>
      <c r="E299">
        <v>0</v>
      </c>
      <c r="F299">
        <v>0</v>
      </c>
      <c r="G299" s="2">
        <v>2</v>
      </c>
      <c r="H299" s="2">
        <v>3</v>
      </c>
      <c r="I299">
        <v>1</v>
      </c>
      <c r="J299">
        <v>0</v>
      </c>
      <c r="K299" s="2">
        <v>2</v>
      </c>
      <c r="L299">
        <v>0</v>
      </c>
      <c r="M299" s="7">
        <v>2</v>
      </c>
      <c r="N299" s="7">
        <v>0</v>
      </c>
      <c r="O299">
        <v>0</v>
      </c>
      <c r="P299" t="s">
        <v>17</v>
      </c>
      <c r="Q299">
        <v>2</v>
      </c>
      <c r="R299" s="8">
        <f>(Tabela2[[#This Row],[FAF_atividade_fisica_frequente_em_horas]]+ 0.1)</f>
        <v>2.1</v>
      </c>
      <c r="S299" s="1">
        <f>(Tabela2[[#This Row],[TUE_tempo_uso_aparelhos_em_horas]]/Tabela2[[#This Row],[FAF_Var]])</f>
        <v>0</v>
      </c>
      <c r="T299">
        <f>(Tabela2[[#This Row],[CAEC_lanche_entre_refeicoes]]*Tabela2[[#This Row],[FAVC_consumo_frequente_de_alimentos_mt_caloricos]])</f>
        <v>0</v>
      </c>
      <c r="U299" s="1">
        <f>IF(OR(Tabela2[[#This Row],[MTRANS]]="Walking",Tabela2[[#This Row],[MTRANS]]="Bike"),Tabela2[[#This Row],[FAF_atividade_fisica_frequente_em_horas]]+1,M299)</f>
        <v>2</v>
      </c>
      <c r="V299">
        <f>(Tabela2[[#This Row],[SMOKE]]+Tabela2[[#This Row],[CALC_bebe_alcool_frequentemente]])</f>
        <v>0</v>
      </c>
      <c r="W299" s="8">
        <f>(Tabela2[[#This Row],[Weight]]/(Tabela2[[#This Row],[Height]] ^2))</f>
        <v>26.423569824283259</v>
      </c>
    </row>
    <row r="300" spans="1:23" x14ac:dyDescent="0.25">
      <c r="A300" t="s">
        <v>15</v>
      </c>
      <c r="B300" s="7">
        <v>18</v>
      </c>
      <c r="C300" s="4">
        <v>1.8</v>
      </c>
      <c r="D300" s="7">
        <v>80</v>
      </c>
      <c r="E300">
        <v>1</v>
      </c>
      <c r="F300">
        <v>1</v>
      </c>
      <c r="G300" s="2">
        <v>2</v>
      </c>
      <c r="H300" s="2">
        <v>3</v>
      </c>
      <c r="I300">
        <v>2</v>
      </c>
      <c r="J300">
        <v>0</v>
      </c>
      <c r="K300" s="2">
        <v>1</v>
      </c>
      <c r="L300">
        <v>0</v>
      </c>
      <c r="M300" s="7">
        <v>0</v>
      </c>
      <c r="N300" s="7">
        <v>1</v>
      </c>
      <c r="O300">
        <v>2</v>
      </c>
      <c r="P300" t="s">
        <v>14</v>
      </c>
      <c r="Q300">
        <v>1</v>
      </c>
      <c r="R300" s="8">
        <f>(Tabela2[[#This Row],[FAF_atividade_fisica_frequente_em_horas]]+ 0.1)</f>
        <v>0.1</v>
      </c>
      <c r="S300" s="1">
        <f>(Tabela2[[#This Row],[TUE_tempo_uso_aparelhos_em_horas]]/Tabela2[[#This Row],[FAF_Var]])</f>
        <v>10</v>
      </c>
      <c r="T300">
        <f>(Tabela2[[#This Row],[CAEC_lanche_entre_refeicoes]]*Tabela2[[#This Row],[FAVC_consumo_frequente_de_alimentos_mt_caloricos]])</f>
        <v>2</v>
      </c>
      <c r="U300" s="1">
        <f>IF(OR(Tabela2[[#This Row],[MTRANS]]="Walking",Tabela2[[#This Row],[MTRANS]]="Bike"),Tabela2[[#This Row],[FAF_atividade_fisica_frequente_em_horas]]+1,M300)</f>
        <v>0</v>
      </c>
      <c r="V300">
        <f>(Tabela2[[#This Row],[SMOKE]]+Tabela2[[#This Row],[CALC_bebe_alcool_frequentemente]])</f>
        <v>2</v>
      </c>
      <c r="W300" s="8">
        <f>(Tabela2[[#This Row],[Weight]]/(Tabela2[[#This Row],[Height]] ^2))</f>
        <v>24.691358024691358</v>
      </c>
    </row>
    <row r="301" spans="1:23" x14ac:dyDescent="0.25">
      <c r="A301" t="s">
        <v>15</v>
      </c>
      <c r="B301" s="7">
        <v>23</v>
      </c>
      <c r="C301" s="4">
        <v>1.7</v>
      </c>
      <c r="D301" s="7">
        <v>75</v>
      </c>
      <c r="E301">
        <v>0</v>
      </c>
      <c r="F301">
        <v>1</v>
      </c>
      <c r="G301" s="2">
        <v>3</v>
      </c>
      <c r="H301" s="2">
        <v>3</v>
      </c>
      <c r="I301">
        <v>1</v>
      </c>
      <c r="J301">
        <v>0</v>
      </c>
      <c r="K301" s="2">
        <v>3</v>
      </c>
      <c r="L301">
        <v>0</v>
      </c>
      <c r="M301" s="7">
        <v>1</v>
      </c>
      <c r="N301" s="7">
        <v>2</v>
      </c>
      <c r="O301">
        <v>1</v>
      </c>
      <c r="P301" t="s">
        <v>14</v>
      </c>
      <c r="Q301">
        <v>2</v>
      </c>
      <c r="R301" s="8">
        <f>(Tabela2[[#This Row],[FAF_atividade_fisica_frequente_em_horas]]+ 0.1)</f>
        <v>1.1000000000000001</v>
      </c>
      <c r="S301" s="1">
        <f>(Tabela2[[#This Row],[TUE_tempo_uso_aparelhos_em_horas]]/Tabela2[[#This Row],[FAF_Var]])</f>
        <v>1.8181818181818181</v>
      </c>
      <c r="T301">
        <f>(Tabela2[[#This Row],[CAEC_lanche_entre_refeicoes]]*Tabela2[[#This Row],[FAVC_consumo_frequente_de_alimentos_mt_caloricos]])</f>
        <v>1</v>
      </c>
      <c r="U301" s="1">
        <f>IF(OR(Tabela2[[#This Row],[MTRANS]]="Walking",Tabela2[[#This Row],[MTRANS]]="Bike"),Tabela2[[#This Row],[FAF_atividade_fisica_frequente_em_horas]]+1,M301)</f>
        <v>1</v>
      </c>
      <c r="V301">
        <f>(Tabela2[[#This Row],[SMOKE]]+Tabela2[[#This Row],[CALC_bebe_alcool_frequentemente]])</f>
        <v>1</v>
      </c>
      <c r="W301" s="8">
        <f>(Tabela2[[#This Row],[Weight]]/(Tabela2[[#This Row],[Height]] ^2))</f>
        <v>25.95155709342561</v>
      </c>
    </row>
    <row r="302" spans="1:23" x14ac:dyDescent="0.25">
      <c r="A302" t="s">
        <v>15</v>
      </c>
      <c r="B302" s="7">
        <v>26</v>
      </c>
      <c r="C302" s="4">
        <v>1.7</v>
      </c>
      <c r="D302" s="7">
        <v>70</v>
      </c>
      <c r="E302">
        <v>0</v>
      </c>
      <c r="F302">
        <v>1</v>
      </c>
      <c r="G302" s="2">
        <v>2</v>
      </c>
      <c r="H302" s="2">
        <v>3</v>
      </c>
      <c r="I302">
        <v>1</v>
      </c>
      <c r="J302">
        <v>1</v>
      </c>
      <c r="K302" s="2">
        <v>1</v>
      </c>
      <c r="L302">
        <v>0</v>
      </c>
      <c r="M302" s="7">
        <v>0</v>
      </c>
      <c r="N302" s="7">
        <v>0</v>
      </c>
      <c r="O302">
        <v>1</v>
      </c>
      <c r="P302" t="s">
        <v>14</v>
      </c>
      <c r="Q302">
        <v>1</v>
      </c>
      <c r="R302" s="8">
        <f>(Tabela2[[#This Row],[FAF_atividade_fisica_frequente_em_horas]]+ 0.1)</f>
        <v>0.1</v>
      </c>
      <c r="S302" s="1">
        <f>(Tabela2[[#This Row],[TUE_tempo_uso_aparelhos_em_horas]]/Tabela2[[#This Row],[FAF_Var]])</f>
        <v>0</v>
      </c>
      <c r="T302">
        <f>(Tabela2[[#This Row],[CAEC_lanche_entre_refeicoes]]*Tabela2[[#This Row],[FAVC_consumo_frequente_de_alimentos_mt_caloricos]])</f>
        <v>1</v>
      </c>
      <c r="U302" s="1">
        <f>IF(OR(Tabela2[[#This Row],[MTRANS]]="Walking",Tabela2[[#This Row],[MTRANS]]="Bike"),Tabela2[[#This Row],[FAF_atividade_fisica_frequente_em_horas]]+1,M302)</f>
        <v>0</v>
      </c>
      <c r="V302">
        <f>(Tabela2[[#This Row],[SMOKE]]+Tabela2[[#This Row],[CALC_bebe_alcool_frequentemente]])</f>
        <v>2</v>
      </c>
      <c r="W302" s="8">
        <f>(Tabela2[[#This Row],[Weight]]/(Tabela2[[#This Row],[Height]] ^2))</f>
        <v>24.221453287197235</v>
      </c>
    </row>
    <row r="303" spans="1:23" x14ac:dyDescent="0.25">
      <c r="A303" t="s">
        <v>15</v>
      </c>
      <c r="B303" s="7">
        <v>18</v>
      </c>
      <c r="C303" s="4">
        <v>1.72</v>
      </c>
      <c r="D303" s="7">
        <v>55</v>
      </c>
      <c r="E303">
        <v>0</v>
      </c>
      <c r="F303">
        <v>1</v>
      </c>
      <c r="G303" s="2">
        <v>2</v>
      </c>
      <c r="H303" s="2">
        <v>4</v>
      </c>
      <c r="I303">
        <v>1</v>
      </c>
      <c r="J303">
        <v>0</v>
      </c>
      <c r="K303" s="2">
        <v>2</v>
      </c>
      <c r="L303">
        <v>0</v>
      </c>
      <c r="M303" s="7">
        <v>2</v>
      </c>
      <c r="N303" s="7">
        <v>1</v>
      </c>
      <c r="O303">
        <v>1</v>
      </c>
      <c r="P303" t="s">
        <v>14</v>
      </c>
      <c r="Q303">
        <v>1</v>
      </c>
      <c r="R303" s="8">
        <f>(Tabela2[[#This Row],[FAF_atividade_fisica_frequente_em_horas]]+ 0.1)</f>
        <v>2.1</v>
      </c>
      <c r="S303" s="1">
        <f>(Tabela2[[#This Row],[TUE_tempo_uso_aparelhos_em_horas]]/Tabela2[[#This Row],[FAF_Var]])</f>
        <v>0.47619047619047616</v>
      </c>
      <c r="T303">
        <f>(Tabela2[[#This Row],[CAEC_lanche_entre_refeicoes]]*Tabela2[[#This Row],[FAVC_consumo_frequente_de_alimentos_mt_caloricos]])</f>
        <v>1</v>
      </c>
      <c r="U303" s="1">
        <f>IF(OR(Tabela2[[#This Row],[MTRANS]]="Walking",Tabela2[[#This Row],[MTRANS]]="Bike"),Tabela2[[#This Row],[FAF_atividade_fisica_frequente_em_horas]]+1,M303)</f>
        <v>2</v>
      </c>
      <c r="V303">
        <f>(Tabela2[[#This Row],[SMOKE]]+Tabela2[[#This Row],[CALC_bebe_alcool_frequentemente]])</f>
        <v>1</v>
      </c>
      <c r="W303" s="8">
        <f>(Tabela2[[#This Row],[Weight]]/(Tabela2[[#This Row],[Height]] ^2))</f>
        <v>18.591130340724717</v>
      </c>
    </row>
    <row r="304" spans="1:23" x14ac:dyDescent="0.25">
      <c r="A304" t="s">
        <v>15</v>
      </c>
      <c r="B304" s="7">
        <v>16</v>
      </c>
      <c r="C304" s="4">
        <v>1.84</v>
      </c>
      <c r="D304" s="7">
        <v>45</v>
      </c>
      <c r="E304">
        <v>1</v>
      </c>
      <c r="F304">
        <v>1</v>
      </c>
      <c r="G304" s="2">
        <v>3</v>
      </c>
      <c r="H304" s="2">
        <v>3</v>
      </c>
      <c r="I304">
        <v>3</v>
      </c>
      <c r="J304">
        <v>0</v>
      </c>
      <c r="K304" s="2">
        <v>3</v>
      </c>
      <c r="L304">
        <v>0</v>
      </c>
      <c r="M304" s="7">
        <v>3</v>
      </c>
      <c r="N304" s="7">
        <v>2</v>
      </c>
      <c r="O304">
        <v>1</v>
      </c>
      <c r="P304" t="s">
        <v>16</v>
      </c>
      <c r="Q304">
        <v>0</v>
      </c>
      <c r="R304" s="8">
        <f>(Tabela2[[#This Row],[FAF_atividade_fisica_frequente_em_horas]]+ 0.1)</f>
        <v>3.1</v>
      </c>
      <c r="S304" s="1">
        <f>(Tabela2[[#This Row],[TUE_tempo_uso_aparelhos_em_horas]]/Tabela2[[#This Row],[FAF_Var]])</f>
        <v>0.64516129032258063</v>
      </c>
      <c r="T304">
        <f>(Tabela2[[#This Row],[CAEC_lanche_entre_refeicoes]]*Tabela2[[#This Row],[FAVC_consumo_frequente_de_alimentos_mt_caloricos]])</f>
        <v>3</v>
      </c>
      <c r="U304" s="1">
        <f>IF(OR(Tabela2[[#This Row],[MTRANS]]="Walking",Tabela2[[#This Row],[MTRANS]]="Bike"),Tabela2[[#This Row],[FAF_atividade_fisica_frequente_em_horas]]+1,M304)</f>
        <v>4</v>
      </c>
      <c r="V304">
        <f>(Tabela2[[#This Row],[SMOKE]]+Tabela2[[#This Row],[CALC_bebe_alcool_frequentemente]])</f>
        <v>1</v>
      </c>
      <c r="W304" s="8">
        <f>(Tabela2[[#This Row],[Weight]]/(Tabela2[[#This Row],[Height]] ^2))</f>
        <v>13.291587901701323</v>
      </c>
    </row>
    <row r="305" spans="1:23" x14ac:dyDescent="0.25">
      <c r="A305" t="s">
        <v>13</v>
      </c>
      <c r="B305" s="7">
        <v>16</v>
      </c>
      <c r="C305" s="4">
        <v>1.57</v>
      </c>
      <c r="D305" s="7">
        <v>49</v>
      </c>
      <c r="E305">
        <v>0</v>
      </c>
      <c r="F305">
        <v>1</v>
      </c>
      <c r="G305" s="2">
        <v>2</v>
      </c>
      <c r="H305" s="2">
        <v>4</v>
      </c>
      <c r="I305">
        <v>3</v>
      </c>
      <c r="J305">
        <v>0</v>
      </c>
      <c r="K305" s="2">
        <v>2</v>
      </c>
      <c r="L305">
        <v>0</v>
      </c>
      <c r="M305" s="7">
        <v>0</v>
      </c>
      <c r="N305" s="7">
        <v>1</v>
      </c>
      <c r="O305">
        <v>1</v>
      </c>
      <c r="P305" t="s">
        <v>14</v>
      </c>
      <c r="Q305">
        <v>1</v>
      </c>
      <c r="R305" s="8">
        <f>(Tabela2[[#This Row],[FAF_atividade_fisica_frequente_em_horas]]+ 0.1)</f>
        <v>0.1</v>
      </c>
      <c r="S305" s="1">
        <f>(Tabela2[[#This Row],[TUE_tempo_uso_aparelhos_em_horas]]/Tabela2[[#This Row],[FAF_Var]])</f>
        <v>10</v>
      </c>
      <c r="T305">
        <f>(Tabela2[[#This Row],[CAEC_lanche_entre_refeicoes]]*Tabela2[[#This Row],[FAVC_consumo_frequente_de_alimentos_mt_caloricos]])</f>
        <v>3</v>
      </c>
      <c r="U305" s="1">
        <f>IF(OR(Tabela2[[#This Row],[MTRANS]]="Walking",Tabela2[[#This Row],[MTRANS]]="Bike"),Tabela2[[#This Row],[FAF_atividade_fisica_frequente_em_horas]]+1,M305)</f>
        <v>0</v>
      </c>
      <c r="V305">
        <f>(Tabela2[[#This Row],[SMOKE]]+Tabela2[[#This Row],[CALC_bebe_alcool_frequentemente]])</f>
        <v>1</v>
      </c>
      <c r="W305" s="8">
        <f>(Tabela2[[#This Row],[Weight]]/(Tabela2[[#This Row],[Height]] ^2))</f>
        <v>19.879102600511175</v>
      </c>
    </row>
    <row r="306" spans="1:23" x14ac:dyDescent="0.25">
      <c r="A306" t="s">
        <v>15</v>
      </c>
      <c r="B306" s="7">
        <v>20</v>
      </c>
      <c r="C306" s="4">
        <v>1.8</v>
      </c>
      <c r="D306" s="7">
        <v>85</v>
      </c>
      <c r="E306">
        <v>1</v>
      </c>
      <c r="F306">
        <v>0</v>
      </c>
      <c r="G306" s="2">
        <v>2</v>
      </c>
      <c r="H306" s="2">
        <v>3</v>
      </c>
      <c r="I306">
        <v>1</v>
      </c>
      <c r="J306">
        <v>0</v>
      </c>
      <c r="K306" s="2">
        <v>3</v>
      </c>
      <c r="L306">
        <v>0</v>
      </c>
      <c r="M306" s="7">
        <v>2</v>
      </c>
      <c r="N306" s="7">
        <v>1</v>
      </c>
      <c r="O306">
        <v>1</v>
      </c>
      <c r="P306" t="s">
        <v>14</v>
      </c>
      <c r="Q306">
        <v>2</v>
      </c>
      <c r="R306" s="8">
        <f>(Tabela2[[#This Row],[FAF_atividade_fisica_frequente_em_horas]]+ 0.1)</f>
        <v>2.1</v>
      </c>
      <c r="S306" s="1">
        <f>(Tabela2[[#This Row],[TUE_tempo_uso_aparelhos_em_horas]]/Tabela2[[#This Row],[FAF_Var]])</f>
        <v>0.47619047619047616</v>
      </c>
      <c r="T306">
        <f>(Tabela2[[#This Row],[CAEC_lanche_entre_refeicoes]]*Tabela2[[#This Row],[FAVC_consumo_frequente_de_alimentos_mt_caloricos]])</f>
        <v>0</v>
      </c>
      <c r="U306" s="1">
        <f>IF(OR(Tabela2[[#This Row],[MTRANS]]="Walking",Tabela2[[#This Row],[MTRANS]]="Bike"),Tabela2[[#This Row],[FAF_atividade_fisica_frequente_em_horas]]+1,M306)</f>
        <v>2</v>
      </c>
      <c r="V306">
        <f>(Tabela2[[#This Row],[SMOKE]]+Tabela2[[#This Row],[CALC_bebe_alcool_frequentemente]])</f>
        <v>1</v>
      </c>
      <c r="W306" s="8">
        <f>(Tabela2[[#This Row],[Weight]]/(Tabela2[[#This Row],[Height]] ^2))</f>
        <v>26.234567901234566</v>
      </c>
    </row>
    <row r="307" spans="1:23" x14ac:dyDescent="0.25">
      <c r="A307" t="s">
        <v>15</v>
      </c>
      <c r="B307" s="7">
        <v>23</v>
      </c>
      <c r="C307" s="4">
        <v>1.75</v>
      </c>
      <c r="D307" s="7">
        <v>120</v>
      </c>
      <c r="E307">
        <v>1</v>
      </c>
      <c r="F307">
        <v>1</v>
      </c>
      <c r="G307" s="2">
        <v>2</v>
      </c>
      <c r="H307" s="2">
        <v>3</v>
      </c>
      <c r="I307">
        <v>1</v>
      </c>
      <c r="J307">
        <v>1</v>
      </c>
      <c r="K307" s="2">
        <v>2</v>
      </c>
      <c r="L307">
        <v>0</v>
      </c>
      <c r="M307" s="7">
        <v>2</v>
      </c>
      <c r="N307" s="7">
        <v>1</v>
      </c>
      <c r="O307">
        <v>1</v>
      </c>
      <c r="P307" t="s">
        <v>14</v>
      </c>
      <c r="Q307">
        <v>5</v>
      </c>
      <c r="R307" s="8">
        <f>(Tabela2[[#This Row],[FAF_atividade_fisica_frequente_em_horas]]+ 0.1)</f>
        <v>2.1</v>
      </c>
      <c r="S307" s="1">
        <f>(Tabela2[[#This Row],[TUE_tempo_uso_aparelhos_em_horas]]/Tabela2[[#This Row],[FAF_Var]])</f>
        <v>0.47619047619047616</v>
      </c>
      <c r="T307">
        <f>(Tabela2[[#This Row],[CAEC_lanche_entre_refeicoes]]*Tabela2[[#This Row],[FAVC_consumo_frequente_de_alimentos_mt_caloricos]])</f>
        <v>1</v>
      </c>
      <c r="U307" s="1">
        <f>IF(OR(Tabela2[[#This Row],[MTRANS]]="Walking",Tabela2[[#This Row],[MTRANS]]="Bike"),Tabela2[[#This Row],[FAF_atividade_fisica_frequente_em_horas]]+1,M307)</f>
        <v>2</v>
      </c>
      <c r="V307">
        <f>(Tabela2[[#This Row],[SMOKE]]+Tabela2[[#This Row],[CALC_bebe_alcool_frequentemente]])</f>
        <v>2</v>
      </c>
      <c r="W307" s="8">
        <f>(Tabela2[[#This Row],[Weight]]/(Tabela2[[#This Row],[Height]] ^2))</f>
        <v>39.183673469387756</v>
      </c>
    </row>
    <row r="308" spans="1:23" x14ac:dyDescent="0.25">
      <c r="A308" t="s">
        <v>13</v>
      </c>
      <c r="B308" s="7">
        <v>24</v>
      </c>
      <c r="C308" s="4">
        <v>1.56</v>
      </c>
      <c r="D308" s="7">
        <v>60</v>
      </c>
      <c r="E308">
        <v>1</v>
      </c>
      <c r="F308">
        <v>1</v>
      </c>
      <c r="G308" s="2">
        <v>1</v>
      </c>
      <c r="H308" s="2">
        <v>3</v>
      </c>
      <c r="I308">
        <v>3</v>
      </c>
      <c r="J308">
        <v>0</v>
      </c>
      <c r="K308" s="2">
        <v>2</v>
      </c>
      <c r="L308">
        <v>0</v>
      </c>
      <c r="M308" s="7">
        <v>0</v>
      </c>
      <c r="N308" s="7">
        <v>2</v>
      </c>
      <c r="O308">
        <v>1</v>
      </c>
      <c r="P308" t="s">
        <v>14</v>
      </c>
      <c r="Q308">
        <v>1</v>
      </c>
      <c r="R308" s="8">
        <f>(Tabela2[[#This Row],[FAF_atividade_fisica_frequente_em_horas]]+ 0.1)</f>
        <v>0.1</v>
      </c>
      <c r="S308" s="1">
        <f>(Tabela2[[#This Row],[TUE_tempo_uso_aparelhos_em_horas]]/Tabela2[[#This Row],[FAF_Var]])</f>
        <v>20</v>
      </c>
      <c r="T308">
        <f>(Tabela2[[#This Row],[CAEC_lanche_entre_refeicoes]]*Tabela2[[#This Row],[FAVC_consumo_frequente_de_alimentos_mt_caloricos]])</f>
        <v>3</v>
      </c>
      <c r="U308" s="1">
        <f>IF(OR(Tabela2[[#This Row],[MTRANS]]="Walking",Tabela2[[#This Row],[MTRANS]]="Bike"),Tabela2[[#This Row],[FAF_atividade_fisica_frequente_em_horas]]+1,M308)</f>
        <v>0</v>
      </c>
      <c r="V308">
        <f>(Tabela2[[#This Row],[SMOKE]]+Tabela2[[#This Row],[CALC_bebe_alcool_frequentemente]])</f>
        <v>1</v>
      </c>
      <c r="W308" s="8">
        <f>(Tabela2[[#This Row],[Weight]]/(Tabela2[[#This Row],[Height]] ^2))</f>
        <v>24.654832347140037</v>
      </c>
    </row>
    <row r="309" spans="1:23" x14ac:dyDescent="0.25">
      <c r="A309" t="s">
        <v>13</v>
      </c>
      <c r="B309" s="7">
        <v>23</v>
      </c>
      <c r="C309" s="4">
        <v>1.59</v>
      </c>
      <c r="D309" s="7">
        <v>48</v>
      </c>
      <c r="E309">
        <v>1</v>
      </c>
      <c r="F309">
        <v>1</v>
      </c>
      <c r="G309" s="2">
        <v>2</v>
      </c>
      <c r="H309" s="2">
        <v>1</v>
      </c>
      <c r="I309">
        <v>2</v>
      </c>
      <c r="J309">
        <v>0</v>
      </c>
      <c r="K309" s="2">
        <v>1</v>
      </c>
      <c r="L309">
        <v>0</v>
      </c>
      <c r="M309" s="7">
        <v>0</v>
      </c>
      <c r="N309" s="7">
        <v>2</v>
      </c>
      <c r="O309">
        <v>1</v>
      </c>
      <c r="P309" t="s">
        <v>14</v>
      </c>
      <c r="Q309">
        <v>1</v>
      </c>
      <c r="R309" s="8">
        <f>(Tabela2[[#This Row],[FAF_atividade_fisica_frequente_em_horas]]+ 0.1)</f>
        <v>0.1</v>
      </c>
      <c r="S309" s="1">
        <f>(Tabela2[[#This Row],[TUE_tempo_uso_aparelhos_em_horas]]/Tabela2[[#This Row],[FAF_Var]])</f>
        <v>20</v>
      </c>
      <c r="T309">
        <f>(Tabela2[[#This Row],[CAEC_lanche_entre_refeicoes]]*Tabela2[[#This Row],[FAVC_consumo_frequente_de_alimentos_mt_caloricos]])</f>
        <v>2</v>
      </c>
      <c r="U309" s="1">
        <f>IF(OR(Tabela2[[#This Row],[MTRANS]]="Walking",Tabela2[[#This Row],[MTRANS]]="Bike"),Tabela2[[#This Row],[FAF_atividade_fisica_frequente_em_horas]]+1,M309)</f>
        <v>0</v>
      </c>
      <c r="V309">
        <f>(Tabela2[[#This Row],[SMOKE]]+Tabela2[[#This Row],[CALC_bebe_alcool_frequentemente]])</f>
        <v>1</v>
      </c>
      <c r="W309" s="8">
        <f>(Tabela2[[#This Row],[Weight]]/(Tabela2[[#This Row],[Height]] ^2))</f>
        <v>18.986590720303784</v>
      </c>
    </row>
    <row r="310" spans="1:23" x14ac:dyDescent="0.25">
      <c r="A310" t="s">
        <v>15</v>
      </c>
      <c r="B310" s="7">
        <v>20</v>
      </c>
      <c r="C310" s="4">
        <v>1.8</v>
      </c>
      <c r="D310" s="7">
        <v>75</v>
      </c>
      <c r="E310">
        <v>0</v>
      </c>
      <c r="F310">
        <v>1</v>
      </c>
      <c r="G310" s="2">
        <v>3</v>
      </c>
      <c r="H310" s="2">
        <v>4</v>
      </c>
      <c r="I310">
        <v>3</v>
      </c>
      <c r="J310">
        <v>0</v>
      </c>
      <c r="K310" s="2">
        <v>3</v>
      </c>
      <c r="L310">
        <v>0</v>
      </c>
      <c r="M310" s="7">
        <v>2</v>
      </c>
      <c r="N310" s="7">
        <v>0</v>
      </c>
      <c r="O310">
        <v>1</v>
      </c>
      <c r="P310" t="s">
        <v>14</v>
      </c>
      <c r="Q310">
        <v>1</v>
      </c>
      <c r="R310" s="8">
        <f>(Tabela2[[#This Row],[FAF_atividade_fisica_frequente_em_horas]]+ 0.1)</f>
        <v>2.1</v>
      </c>
      <c r="S310" s="1">
        <f>(Tabela2[[#This Row],[TUE_tempo_uso_aparelhos_em_horas]]/Tabela2[[#This Row],[FAF_Var]])</f>
        <v>0</v>
      </c>
      <c r="T310">
        <f>(Tabela2[[#This Row],[CAEC_lanche_entre_refeicoes]]*Tabela2[[#This Row],[FAVC_consumo_frequente_de_alimentos_mt_caloricos]])</f>
        <v>3</v>
      </c>
      <c r="U310" s="1">
        <f>IF(OR(Tabela2[[#This Row],[MTRANS]]="Walking",Tabela2[[#This Row],[MTRANS]]="Bike"),Tabela2[[#This Row],[FAF_atividade_fisica_frequente_em_horas]]+1,M310)</f>
        <v>2</v>
      </c>
      <c r="V310">
        <f>(Tabela2[[#This Row],[SMOKE]]+Tabela2[[#This Row],[CALC_bebe_alcool_frequentemente]])</f>
        <v>1</v>
      </c>
      <c r="W310" s="8">
        <f>(Tabela2[[#This Row],[Weight]]/(Tabela2[[#This Row],[Height]] ^2))</f>
        <v>23.148148148148145</v>
      </c>
    </row>
    <row r="311" spans="1:23" x14ac:dyDescent="0.25">
      <c r="A311" t="s">
        <v>13</v>
      </c>
      <c r="B311" s="7">
        <v>16</v>
      </c>
      <c r="C311" s="4">
        <v>1.66</v>
      </c>
      <c r="D311" s="7">
        <v>58</v>
      </c>
      <c r="E311">
        <v>0</v>
      </c>
      <c r="F311">
        <v>0</v>
      </c>
      <c r="G311" s="2">
        <v>2</v>
      </c>
      <c r="H311" s="2">
        <v>1</v>
      </c>
      <c r="I311">
        <v>1</v>
      </c>
      <c r="J311">
        <v>0</v>
      </c>
      <c r="K311" s="2">
        <v>1</v>
      </c>
      <c r="L311">
        <v>0</v>
      </c>
      <c r="M311" s="7">
        <v>0</v>
      </c>
      <c r="N311" s="7">
        <v>1</v>
      </c>
      <c r="O311">
        <v>0</v>
      </c>
      <c r="P311" t="s">
        <v>16</v>
      </c>
      <c r="Q311">
        <v>1</v>
      </c>
      <c r="R311" s="8">
        <f>(Tabela2[[#This Row],[FAF_atividade_fisica_frequente_em_horas]]+ 0.1)</f>
        <v>0.1</v>
      </c>
      <c r="S311" s="1">
        <f>(Tabela2[[#This Row],[TUE_tempo_uso_aparelhos_em_horas]]/Tabela2[[#This Row],[FAF_Var]])</f>
        <v>10</v>
      </c>
      <c r="T311">
        <f>(Tabela2[[#This Row],[CAEC_lanche_entre_refeicoes]]*Tabela2[[#This Row],[FAVC_consumo_frequente_de_alimentos_mt_caloricos]])</f>
        <v>0</v>
      </c>
      <c r="U311" s="1">
        <f>IF(OR(Tabela2[[#This Row],[MTRANS]]="Walking",Tabela2[[#This Row],[MTRANS]]="Bike"),Tabela2[[#This Row],[FAF_atividade_fisica_frequente_em_horas]]+1,M311)</f>
        <v>1</v>
      </c>
      <c r="V311">
        <f>(Tabela2[[#This Row],[SMOKE]]+Tabela2[[#This Row],[CALC_bebe_alcool_frequentemente]])</f>
        <v>0</v>
      </c>
      <c r="W311" s="8">
        <f>(Tabela2[[#This Row],[Weight]]/(Tabela2[[#This Row],[Height]] ^2))</f>
        <v>21.048047612135289</v>
      </c>
    </row>
    <row r="312" spans="1:23" x14ac:dyDescent="0.25">
      <c r="A312" t="s">
        <v>15</v>
      </c>
      <c r="B312" s="7">
        <v>17</v>
      </c>
      <c r="C312" s="4">
        <v>1.79</v>
      </c>
      <c r="D312" s="7">
        <v>57</v>
      </c>
      <c r="E312">
        <v>1</v>
      </c>
      <c r="F312">
        <v>1</v>
      </c>
      <c r="G312" s="2">
        <v>2</v>
      </c>
      <c r="H312" s="2">
        <v>4</v>
      </c>
      <c r="I312">
        <v>2</v>
      </c>
      <c r="J312">
        <v>0</v>
      </c>
      <c r="K312" s="2">
        <v>2</v>
      </c>
      <c r="L312">
        <v>0</v>
      </c>
      <c r="M312" s="7">
        <v>2</v>
      </c>
      <c r="N312" s="7">
        <v>1</v>
      </c>
      <c r="O312">
        <v>0</v>
      </c>
      <c r="P312" t="s">
        <v>14</v>
      </c>
      <c r="Q312">
        <v>0</v>
      </c>
      <c r="R312" s="8">
        <f>(Tabela2[[#This Row],[FAF_atividade_fisica_frequente_em_horas]]+ 0.1)</f>
        <v>2.1</v>
      </c>
      <c r="S312" s="1">
        <f>(Tabela2[[#This Row],[TUE_tempo_uso_aparelhos_em_horas]]/Tabela2[[#This Row],[FAF_Var]])</f>
        <v>0.47619047619047616</v>
      </c>
      <c r="T312">
        <f>(Tabela2[[#This Row],[CAEC_lanche_entre_refeicoes]]*Tabela2[[#This Row],[FAVC_consumo_frequente_de_alimentos_mt_caloricos]])</f>
        <v>2</v>
      </c>
      <c r="U312" s="1">
        <f>IF(OR(Tabela2[[#This Row],[MTRANS]]="Walking",Tabela2[[#This Row],[MTRANS]]="Bike"),Tabela2[[#This Row],[FAF_atividade_fisica_frequente_em_horas]]+1,M312)</f>
        <v>2</v>
      </c>
      <c r="V312">
        <f>(Tabela2[[#This Row],[SMOKE]]+Tabela2[[#This Row],[CALC_bebe_alcool_frequentemente]])</f>
        <v>0</v>
      </c>
      <c r="W312" s="8">
        <f>(Tabela2[[#This Row],[Weight]]/(Tabela2[[#This Row],[Height]] ^2))</f>
        <v>17.789706937985706</v>
      </c>
    </row>
    <row r="313" spans="1:23" x14ac:dyDescent="0.25">
      <c r="A313" t="s">
        <v>15</v>
      </c>
      <c r="B313" s="7">
        <v>17</v>
      </c>
      <c r="C313" s="4">
        <v>1.72</v>
      </c>
      <c r="D313" s="7">
        <v>62</v>
      </c>
      <c r="E313">
        <v>0</v>
      </c>
      <c r="F313">
        <v>1</v>
      </c>
      <c r="G313" s="2">
        <v>2</v>
      </c>
      <c r="H313" s="2">
        <v>3</v>
      </c>
      <c r="I313">
        <v>3</v>
      </c>
      <c r="J313">
        <v>0</v>
      </c>
      <c r="K313" s="2">
        <v>2</v>
      </c>
      <c r="L313">
        <v>0</v>
      </c>
      <c r="M313" s="7">
        <v>3</v>
      </c>
      <c r="N313" s="7">
        <v>1</v>
      </c>
      <c r="O313">
        <v>0</v>
      </c>
      <c r="P313" t="s">
        <v>14</v>
      </c>
      <c r="Q313">
        <v>1</v>
      </c>
      <c r="R313" s="8">
        <f>(Tabela2[[#This Row],[FAF_atividade_fisica_frequente_em_horas]]+ 0.1)</f>
        <v>3.1</v>
      </c>
      <c r="S313" s="1">
        <f>(Tabela2[[#This Row],[TUE_tempo_uso_aparelhos_em_horas]]/Tabela2[[#This Row],[FAF_Var]])</f>
        <v>0.32258064516129031</v>
      </c>
      <c r="T313">
        <f>(Tabela2[[#This Row],[CAEC_lanche_entre_refeicoes]]*Tabela2[[#This Row],[FAVC_consumo_frequente_de_alimentos_mt_caloricos]])</f>
        <v>3</v>
      </c>
      <c r="U313" s="1">
        <f>IF(OR(Tabela2[[#This Row],[MTRANS]]="Walking",Tabela2[[#This Row],[MTRANS]]="Bike"),Tabela2[[#This Row],[FAF_atividade_fisica_frequente_em_horas]]+1,M313)</f>
        <v>3</v>
      </c>
      <c r="V313">
        <f>(Tabela2[[#This Row],[SMOKE]]+Tabela2[[#This Row],[CALC_bebe_alcool_frequentemente]])</f>
        <v>0</v>
      </c>
      <c r="W313" s="8">
        <f>(Tabela2[[#This Row],[Weight]]/(Tabela2[[#This Row],[Height]] ^2))</f>
        <v>20.957274202271499</v>
      </c>
    </row>
    <row r="314" spans="1:23" x14ac:dyDescent="0.25">
      <c r="A314" t="s">
        <v>13</v>
      </c>
      <c r="B314" s="7">
        <v>16</v>
      </c>
      <c r="C314" s="4">
        <v>1.6</v>
      </c>
      <c r="D314" s="7">
        <v>57</v>
      </c>
      <c r="E314">
        <v>0</v>
      </c>
      <c r="F314">
        <v>1</v>
      </c>
      <c r="G314" s="2">
        <v>3</v>
      </c>
      <c r="H314" s="2">
        <v>3</v>
      </c>
      <c r="I314">
        <v>1</v>
      </c>
      <c r="J314">
        <v>0</v>
      </c>
      <c r="K314" s="2">
        <v>1</v>
      </c>
      <c r="L314">
        <v>0</v>
      </c>
      <c r="M314" s="7">
        <v>3</v>
      </c>
      <c r="N314" s="7">
        <v>0</v>
      </c>
      <c r="O314">
        <v>0</v>
      </c>
      <c r="P314" t="s">
        <v>14</v>
      </c>
      <c r="Q314">
        <v>1</v>
      </c>
      <c r="R314" s="8">
        <f>(Tabela2[[#This Row],[FAF_atividade_fisica_frequente_em_horas]]+ 0.1)</f>
        <v>3.1</v>
      </c>
      <c r="S314" s="1">
        <f>(Tabela2[[#This Row],[TUE_tempo_uso_aparelhos_em_horas]]/Tabela2[[#This Row],[FAF_Var]])</f>
        <v>0</v>
      </c>
      <c r="T314">
        <f>(Tabela2[[#This Row],[CAEC_lanche_entre_refeicoes]]*Tabela2[[#This Row],[FAVC_consumo_frequente_de_alimentos_mt_caloricos]])</f>
        <v>1</v>
      </c>
      <c r="U314" s="1">
        <f>IF(OR(Tabela2[[#This Row],[MTRANS]]="Walking",Tabela2[[#This Row],[MTRANS]]="Bike"),Tabela2[[#This Row],[FAF_atividade_fisica_frequente_em_horas]]+1,M314)</f>
        <v>3</v>
      </c>
      <c r="V314">
        <f>(Tabela2[[#This Row],[SMOKE]]+Tabela2[[#This Row],[CALC_bebe_alcool_frequentemente]])</f>
        <v>0</v>
      </c>
      <c r="W314" s="8">
        <f>(Tabela2[[#This Row],[Weight]]/(Tabela2[[#This Row],[Height]] ^2))</f>
        <v>22.265624999999996</v>
      </c>
    </row>
    <row r="315" spans="1:23" x14ac:dyDescent="0.25">
      <c r="A315" t="s">
        <v>15</v>
      </c>
      <c r="B315" s="7">
        <v>17</v>
      </c>
      <c r="C315" s="4">
        <v>1.66</v>
      </c>
      <c r="D315" s="7">
        <v>56</v>
      </c>
      <c r="E315">
        <v>1</v>
      </c>
      <c r="F315">
        <v>1</v>
      </c>
      <c r="G315" s="2">
        <v>1</v>
      </c>
      <c r="H315" s="2">
        <v>3</v>
      </c>
      <c r="I315">
        <v>3</v>
      </c>
      <c r="J315">
        <v>0</v>
      </c>
      <c r="K315" s="2">
        <v>2</v>
      </c>
      <c r="L315">
        <v>0</v>
      </c>
      <c r="M315" s="7">
        <v>1</v>
      </c>
      <c r="N315" s="7">
        <v>1</v>
      </c>
      <c r="O315">
        <v>1</v>
      </c>
      <c r="P315" t="s">
        <v>14</v>
      </c>
      <c r="Q315">
        <v>1</v>
      </c>
      <c r="R315" s="8">
        <f>(Tabela2[[#This Row],[FAF_atividade_fisica_frequente_em_horas]]+ 0.1)</f>
        <v>1.1000000000000001</v>
      </c>
      <c r="S315" s="1">
        <f>(Tabela2[[#This Row],[TUE_tempo_uso_aparelhos_em_horas]]/Tabela2[[#This Row],[FAF_Var]])</f>
        <v>0.90909090909090906</v>
      </c>
      <c r="T315">
        <f>(Tabela2[[#This Row],[CAEC_lanche_entre_refeicoes]]*Tabela2[[#This Row],[FAVC_consumo_frequente_de_alimentos_mt_caloricos]])</f>
        <v>3</v>
      </c>
      <c r="U315" s="1">
        <f>IF(OR(Tabela2[[#This Row],[MTRANS]]="Walking",Tabela2[[#This Row],[MTRANS]]="Bike"),Tabela2[[#This Row],[FAF_atividade_fisica_frequente_em_horas]]+1,M315)</f>
        <v>1</v>
      </c>
      <c r="V315">
        <f>(Tabela2[[#This Row],[SMOKE]]+Tabela2[[#This Row],[CALC_bebe_alcool_frequentemente]])</f>
        <v>1</v>
      </c>
      <c r="W315" s="8">
        <f>(Tabela2[[#This Row],[Weight]]/(Tabela2[[#This Row],[Height]] ^2))</f>
        <v>20.322252866889244</v>
      </c>
    </row>
    <row r="316" spans="1:23" x14ac:dyDescent="0.25">
      <c r="A316" t="s">
        <v>13</v>
      </c>
      <c r="B316" s="7">
        <v>26</v>
      </c>
      <c r="C316" s="4">
        <v>1.65</v>
      </c>
      <c r="D316" s="7">
        <v>63</v>
      </c>
      <c r="E316">
        <v>0</v>
      </c>
      <c r="F316">
        <v>1</v>
      </c>
      <c r="G316" s="2">
        <v>3</v>
      </c>
      <c r="H316" s="2">
        <v>3</v>
      </c>
      <c r="I316">
        <v>1</v>
      </c>
      <c r="J316">
        <v>0</v>
      </c>
      <c r="K316" s="2">
        <v>1</v>
      </c>
      <c r="L316">
        <v>0</v>
      </c>
      <c r="M316" s="7">
        <v>1</v>
      </c>
      <c r="N316" s="7">
        <v>0</v>
      </c>
      <c r="O316">
        <v>0</v>
      </c>
      <c r="P316" t="s">
        <v>16</v>
      </c>
      <c r="Q316">
        <v>1</v>
      </c>
      <c r="R316" s="8">
        <f>(Tabela2[[#This Row],[FAF_atividade_fisica_frequente_em_horas]]+ 0.1)</f>
        <v>1.1000000000000001</v>
      </c>
      <c r="S316" s="1">
        <f>(Tabela2[[#This Row],[TUE_tempo_uso_aparelhos_em_horas]]/Tabela2[[#This Row],[FAF_Var]])</f>
        <v>0</v>
      </c>
      <c r="T316">
        <f>(Tabela2[[#This Row],[CAEC_lanche_entre_refeicoes]]*Tabela2[[#This Row],[FAVC_consumo_frequente_de_alimentos_mt_caloricos]])</f>
        <v>1</v>
      </c>
      <c r="U316" s="1">
        <f>IF(OR(Tabela2[[#This Row],[MTRANS]]="Walking",Tabela2[[#This Row],[MTRANS]]="Bike"),Tabela2[[#This Row],[FAF_atividade_fisica_frequente_em_horas]]+1,M316)</f>
        <v>2</v>
      </c>
      <c r="V316">
        <f>(Tabela2[[#This Row],[SMOKE]]+Tabela2[[#This Row],[CALC_bebe_alcool_frequentemente]])</f>
        <v>0</v>
      </c>
      <c r="W316" s="8">
        <f>(Tabela2[[#This Row],[Weight]]/(Tabela2[[#This Row],[Height]] ^2))</f>
        <v>23.140495867768596</v>
      </c>
    </row>
    <row r="317" spans="1:23" x14ac:dyDescent="0.25">
      <c r="A317" t="s">
        <v>15</v>
      </c>
      <c r="B317" s="7">
        <v>26</v>
      </c>
      <c r="C317" s="4">
        <v>1.7</v>
      </c>
      <c r="D317" s="7">
        <v>72</v>
      </c>
      <c r="E317">
        <v>0</v>
      </c>
      <c r="F317">
        <v>1</v>
      </c>
      <c r="G317" s="2">
        <v>2</v>
      </c>
      <c r="H317" s="2">
        <v>3</v>
      </c>
      <c r="I317">
        <v>3</v>
      </c>
      <c r="J317">
        <v>0</v>
      </c>
      <c r="K317" s="2">
        <v>2</v>
      </c>
      <c r="L317">
        <v>0</v>
      </c>
      <c r="M317" s="7">
        <v>0</v>
      </c>
      <c r="N317" s="7">
        <v>0</v>
      </c>
      <c r="O317">
        <v>1</v>
      </c>
      <c r="P317" t="s">
        <v>14</v>
      </c>
      <c r="Q317">
        <v>1</v>
      </c>
      <c r="R317" s="8">
        <f>(Tabela2[[#This Row],[FAF_atividade_fisica_frequente_em_horas]]+ 0.1)</f>
        <v>0.1</v>
      </c>
      <c r="S317" s="1">
        <f>(Tabela2[[#This Row],[TUE_tempo_uso_aparelhos_em_horas]]/Tabela2[[#This Row],[FAF_Var]])</f>
        <v>0</v>
      </c>
      <c r="T317">
        <f>(Tabela2[[#This Row],[CAEC_lanche_entre_refeicoes]]*Tabela2[[#This Row],[FAVC_consumo_frequente_de_alimentos_mt_caloricos]])</f>
        <v>3</v>
      </c>
      <c r="U317" s="1">
        <f>IF(OR(Tabela2[[#This Row],[MTRANS]]="Walking",Tabela2[[#This Row],[MTRANS]]="Bike"),Tabela2[[#This Row],[FAF_atividade_fisica_frequente_em_horas]]+1,M317)</f>
        <v>0</v>
      </c>
      <c r="V317">
        <f>(Tabela2[[#This Row],[SMOKE]]+Tabela2[[#This Row],[CALC_bebe_alcool_frequentemente]])</f>
        <v>1</v>
      </c>
      <c r="W317" s="8">
        <f>(Tabela2[[#This Row],[Weight]]/(Tabela2[[#This Row],[Height]] ^2))</f>
        <v>24.913494809688583</v>
      </c>
    </row>
    <row r="318" spans="1:23" x14ac:dyDescent="0.25">
      <c r="A318" t="s">
        <v>15</v>
      </c>
      <c r="B318" s="7">
        <v>38</v>
      </c>
      <c r="C318" s="4">
        <v>1.75</v>
      </c>
      <c r="D318" s="7">
        <v>75</v>
      </c>
      <c r="E318">
        <v>1</v>
      </c>
      <c r="F318">
        <v>0</v>
      </c>
      <c r="G318" s="2">
        <v>3</v>
      </c>
      <c r="H318" s="2">
        <v>3</v>
      </c>
      <c r="I318">
        <v>2</v>
      </c>
      <c r="J318">
        <v>0</v>
      </c>
      <c r="K318" s="2">
        <v>1</v>
      </c>
      <c r="L318">
        <v>0</v>
      </c>
      <c r="M318" s="7">
        <v>2</v>
      </c>
      <c r="N318" s="7">
        <v>1</v>
      </c>
      <c r="O318">
        <v>0</v>
      </c>
      <c r="P318" t="s">
        <v>17</v>
      </c>
      <c r="Q318">
        <v>1</v>
      </c>
      <c r="R318" s="8">
        <f>(Tabela2[[#This Row],[FAF_atividade_fisica_frequente_em_horas]]+ 0.1)</f>
        <v>2.1</v>
      </c>
      <c r="S318" s="1">
        <f>(Tabela2[[#This Row],[TUE_tempo_uso_aparelhos_em_horas]]/Tabela2[[#This Row],[FAF_Var]])</f>
        <v>0.47619047619047616</v>
      </c>
      <c r="T318">
        <f>(Tabela2[[#This Row],[CAEC_lanche_entre_refeicoes]]*Tabela2[[#This Row],[FAVC_consumo_frequente_de_alimentos_mt_caloricos]])</f>
        <v>0</v>
      </c>
      <c r="U318" s="1">
        <f>IF(OR(Tabela2[[#This Row],[MTRANS]]="Walking",Tabela2[[#This Row],[MTRANS]]="Bike"),Tabela2[[#This Row],[FAF_atividade_fisica_frequente_em_horas]]+1,M318)</f>
        <v>2</v>
      </c>
      <c r="V318">
        <f>(Tabela2[[#This Row],[SMOKE]]+Tabela2[[#This Row],[CALC_bebe_alcool_frequentemente]])</f>
        <v>0</v>
      </c>
      <c r="W318" s="8">
        <f>(Tabela2[[#This Row],[Weight]]/(Tabela2[[#This Row],[Height]] ^2))</f>
        <v>24.489795918367346</v>
      </c>
    </row>
    <row r="319" spans="1:23" x14ac:dyDescent="0.25">
      <c r="A319" t="s">
        <v>15</v>
      </c>
      <c r="B319" s="7">
        <v>18</v>
      </c>
      <c r="C319" s="4">
        <v>1.75</v>
      </c>
      <c r="D319" s="7">
        <v>70</v>
      </c>
      <c r="E319">
        <v>0</v>
      </c>
      <c r="F319">
        <v>1</v>
      </c>
      <c r="G319" s="2">
        <v>3</v>
      </c>
      <c r="H319" s="2">
        <v>4</v>
      </c>
      <c r="I319">
        <v>1</v>
      </c>
      <c r="J319">
        <v>0</v>
      </c>
      <c r="K319" s="2">
        <v>2</v>
      </c>
      <c r="L319">
        <v>0</v>
      </c>
      <c r="M319" s="7">
        <v>1</v>
      </c>
      <c r="N319" s="7">
        <v>1</v>
      </c>
      <c r="O319">
        <v>0</v>
      </c>
      <c r="P319" t="s">
        <v>14</v>
      </c>
      <c r="Q319">
        <v>1</v>
      </c>
      <c r="R319" s="8">
        <f>(Tabela2[[#This Row],[FAF_atividade_fisica_frequente_em_horas]]+ 0.1)</f>
        <v>1.1000000000000001</v>
      </c>
      <c r="S319" s="1">
        <f>(Tabela2[[#This Row],[TUE_tempo_uso_aparelhos_em_horas]]/Tabela2[[#This Row],[FAF_Var]])</f>
        <v>0.90909090909090906</v>
      </c>
      <c r="T319">
        <f>(Tabela2[[#This Row],[CAEC_lanche_entre_refeicoes]]*Tabela2[[#This Row],[FAVC_consumo_frequente_de_alimentos_mt_caloricos]])</f>
        <v>1</v>
      </c>
      <c r="U319" s="1">
        <f>IF(OR(Tabela2[[#This Row],[MTRANS]]="Walking",Tabela2[[#This Row],[MTRANS]]="Bike"),Tabela2[[#This Row],[FAF_atividade_fisica_frequente_em_horas]]+1,M319)</f>
        <v>1</v>
      </c>
      <c r="V319">
        <f>(Tabela2[[#This Row],[SMOKE]]+Tabela2[[#This Row],[CALC_bebe_alcool_frequentemente]])</f>
        <v>0</v>
      </c>
      <c r="W319" s="8">
        <f>(Tabela2[[#This Row],[Weight]]/(Tabela2[[#This Row],[Height]] ^2))</f>
        <v>22.857142857142858</v>
      </c>
    </row>
    <row r="320" spans="1:23" x14ac:dyDescent="0.25">
      <c r="A320" t="s">
        <v>13</v>
      </c>
      <c r="B320" s="7">
        <v>25</v>
      </c>
      <c r="C320" s="4">
        <v>1.56</v>
      </c>
      <c r="D320" s="7">
        <v>45</v>
      </c>
      <c r="E320">
        <v>0</v>
      </c>
      <c r="F320">
        <v>1</v>
      </c>
      <c r="G320" s="2">
        <v>2</v>
      </c>
      <c r="H320" s="2">
        <v>3</v>
      </c>
      <c r="I320">
        <v>1</v>
      </c>
      <c r="J320">
        <v>0</v>
      </c>
      <c r="K320" s="2">
        <v>1</v>
      </c>
      <c r="L320">
        <v>0</v>
      </c>
      <c r="M320" s="7">
        <v>0</v>
      </c>
      <c r="N320" s="7">
        <v>0</v>
      </c>
      <c r="O320">
        <v>1</v>
      </c>
      <c r="P320" t="s">
        <v>14</v>
      </c>
      <c r="Q320">
        <v>1</v>
      </c>
      <c r="R320" s="8">
        <f>(Tabela2[[#This Row],[FAF_atividade_fisica_frequente_em_horas]]+ 0.1)</f>
        <v>0.1</v>
      </c>
      <c r="S320" s="1">
        <f>(Tabela2[[#This Row],[TUE_tempo_uso_aparelhos_em_horas]]/Tabela2[[#This Row],[FAF_Var]])</f>
        <v>0</v>
      </c>
      <c r="T320">
        <f>(Tabela2[[#This Row],[CAEC_lanche_entre_refeicoes]]*Tabela2[[#This Row],[FAVC_consumo_frequente_de_alimentos_mt_caloricos]])</f>
        <v>1</v>
      </c>
      <c r="U320" s="1">
        <f>IF(OR(Tabela2[[#This Row],[MTRANS]]="Walking",Tabela2[[#This Row],[MTRANS]]="Bike"),Tabela2[[#This Row],[FAF_atividade_fisica_frequente_em_horas]]+1,M320)</f>
        <v>0</v>
      </c>
      <c r="V320">
        <f>(Tabela2[[#This Row],[SMOKE]]+Tabela2[[#This Row],[CALC_bebe_alcool_frequentemente]])</f>
        <v>1</v>
      </c>
      <c r="W320" s="8">
        <f>(Tabela2[[#This Row],[Weight]]/(Tabela2[[#This Row],[Height]] ^2))</f>
        <v>18.491124260355029</v>
      </c>
    </row>
    <row r="321" spans="1:23" x14ac:dyDescent="0.25">
      <c r="A321" t="s">
        <v>13</v>
      </c>
      <c r="B321" s="7">
        <v>27</v>
      </c>
      <c r="C321" s="4">
        <v>1.55</v>
      </c>
      <c r="D321" s="7">
        <v>63</v>
      </c>
      <c r="E321">
        <v>0</v>
      </c>
      <c r="F321">
        <v>1</v>
      </c>
      <c r="G321" s="2">
        <v>2</v>
      </c>
      <c r="H321" s="2">
        <v>3</v>
      </c>
      <c r="I321">
        <v>1</v>
      </c>
      <c r="J321">
        <v>0</v>
      </c>
      <c r="K321" s="2">
        <v>1</v>
      </c>
      <c r="L321">
        <v>0</v>
      </c>
      <c r="M321" s="7">
        <v>0</v>
      </c>
      <c r="N321" s="7">
        <v>1</v>
      </c>
      <c r="O321">
        <v>1</v>
      </c>
      <c r="P321" t="s">
        <v>17</v>
      </c>
      <c r="Q321">
        <v>2</v>
      </c>
      <c r="R321" s="8">
        <f>(Tabela2[[#This Row],[FAF_atividade_fisica_frequente_em_horas]]+ 0.1)</f>
        <v>0.1</v>
      </c>
      <c r="S321" s="1">
        <f>(Tabela2[[#This Row],[TUE_tempo_uso_aparelhos_em_horas]]/Tabela2[[#This Row],[FAF_Var]])</f>
        <v>10</v>
      </c>
      <c r="T321">
        <f>(Tabela2[[#This Row],[CAEC_lanche_entre_refeicoes]]*Tabela2[[#This Row],[FAVC_consumo_frequente_de_alimentos_mt_caloricos]])</f>
        <v>1</v>
      </c>
      <c r="U321" s="1">
        <f>IF(OR(Tabela2[[#This Row],[MTRANS]]="Walking",Tabela2[[#This Row],[MTRANS]]="Bike"),Tabela2[[#This Row],[FAF_atividade_fisica_frequente_em_horas]]+1,M321)</f>
        <v>0</v>
      </c>
      <c r="V321">
        <f>(Tabela2[[#This Row],[SMOKE]]+Tabela2[[#This Row],[CALC_bebe_alcool_frequentemente]])</f>
        <v>1</v>
      </c>
      <c r="W321" s="8">
        <f>(Tabela2[[#This Row],[Weight]]/(Tabela2[[#This Row],[Height]] ^2))</f>
        <v>26.22268470343392</v>
      </c>
    </row>
    <row r="322" spans="1:23" x14ac:dyDescent="0.25">
      <c r="A322" t="s">
        <v>15</v>
      </c>
      <c r="B322" s="7">
        <v>21</v>
      </c>
      <c r="C322" s="4">
        <v>1.67</v>
      </c>
      <c r="D322" s="7">
        <v>67</v>
      </c>
      <c r="E322">
        <v>1</v>
      </c>
      <c r="F322">
        <v>1</v>
      </c>
      <c r="G322" s="2">
        <v>3</v>
      </c>
      <c r="H322" s="2">
        <v>1</v>
      </c>
      <c r="I322">
        <v>3</v>
      </c>
      <c r="J322">
        <v>0</v>
      </c>
      <c r="K322" s="2">
        <v>2</v>
      </c>
      <c r="L322">
        <v>0</v>
      </c>
      <c r="M322" s="7">
        <v>1</v>
      </c>
      <c r="N322" s="7">
        <v>1</v>
      </c>
      <c r="O322">
        <v>0</v>
      </c>
      <c r="P322" t="s">
        <v>14</v>
      </c>
      <c r="Q322">
        <v>1</v>
      </c>
      <c r="R322" s="8">
        <f>(Tabela2[[#This Row],[FAF_atividade_fisica_frequente_em_horas]]+ 0.1)</f>
        <v>1.1000000000000001</v>
      </c>
      <c r="S322" s="1">
        <f>(Tabela2[[#This Row],[TUE_tempo_uso_aparelhos_em_horas]]/Tabela2[[#This Row],[FAF_Var]])</f>
        <v>0.90909090909090906</v>
      </c>
      <c r="T322">
        <f>(Tabela2[[#This Row],[CAEC_lanche_entre_refeicoes]]*Tabela2[[#This Row],[FAVC_consumo_frequente_de_alimentos_mt_caloricos]])</f>
        <v>3</v>
      </c>
      <c r="U322" s="1">
        <f>IF(OR(Tabela2[[#This Row],[MTRANS]]="Walking",Tabela2[[#This Row],[MTRANS]]="Bike"),Tabela2[[#This Row],[FAF_atividade_fisica_frequente_em_horas]]+1,M322)</f>
        <v>1</v>
      </c>
      <c r="V322">
        <f>(Tabela2[[#This Row],[SMOKE]]+Tabela2[[#This Row],[CALC_bebe_alcool_frequentemente]])</f>
        <v>0</v>
      </c>
      <c r="W322" s="8">
        <f>(Tabela2[[#This Row],[Weight]]/(Tabela2[[#This Row],[Height]] ^2))</f>
        <v>24.023808670084982</v>
      </c>
    </row>
    <row r="323" spans="1:23" x14ac:dyDescent="0.25">
      <c r="A323" t="s">
        <v>15</v>
      </c>
      <c r="B323" s="7">
        <v>38</v>
      </c>
      <c r="C323" s="4">
        <v>1.75</v>
      </c>
      <c r="D323" s="7">
        <v>75</v>
      </c>
      <c r="E323">
        <v>1</v>
      </c>
      <c r="F323">
        <v>0</v>
      </c>
      <c r="G323" s="2">
        <v>3</v>
      </c>
      <c r="H323" s="2">
        <v>3</v>
      </c>
      <c r="I323">
        <v>2</v>
      </c>
      <c r="J323">
        <v>0</v>
      </c>
      <c r="K323" s="2">
        <v>1</v>
      </c>
      <c r="L323">
        <v>0</v>
      </c>
      <c r="M323" s="7">
        <v>3</v>
      </c>
      <c r="N323" s="7">
        <v>1</v>
      </c>
      <c r="O323">
        <v>0</v>
      </c>
      <c r="P323" t="s">
        <v>17</v>
      </c>
      <c r="Q323">
        <v>1</v>
      </c>
      <c r="R323" s="8">
        <f>(Tabela2[[#This Row],[FAF_atividade_fisica_frequente_em_horas]]+ 0.1)</f>
        <v>3.1</v>
      </c>
      <c r="S323" s="1">
        <f>(Tabela2[[#This Row],[TUE_tempo_uso_aparelhos_em_horas]]/Tabela2[[#This Row],[FAF_Var]])</f>
        <v>0.32258064516129031</v>
      </c>
      <c r="T323">
        <f>(Tabela2[[#This Row],[CAEC_lanche_entre_refeicoes]]*Tabela2[[#This Row],[FAVC_consumo_frequente_de_alimentos_mt_caloricos]])</f>
        <v>0</v>
      </c>
      <c r="U323" s="1">
        <f>IF(OR(Tabela2[[#This Row],[MTRANS]]="Walking",Tabela2[[#This Row],[MTRANS]]="Bike"),Tabela2[[#This Row],[FAF_atividade_fisica_frequente_em_horas]]+1,M323)</f>
        <v>3</v>
      </c>
      <c r="V323">
        <f>(Tabela2[[#This Row],[SMOKE]]+Tabela2[[#This Row],[CALC_bebe_alcool_frequentemente]])</f>
        <v>0</v>
      </c>
      <c r="W323" s="8">
        <f>(Tabela2[[#This Row],[Weight]]/(Tabela2[[#This Row],[Height]] ^2))</f>
        <v>24.489795918367346</v>
      </c>
    </row>
    <row r="324" spans="1:23" x14ac:dyDescent="0.25">
      <c r="A324" t="s">
        <v>13</v>
      </c>
      <c r="B324" s="7">
        <v>23</v>
      </c>
      <c r="C324" s="4">
        <v>1.75</v>
      </c>
      <c r="D324" s="7">
        <v>56</v>
      </c>
      <c r="E324">
        <v>0</v>
      </c>
      <c r="F324">
        <v>0</v>
      </c>
      <c r="G324" s="2">
        <v>3</v>
      </c>
      <c r="H324" s="2">
        <v>3</v>
      </c>
      <c r="I324">
        <v>2</v>
      </c>
      <c r="J324">
        <v>0</v>
      </c>
      <c r="K324" s="2">
        <v>2</v>
      </c>
      <c r="L324">
        <v>0</v>
      </c>
      <c r="M324" s="7">
        <v>2</v>
      </c>
      <c r="N324" s="7">
        <v>0</v>
      </c>
      <c r="O324">
        <v>1</v>
      </c>
      <c r="P324" t="s">
        <v>14</v>
      </c>
      <c r="Q324">
        <v>0</v>
      </c>
      <c r="R324" s="8">
        <f>(Tabela2[[#This Row],[FAF_atividade_fisica_frequente_em_horas]]+ 0.1)</f>
        <v>2.1</v>
      </c>
      <c r="S324" s="1">
        <f>(Tabela2[[#This Row],[TUE_tempo_uso_aparelhos_em_horas]]/Tabela2[[#This Row],[FAF_Var]])</f>
        <v>0</v>
      </c>
      <c r="T324">
        <f>(Tabela2[[#This Row],[CAEC_lanche_entre_refeicoes]]*Tabela2[[#This Row],[FAVC_consumo_frequente_de_alimentos_mt_caloricos]])</f>
        <v>0</v>
      </c>
      <c r="U324" s="1">
        <f>IF(OR(Tabela2[[#This Row],[MTRANS]]="Walking",Tabela2[[#This Row],[MTRANS]]="Bike"),Tabela2[[#This Row],[FAF_atividade_fisica_frequente_em_horas]]+1,M324)</f>
        <v>2</v>
      </c>
      <c r="V324">
        <f>(Tabela2[[#This Row],[SMOKE]]+Tabela2[[#This Row],[CALC_bebe_alcool_frequentemente]])</f>
        <v>1</v>
      </c>
      <c r="W324" s="8">
        <f>(Tabela2[[#This Row],[Weight]]/(Tabela2[[#This Row],[Height]] ^2))</f>
        <v>18.285714285714285</v>
      </c>
    </row>
    <row r="325" spans="1:23" x14ac:dyDescent="0.25">
      <c r="A325" t="s">
        <v>15</v>
      </c>
      <c r="B325" s="7">
        <v>18</v>
      </c>
      <c r="C325" s="4">
        <v>1.8</v>
      </c>
      <c r="D325" s="7">
        <v>72</v>
      </c>
      <c r="E325">
        <v>1</v>
      </c>
      <c r="F325">
        <v>1</v>
      </c>
      <c r="G325" s="2">
        <v>2</v>
      </c>
      <c r="H325" s="2">
        <v>3</v>
      </c>
      <c r="I325">
        <v>1</v>
      </c>
      <c r="J325">
        <v>0</v>
      </c>
      <c r="K325" s="2">
        <v>2</v>
      </c>
      <c r="L325">
        <v>0</v>
      </c>
      <c r="M325" s="7">
        <v>3</v>
      </c>
      <c r="N325" s="7">
        <v>0</v>
      </c>
      <c r="O325">
        <v>1</v>
      </c>
      <c r="P325" t="s">
        <v>17</v>
      </c>
      <c r="Q325">
        <v>1</v>
      </c>
      <c r="R325" s="8">
        <f>(Tabela2[[#This Row],[FAF_atividade_fisica_frequente_em_horas]]+ 0.1)</f>
        <v>3.1</v>
      </c>
      <c r="S325" s="1">
        <f>(Tabela2[[#This Row],[TUE_tempo_uso_aparelhos_em_horas]]/Tabela2[[#This Row],[FAF_Var]])</f>
        <v>0</v>
      </c>
      <c r="T325">
        <f>(Tabela2[[#This Row],[CAEC_lanche_entre_refeicoes]]*Tabela2[[#This Row],[FAVC_consumo_frequente_de_alimentos_mt_caloricos]])</f>
        <v>1</v>
      </c>
      <c r="U325" s="1">
        <f>IF(OR(Tabela2[[#This Row],[MTRANS]]="Walking",Tabela2[[#This Row],[MTRANS]]="Bike"),Tabela2[[#This Row],[FAF_atividade_fisica_frequente_em_horas]]+1,M325)</f>
        <v>3</v>
      </c>
      <c r="V325">
        <f>(Tabela2[[#This Row],[SMOKE]]+Tabela2[[#This Row],[CALC_bebe_alcool_frequentemente]])</f>
        <v>1</v>
      </c>
      <c r="W325" s="8">
        <f>(Tabela2[[#This Row],[Weight]]/(Tabela2[[#This Row],[Height]] ^2))</f>
        <v>22.222222222222221</v>
      </c>
    </row>
    <row r="326" spans="1:23" x14ac:dyDescent="0.25">
      <c r="A326" t="s">
        <v>13</v>
      </c>
      <c r="B326" s="7">
        <v>30</v>
      </c>
      <c r="C326" s="4">
        <v>1.65</v>
      </c>
      <c r="D326" s="7">
        <v>71</v>
      </c>
      <c r="E326">
        <v>1</v>
      </c>
      <c r="F326">
        <v>1</v>
      </c>
      <c r="G326" s="2">
        <v>2</v>
      </c>
      <c r="H326" s="2">
        <v>3</v>
      </c>
      <c r="I326">
        <v>1</v>
      </c>
      <c r="J326">
        <v>0</v>
      </c>
      <c r="K326" s="2">
        <v>1</v>
      </c>
      <c r="L326">
        <v>0</v>
      </c>
      <c r="M326" s="7">
        <v>0</v>
      </c>
      <c r="N326" s="7">
        <v>0</v>
      </c>
      <c r="O326">
        <v>1</v>
      </c>
      <c r="P326" t="s">
        <v>14</v>
      </c>
      <c r="Q326">
        <v>2</v>
      </c>
      <c r="R326" s="8">
        <f>(Tabela2[[#This Row],[FAF_atividade_fisica_frequente_em_horas]]+ 0.1)</f>
        <v>0.1</v>
      </c>
      <c r="S326" s="1">
        <f>(Tabela2[[#This Row],[TUE_tempo_uso_aparelhos_em_horas]]/Tabela2[[#This Row],[FAF_Var]])</f>
        <v>0</v>
      </c>
      <c r="T326">
        <f>(Tabela2[[#This Row],[CAEC_lanche_entre_refeicoes]]*Tabela2[[#This Row],[FAVC_consumo_frequente_de_alimentos_mt_caloricos]])</f>
        <v>1</v>
      </c>
      <c r="U326" s="1">
        <f>IF(OR(Tabela2[[#This Row],[MTRANS]]="Walking",Tabela2[[#This Row],[MTRANS]]="Bike"),Tabela2[[#This Row],[FAF_atividade_fisica_frequente_em_horas]]+1,M326)</f>
        <v>0</v>
      </c>
      <c r="V326">
        <f>(Tabela2[[#This Row],[SMOKE]]+Tabela2[[#This Row],[CALC_bebe_alcool_frequentemente]])</f>
        <v>1</v>
      </c>
      <c r="W326" s="8">
        <f>(Tabela2[[#This Row],[Weight]]/(Tabela2[[#This Row],[Height]] ^2))</f>
        <v>26.078971533516992</v>
      </c>
    </row>
    <row r="327" spans="1:23" x14ac:dyDescent="0.25">
      <c r="A327" t="s">
        <v>13</v>
      </c>
      <c r="B327" s="7">
        <v>21</v>
      </c>
      <c r="C327" s="4">
        <v>1.55</v>
      </c>
      <c r="D327" s="7">
        <v>58</v>
      </c>
      <c r="E327">
        <v>0</v>
      </c>
      <c r="F327">
        <v>1</v>
      </c>
      <c r="G327" s="2">
        <v>2</v>
      </c>
      <c r="H327" s="2">
        <v>1</v>
      </c>
      <c r="I327">
        <v>1</v>
      </c>
      <c r="J327">
        <v>0</v>
      </c>
      <c r="K327" s="2">
        <v>1</v>
      </c>
      <c r="L327">
        <v>0</v>
      </c>
      <c r="M327" s="7">
        <v>1</v>
      </c>
      <c r="N327" s="7">
        <v>0</v>
      </c>
      <c r="O327">
        <v>1</v>
      </c>
      <c r="P327" t="s">
        <v>14</v>
      </c>
      <c r="Q327">
        <v>1</v>
      </c>
      <c r="R327" s="8">
        <f>(Tabela2[[#This Row],[FAF_atividade_fisica_frequente_em_horas]]+ 0.1)</f>
        <v>1.1000000000000001</v>
      </c>
      <c r="S327" s="1">
        <f>(Tabela2[[#This Row],[TUE_tempo_uso_aparelhos_em_horas]]/Tabela2[[#This Row],[FAF_Var]])</f>
        <v>0</v>
      </c>
      <c r="T327">
        <f>(Tabela2[[#This Row],[CAEC_lanche_entre_refeicoes]]*Tabela2[[#This Row],[FAVC_consumo_frequente_de_alimentos_mt_caloricos]])</f>
        <v>1</v>
      </c>
      <c r="U327" s="1">
        <f>IF(OR(Tabela2[[#This Row],[MTRANS]]="Walking",Tabela2[[#This Row],[MTRANS]]="Bike"),Tabela2[[#This Row],[FAF_atividade_fisica_frequente_em_horas]]+1,M327)</f>
        <v>1</v>
      </c>
      <c r="V327">
        <f>(Tabela2[[#This Row],[SMOKE]]+Tabela2[[#This Row],[CALC_bebe_alcool_frequentemente]])</f>
        <v>1</v>
      </c>
      <c r="W327" s="8">
        <f>(Tabela2[[#This Row],[Weight]]/(Tabela2[[#This Row],[Height]] ^2))</f>
        <v>24.141519250780433</v>
      </c>
    </row>
    <row r="328" spans="1:23" x14ac:dyDescent="0.25">
      <c r="A328" t="s">
        <v>15</v>
      </c>
      <c r="B328" s="7">
        <v>18</v>
      </c>
      <c r="C328" s="4">
        <v>1.7</v>
      </c>
      <c r="D328" s="7">
        <v>55.3</v>
      </c>
      <c r="E328">
        <v>1</v>
      </c>
      <c r="F328">
        <v>1</v>
      </c>
      <c r="G328" s="2">
        <v>3</v>
      </c>
      <c r="H328" s="2">
        <v>3</v>
      </c>
      <c r="I328">
        <v>1</v>
      </c>
      <c r="J328">
        <v>0</v>
      </c>
      <c r="K328" s="2">
        <v>2</v>
      </c>
      <c r="L328">
        <v>0</v>
      </c>
      <c r="M328" s="7">
        <v>3</v>
      </c>
      <c r="N328" s="7">
        <v>0</v>
      </c>
      <c r="O328">
        <v>1</v>
      </c>
      <c r="P328" t="s">
        <v>14</v>
      </c>
      <c r="Q328">
        <v>1</v>
      </c>
      <c r="R328" s="8">
        <f>(Tabela2[[#This Row],[FAF_atividade_fisica_frequente_em_horas]]+ 0.1)</f>
        <v>3.1</v>
      </c>
      <c r="S328" s="1">
        <f>(Tabela2[[#This Row],[TUE_tempo_uso_aparelhos_em_horas]]/Tabela2[[#This Row],[FAF_Var]])</f>
        <v>0</v>
      </c>
      <c r="T328">
        <f>(Tabela2[[#This Row],[CAEC_lanche_entre_refeicoes]]*Tabela2[[#This Row],[FAVC_consumo_frequente_de_alimentos_mt_caloricos]])</f>
        <v>1</v>
      </c>
      <c r="U328" s="1">
        <f>IF(OR(Tabela2[[#This Row],[MTRANS]]="Walking",Tabela2[[#This Row],[MTRANS]]="Bike"),Tabela2[[#This Row],[FAF_atividade_fisica_frequente_em_horas]]+1,M328)</f>
        <v>3</v>
      </c>
      <c r="V328">
        <f>(Tabela2[[#This Row],[SMOKE]]+Tabela2[[#This Row],[CALC_bebe_alcool_frequentemente]])</f>
        <v>1</v>
      </c>
      <c r="W328" s="8">
        <f>(Tabela2[[#This Row],[Weight]]/(Tabela2[[#This Row],[Height]] ^2))</f>
        <v>19.134948096885815</v>
      </c>
    </row>
    <row r="329" spans="1:23" x14ac:dyDescent="0.25">
      <c r="A329" t="s">
        <v>15</v>
      </c>
      <c r="B329" s="7">
        <v>23</v>
      </c>
      <c r="C329" s="4">
        <v>1.72</v>
      </c>
      <c r="D329" s="7">
        <v>76</v>
      </c>
      <c r="E329">
        <v>1</v>
      </c>
      <c r="F329">
        <v>0</v>
      </c>
      <c r="G329" s="2">
        <v>3</v>
      </c>
      <c r="H329" s="2">
        <v>4</v>
      </c>
      <c r="I329">
        <v>2</v>
      </c>
      <c r="J329">
        <v>0</v>
      </c>
      <c r="K329" s="2">
        <v>1</v>
      </c>
      <c r="L329">
        <v>0</v>
      </c>
      <c r="M329" s="7">
        <v>0</v>
      </c>
      <c r="N329" s="7">
        <v>0</v>
      </c>
      <c r="O329">
        <v>1</v>
      </c>
      <c r="P329" t="s">
        <v>14</v>
      </c>
      <c r="Q329">
        <v>2</v>
      </c>
      <c r="R329" s="8">
        <f>(Tabela2[[#This Row],[FAF_atividade_fisica_frequente_em_horas]]+ 0.1)</f>
        <v>0.1</v>
      </c>
      <c r="S329" s="1">
        <f>(Tabela2[[#This Row],[TUE_tempo_uso_aparelhos_em_horas]]/Tabela2[[#This Row],[FAF_Var]])</f>
        <v>0</v>
      </c>
      <c r="T329">
        <f>(Tabela2[[#This Row],[CAEC_lanche_entre_refeicoes]]*Tabela2[[#This Row],[FAVC_consumo_frequente_de_alimentos_mt_caloricos]])</f>
        <v>0</v>
      </c>
      <c r="U329" s="1">
        <f>IF(OR(Tabela2[[#This Row],[MTRANS]]="Walking",Tabela2[[#This Row],[MTRANS]]="Bike"),Tabela2[[#This Row],[FAF_atividade_fisica_frequente_em_horas]]+1,M329)</f>
        <v>0</v>
      </c>
      <c r="V329">
        <f>(Tabela2[[#This Row],[SMOKE]]+Tabela2[[#This Row],[CALC_bebe_alcool_frequentemente]])</f>
        <v>1</v>
      </c>
      <c r="W329" s="8">
        <f>(Tabela2[[#This Row],[Weight]]/(Tabela2[[#This Row],[Height]] ^2))</f>
        <v>25.689561925365066</v>
      </c>
    </row>
    <row r="330" spans="1:23" x14ac:dyDescent="0.25">
      <c r="A330" t="s">
        <v>15</v>
      </c>
      <c r="B330" s="7">
        <v>19</v>
      </c>
      <c r="C330" s="4">
        <v>1.74</v>
      </c>
      <c r="D330" s="7">
        <v>74</v>
      </c>
      <c r="E330">
        <v>1</v>
      </c>
      <c r="F330">
        <v>0</v>
      </c>
      <c r="G330" s="2">
        <v>3</v>
      </c>
      <c r="H330" s="2">
        <v>1</v>
      </c>
      <c r="I330">
        <v>1</v>
      </c>
      <c r="J330">
        <v>0</v>
      </c>
      <c r="K330" s="2">
        <v>3</v>
      </c>
      <c r="L330">
        <v>0</v>
      </c>
      <c r="M330" s="7">
        <v>3</v>
      </c>
      <c r="N330" s="7">
        <v>1</v>
      </c>
      <c r="O330">
        <v>1</v>
      </c>
      <c r="P330" t="s">
        <v>16</v>
      </c>
      <c r="Q330">
        <v>1</v>
      </c>
      <c r="R330" s="8">
        <f>(Tabela2[[#This Row],[FAF_atividade_fisica_frequente_em_horas]]+ 0.1)</f>
        <v>3.1</v>
      </c>
      <c r="S330" s="1">
        <f>(Tabela2[[#This Row],[TUE_tempo_uso_aparelhos_em_horas]]/Tabela2[[#This Row],[FAF_Var]])</f>
        <v>0.32258064516129031</v>
      </c>
      <c r="T330">
        <f>(Tabela2[[#This Row],[CAEC_lanche_entre_refeicoes]]*Tabela2[[#This Row],[FAVC_consumo_frequente_de_alimentos_mt_caloricos]])</f>
        <v>0</v>
      </c>
      <c r="U330" s="1">
        <f>IF(OR(Tabela2[[#This Row],[MTRANS]]="Walking",Tabela2[[#This Row],[MTRANS]]="Bike"),Tabela2[[#This Row],[FAF_atividade_fisica_frequente_em_horas]]+1,M330)</f>
        <v>4</v>
      </c>
      <c r="V330">
        <f>(Tabela2[[#This Row],[SMOKE]]+Tabela2[[#This Row],[CALC_bebe_alcool_frequentemente]])</f>
        <v>1</v>
      </c>
      <c r="W330" s="8">
        <f>(Tabela2[[#This Row],[Weight]]/(Tabela2[[#This Row],[Height]] ^2))</f>
        <v>24.441802087462015</v>
      </c>
    </row>
    <row r="331" spans="1:23" x14ac:dyDescent="0.25">
      <c r="A331" t="s">
        <v>13</v>
      </c>
      <c r="B331" s="7">
        <v>19</v>
      </c>
      <c r="C331" s="4">
        <v>1.65</v>
      </c>
      <c r="D331" s="7">
        <v>82</v>
      </c>
      <c r="E331">
        <v>1</v>
      </c>
      <c r="F331">
        <v>1</v>
      </c>
      <c r="G331" s="2">
        <v>3</v>
      </c>
      <c r="H331" s="2">
        <v>3</v>
      </c>
      <c r="I331">
        <v>1</v>
      </c>
      <c r="J331">
        <v>0</v>
      </c>
      <c r="K331" s="2">
        <v>1</v>
      </c>
      <c r="L331">
        <v>0</v>
      </c>
      <c r="M331" s="7">
        <v>0</v>
      </c>
      <c r="N331" s="7">
        <v>1</v>
      </c>
      <c r="O331">
        <v>1</v>
      </c>
      <c r="P331" t="s">
        <v>14</v>
      </c>
      <c r="Q331">
        <v>4</v>
      </c>
      <c r="R331" s="8">
        <f>(Tabela2[[#This Row],[FAF_atividade_fisica_frequente_em_horas]]+ 0.1)</f>
        <v>0.1</v>
      </c>
      <c r="S331" s="1">
        <f>(Tabela2[[#This Row],[TUE_tempo_uso_aparelhos_em_horas]]/Tabela2[[#This Row],[FAF_Var]])</f>
        <v>10</v>
      </c>
      <c r="T331">
        <f>(Tabela2[[#This Row],[CAEC_lanche_entre_refeicoes]]*Tabela2[[#This Row],[FAVC_consumo_frequente_de_alimentos_mt_caloricos]])</f>
        <v>1</v>
      </c>
      <c r="U331" s="1">
        <f>IF(OR(Tabela2[[#This Row],[MTRANS]]="Walking",Tabela2[[#This Row],[MTRANS]]="Bike"),Tabela2[[#This Row],[FAF_atividade_fisica_frequente_em_horas]]+1,M331)</f>
        <v>0</v>
      </c>
      <c r="V331">
        <f>(Tabela2[[#This Row],[SMOKE]]+Tabela2[[#This Row],[CALC_bebe_alcool_frequentemente]])</f>
        <v>1</v>
      </c>
      <c r="W331" s="8">
        <f>(Tabela2[[#This Row],[Weight]]/(Tabela2[[#This Row],[Height]] ^2))</f>
        <v>30.119375573921033</v>
      </c>
    </row>
    <row r="332" spans="1:23" x14ac:dyDescent="0.25">
      <c r="A332" t="s">
        <v>13</v>
      </c>
      <c r="B332" s="7">
        <v>17</v>
      </c>
      <c r="C332" s="4">
        <v>1.8</v>
      </c>
      <c r="D332" s="7">
        <v>50</v>
      </c>
      <c r="E332">
        <v>0</v>
      </c>
      <c r="F332">
        <v>1</v>
      </c>
      <c r="G332" s="2">
        <v>3</v>
      </c>
      <c r="H332" s="2">
        <v>4</v>
      </c>
      <c r="I332">
        <v>2</v>
      </c>
      <c r="J332">
        <v>0</v>
      </c>
      <c r="K332" s="2">
        <v>1</v>
      </c>
      <c r="L332">
        <v>0</v>
      </c>
      <c r="M332" s="7">
        <v>2</v>
      </c>
      <c r="N332" s="7">
        <v>1</v>
      </c>
      <c r="O332">
        <v>1</v>
      </c>
      <c r="P332" t="s">
        <v>14</v>
      </c>
      <c r="Q332">
        <v>0</v>
      </c>
      <c r="R332" s="8">
        <f>(Tabela2[[#This Row],[FAF_atividade_fisica_frequente_em_horas]]+ 0.1)</f>
        <v>2.1</v>
      </c>
      <c r="S332" s="1">
        <f>(Tabela2[[#This Row],[TUE_tempo_uso_aparelhos_em_horas]]/Tabela2[[#This Row],[FAF_Var]])</f>
        <v>0.47619047619047616</v>
      </c>
      <c r="T332">
        <f>(Tabela2[[#This Row],[CAEC_lanche_entre_refeicoes]]*Tabela2[[#This Row],[FAVC_consumo_frequente_de_alimentos_mt_caloricos]])</f>
        <v>2</v>
      </c>
      <c r="U332" s="1">
        <f>IF(OR(Tabela2[[#This Row],[MTRANS]]="Walking",Tabela2[[#This Row],[MTRANS]]="Bike"),Tabela2[[#This Row],[FAF_atividade_fisica_frequente_em_horas]]+1,M332)</f>
        <v>2</v>
      </c>
      <c r="V332">
        <f>(Tabela2[[#This Row],[SMOKE]]+Tabela2[[#This Row],[CALC_bebe_alcool_frequentemente]])</f>
        <v>1</v>
      </c>
      <c r="W332" s="8">
        <f>(Tabela2[[#This Row],[Weight]]/(Tabela2[[#This Row],[Height]] ^2))</f>
        <v>15.432098765432098</v>
      </c>
    </row>
    <row r="333" spans="1:23" x14ac:dyDescent="0.25">
      <c r="A333" t="s">
        <v>15</v>
      </c>
      <c r="B333" s="7">
        <v>17</v>
      </c>
      <c r="C333" s="4">
        <v>1.74</v>
      </c>
      <c r="D333" s="7">
        <v>56</v>
      </c>
      <c r="E333">
        <v>1</v>
      </c>
      <c r="F333">
        <v>1</v>
      </c>
      <c r="G333" s="2">
        <v>2</v>
      </c>
      <c r="H333" s="2">
        <v>3</v>
      </c>
      <c r="I333">
        <v>1</v>
      </c>
      <c r="J333">
        <v>0</v>
      </c>
      <c r="K333" s="2">
        <v>2</v>
      </c>
      <c r="L333">
        <v>0</v>
      </c>
      <c r="M333" s="7">
        <v>2</v>
      </c>
      <c r="N333" s="7">
        <v>1</v>
      </c>
      <c r="O333">
        <v>0</v>
      </c>
      <c r="P333" t="s">
        <v>14</v>
      </c>
      <c r="Q333">
        <v>1</v>
      </c>
      <c r="R333" s="8">
        <f>(Tabela2[[#This Row],[FAF_atividade_fisica_frequente_em_horas]]+ 0.1)</f>
        <v>2.1</v>
      </c>
      <c r="S333" s="1">
        <f>(Tabela2[[#This Row],[TUE_tempo_uso_aparelhos_em_horas]]/Tabela2[[#This Row],[FAF_Var]])</f>
        <v>0.47619047619047616</v>
      </c>
      <c r="T333">
        <f>(Tabela2[[#This Row],[CAEC_lanche_entre_refeicoes]]*Tabela2[[#This Row],[FAVC_consumo_frequente_de_alimentos_mt_caloricos]])</f>
        <v>1</v>
      </c>
      <c r="U333" s="1">
        <f>IF(OR(Tabela2[[#This Row],[MTRANS]]="Walking",Tabela2[[#This Row],[MTRANS]]="Bike"),Tabela2[[#This Row],[FAF_atividade_fisica_frequente_em_horas]]+1,M333)</f>
        <v>2</v>
      </c>
      <c r="V333">
        <f>(Tabela2[[#This Row],[SMOKE]]+Tabela2[[#This Row],[CALC_bebe_alcool_frequentemente]])</f>
        <v>0</v>
      </c>
      <c r="W333" s="8">
        <f>(Tabela2[[#This Row],[Weight]]/(Tabela2[[#This Row],[Height]] ^2))</f>
        <v>18.496498876998281</v>
      </c>
    </row>
    <row r="334" spans="1:23" x14ac:dyDescent="0.25">
      <c r="A334" t="s">
        <v>15</v>
      </c>
      <c r="B334" s="7">
        <v>27</v>
      </c>
      <c r="C334" s="4">
        <v>1.85</v>
      </c>
      <c r="D334" s="7">
        <v>75</v>
      </c>
      <c r="E334">
        <v>1</v>
      </c>
      <c r="F334">
        <v>1</v>
      </c>
      <c r="G334" s="2">
        <v>2</v>
      </c>
      <c r="H334" s="2">
        <v>1</v>
      </c>
      <c r="I334">
        <v>1</v>
      </c>
      <c r="J334">
        <v>0</v>
      </c>
      <c r="K334" s="2">
        <v>2</v>
      </c>
      <c r="L334">
        <v>0</v>
      </c>
      <c r="M334" s="7">
        <v>1</v>
      </c>
      <c r="N334" s="7">
        <v>0</v>
      </c>
      <c r="O334">
        <v>0</v>
      </c>
      <c r="P334" t="s">
        <v>16</v>
      </c>
      <c r="Q334">
        <v>1</v>
      </c>
      <c r="R334" s="8">
        <f>(Tabela2[[#This Row],[FAF_atividade_fisica_frequente_em_horas]]+ 0.1)</f>
        <v>1.1000000000000001</v>
      </c>
      <c r="S334" s="1">
        <f>(Tabela2[[#This Row],[TUE_tempo_uso_aparelhos_em_horas]]/Tabela2[[#This Row],[FAF_Var]])</f>
        <v>0</v>
      </c>
      <c r="T334">
        <f>(Tabela2[[#This Row],[CAEC_lanche_entre_refeicoes]]*Tabela2[[#This Row],[FAVC_consumo_frequente_de_alimentos_mt_caloricos]])</f>
        <v>1</v>
      </c>
      <c r="U334" s="1">
        <f>IF(OR(Tabela2[[#This Row],[MTRANS]]="Walking",Tabela2[[#This Row],[MTRANS]]="Bike"),Tabela2[[#This Row],[FAF_atividade_fisica_frequente_em_horas]]+1,M334)</f>
        <v>2</v>
      </c>
      <c r="V334">
        <f>(Tabela2[[#This Row],[SMOKE]]+Tabela2[[#This Row],[CALC_bebe_alcool_frequentemente]])</f>
        <v>0</v>
      </c>
      <c r="W334" s="8">
        <f>(Tabela2[[#This Row],[Weight]]/(Tabela2[[#This Row],[Height]] ^2))</f>
        <v>21.913805697589478</v>
      </c>
    </row>
    <row r="335" spans="1:23" x14ac:dyDescent="0.25">
      <c r="A335" t="s">
        <v>13</v>
      </c>
      <c r="B335" s="7">
        <v>23</v>
      </c>
      <c r="C335" s="4">
        <v>1.7</v>
      </c>
      <c r="D335" s="7">
        <v>56</v>
      </c>
      <c r="E335">
        <v>0</v>
      </c>
      <c r="F335">
        <v>0</v>
      </c>
      <c r="G335" s="2">
        <v>3</v>
      </c>
      <c r="H335" s="2">
        <v>4</v>
      </c>
      <c r="I335">
        <v>3</v>
      </c>
      <c r="J335">
        <v>0</v>
      </c>
      <c r="K335" s="2">
        <v>3</v>
      </c>
      <c r="L335">
        <v>1</v>
      </c>
      <c r="M335" s="7">
        <v>3</v>
      </c>
      <c r="N335" s="7">
        <v>0</v>
      </c>
      <c r="O335">
        <v>0</v>
      </c>
      <c r="P335" t="s">
        <v>17</v>
      </c>
      <c r="Q335">
        <v>1</v>
      </c>
      <c r="R335" s="8">
        <f>(Tabela2[[#This Row],[FAF_atividade_fisica_frequente_em_horas]]+ 0.1)</f>
        <v>3.1</v>
      </c>
      <c r="S335" s="1">
        <f>(Tabela2[[#This Row],[TUE_tempo_uso_aparelhos_em_horas]]/Tabela2[[#This Row],[FAF_Var]])</f>
        <v>0</v>
      </c>
      <c r="T335">
        <f>(Tabela2[[#This Row],[CAEC_lanche_entre_refeicoes]]*Tabela2[[#This Row],[FAVC_consumo_frequente_de_alimentos_mt_caloricos]])</f>
        <v>0</v>
      </c>
      <c r="U335" s="1">
        <f>IF(OR(Tabela2[[#This Row],[MTRANS]]="Walking",Tabela2[[#This Row],[MTRANS]]="Bike"),Tabela2[[#This Row],[FAF_atividade_fisica_frequente_em_horas]]+1,M335)</f>
        <v>3</v>
      </c>
      <c r="V335">
        <f>(Tabela2[[#This Row],[SMOKE]]+Tabela2[[#This Row],[CALC_bebe_alcool_frequentemente]])</f>
        <v>0</v>
      </c>
      <c r="W335" s="8">
        <f>(Tabela2[[#This Row],[Weight]]/(Tabela2[[#This Row],[Height]] ^2))</f>
        <v>19.377162629757787</v>
      </c>
    </row>
    <row r="336" spans="1:23" x14ac:dyDescent="0.25">
      <c r="A336" t="s">
        <v>13</v>
      </c>
      <c r="B336" s="7">
        <v>18</v>
      </c>
      <c r="C336" s="4">
        <v>1.45</v>
      </c>
      <c r="D336" s="7">
        <v>53</v>
      </c>
      <c r="E336">
        <v>0</v>
      </c>
      <c r="F336">
        <v>1</v>
      </c>
      <c r="G336" s="2">
        <v>2</v>
      </c>
      <c r="H336" s="2">
        <v>3</v>
      </c>
      <c r="I336">
        <v>2</v>
      </c>
      <c r="J336">
        <v>0</v>
      </c>
      <c r="K336" s="2">
        <v>2</v>
      </c>
      <c r="L336">
        <v>1</v>
      </c>
      <c r="M336" s="7">
        <v>1</v>
      </c>
      <c r="N336" s="7">
        <v>2</v>
      </c>
      <c r="O336">
        <v>2</v>
      </c>
      <c r="P336" t="s">
        <v>14</v>
      </c>
      <c r="Q336">
        <v>2</v>
      </c>
      <c r="R336" s="8">
        <f>(Tabela2[[#This Row],[FAF_atividade_fisica_frequente_em_horas]]+ 0.1)</f>
        <v>1.1000000000000001</v>
      </c>
      <c r="S336" s="1">
        <f>(Tabela2[[#This Row],[TUE_tempo_uso_aparelhos_em_horas]]/Tabela2[[#This Row],[FAF_Var]])</f>
        <v>1.8181818181818181</v>
      </c>
      <c r="T336">
        <f>(Tabela2[[#This Row],[CAEC_lanche_entre_refeicoes]]*Tabela2[[#This Row],[FAVC_consumo_frequente_de_alimentos_mt_caloricos]])</f>
        <v>2</v>
      </c>
      <c r="U336" s="1">
        <f>IF(OR(Tabela2[[#This Row],[MTRANS]]="Walking",Tabela2[[#This Row],[MTRANS]]="Bike"),Tabela2[[#This Row],[FAF_atividade_fisica_frequente_em_horas]]+1,M336)</f>
        <v>1</v>
      </c>
      <c r="V336">
        <f>(Tabela2[[#This Row],[SMOKE]]+Tabela2[[#This Row],[CALC_bebe_alcool_frequentemente]])</f>
        <v>2</v>
      </c>
      <c r="W336" s="8">
        <f>(Tabela2[[#This Row],[Weight]]/(Tabela2[[#This Row],[Height]] ^2))</f>
        <v>25.208085612366229</v>
      </c>
    </row>
    <row r="337" spans="1:23" x14ac:dyDescent="0.25">
      <c r="A337" t="s">
        <v>15</v>
      </c>
      <c r="B337" s="7">
        <v>19</v>
      </c>
      <c r="C337" s="4">
        <v>1.7</v>
      </c>
      <c r="D337" s="7">
        <v>50</v>
      </c>
      <c r="E337">
        <v>0</v>
      </c>
      <c r="F337">
        <v>1</v>
      </c>
      <c r="G337" s="2">
        <v>1</v>
      </c>
      <c r="H337" s="2">
        <v>4</v>
      </c>
      <c r="I337">
        <v>2</v>
      </c>
      <c r="J337">
        <v>0</v>
      </c>
      <c r="K337" s="2">
        <v>1</v>
      </c>
      <c r="L337">
        <v>0</v>
      </c>
      <c r="M337" s="7">
        <v>2</v>
      </c>
      <c r="N337" s="7">
        <v>1</v>
      </c>
      <c r="O337">
        <v>1</v>
      </c>
      <c r="P337" t="s">
        <v>14</v>
      </c>
      <c r="Q337">
        <v>0</v>
      </c>
      <c r="R337" s="8">
        <f>(Tabela2[[#This Row],[FAF_atividade_fisica_frequente_em_horas]]+ 0.1)</f>
        <v>2.1</v>
      </c>
      <c r="S337" s="1">
        <f>(Tabela2[[#This Row],[TUE_tempo_uso_aparelhos_em_horas]]/Tabela2[[#This Row],[FAF_Var]])</f>
        <v>0.47619047619047616</v>
      </c>
      <c r="T337">
        <f>(Tabela2[[#This Row],[CAEC_lanche_entre_refeicoes]]*Tabela2[[#This Row],[FAVC_consumo_frequente_de_alimentos_mt_caloricos]])</f>
        <v>2</v>
      </c>
      <c r="U337" s="1">
        <f>IF(OR(Tabela2[[#This Row],[MTRANS]]="Walking",Tabela2[[#This Row],[MTRANS]]="Bike"),Tabela2[[#This Row],[FAF_atividade_fisica_frequente_em_horas]]+1,M337)</f>
        <v>2</v>
      </c>
      <c r="V337">
        <f>(Tabela2[[#This Row],[SMOKE]]+Tabela2[[#This Row],[CALC_bebe_alcool_frequentemente]])</f>
        <v>1</v>
      </c>
      <c r="W337" s="8">
        <f>(Tabela2[[#This Row],[Weight]]/(Tabela2[[#This Row],[Height]] ^2))</f>
        <v>17.301038062283737</v>
      </c>
    </row>
    <row r="338" spans="1:23" x14ac:dyDescent="0.25">
      <c r="A338" t="s">
        <v>15</v>
      </c>
      <c r="B338" s="7">
        <v>20</v>
      </c>
      <c r="C338" s="4">
        <v>1.7</v>
      </c>
      <c r="D338" s="7">
        <v>65</v>
      </c>
      <c r="E338">
        <v>0</v>
      </c>
      <c r="F338">
        <v>1</v>
      </c>
      <c r="G338" s="2">
        <v>2</v>
      </c>
      <c r="H338" s="2">
        <v>3</v>
      </c>
      <c r="I338">
        <v>1</v>
      </c>
      <c r="J338">
        <v>0</v>
      </c>
      <c r="K338" s="2">
        <v>2</v>
      </c>
      <c r="L338">
        <v>0</v>
      </c>
      <c r="M338" s="7">
        <v>0</v>
      </c>
      <c r="N338" s="7">
        <v>1</v>
      </c>
      <c r="O338">
        <v>0</v>
      </c>
      <c r="P338" t="s">
        <v>14</v>
      </c>
      <c r="Q338">
        <v>1</v>
      </c>
      <c r="R338" s="8">
        <f>(Tabela2[[#This Row],[FAF_atividade_fisica_frequente_em_horas]]+ 0.1)</f>
        <v>0.1</v>
      </c>
      <c r="S338" s="1">
        <f>(Tabela2[[#This Row],[TUE_tempo_uso_aparelhos_em_horas]]/Tabela2[[#This Row],[FAF_Var]])</f>
        <v>10</v>
      </c>
      <c r="T338">
        <f>(Tabela2[[#This Row],[CAEC_lanche_entre_refeicoes]]*Tabela2[[#This Row],[FAVC_consumo_frequente_de_alimentos_mt_caloricos]])</f>
        <v>1</v>
      </c>
      <c r="U338" s="1">
        <f>IF(OR(Tabela2[[#This Row],[MTRANS]]="Walking",Tabela2[[#This Row],[MTRANS]]="Bike"),Tabela2[[#This Row],[FAF_atividade_fisica_frequente_em_horas]]+1,M338)</f>
        <v>0</v>
      </c>
      <c r="V338">
        <f>(Tabela2[[#This Row],[SMOKE]]+Tabela2[[#This Row],[CALC_bebe_alcool_frequentemente]])</f>
        <v>0</v>
      </c>
      <c r="W338" s="8">
        <f>(Tabela2[[#This Row],[Weight]]/(Tabela2[[#This Row],[Height]] ^2))</f>
        <v>22.491349480968861</v>
      </c>
    </row>
    <row r="339" spans="1:23" x14ac:dyDescent="0.25">
      <c r="A339" t="s">
        <v>15</v>
      </c>
      <c r="B339" s="7">
        <v>18</v>
      </c>
      <c r="C339" s="4">
        <v>1.78</v>
      </c>
      <c r="D339" s="7">
        <v>64.400000000000006</v>
      </c>
      <c r="E339">
        <v>1</v>
      </c>
      <c r="F339">
        <v>1</v>
      </c>
      <c r="G339" s="2">
        <v>3</v>
      </c>
      <c r="H339" s="2">
        <v>3</v>
      </c>
      <c r="I339">
        <v>2</v>
      </c>
      <c r="J339">
        <v>0</v>
      </c>
      <c r="K339" s="2">
        <v>2</v>
      </c>
      <c r="L339">
        <v>0</v>
      </c>
      <c r="M339" s="7">
        <v>3</v>
      </c>
      <c r="N339" s="7">
        <v>2</v>
      </c>
      <c r="O339">
        <v>0</v>
      </c>
      <c r="P339" t="s">
        <v>16</v>
      </c>
      <c r="Q339">
        <v>1</v>
      </c>
      <c r="R339" s="8">
        <f>(Tabela2[[#This Row],[FAF_atividade_fisica_frequente_em_horas]]+ 0.1)</f>
        <v>3.1</v>
      </c>
      <c r="S339" s="1">
        <f>(Tabela2[[#This Row],[TUE_tempo_uso_aparelhos_em_horas]]/Tabela2[[#This Row],[FAF_Var]])</f>
        <v>0.64516129032258063</v>
      </c>
      <c r="T339">
        <f>(Tabela2[[#This Row],[CAEC_lanche_entre_refeicoes]]*Tabela2[[#This Row],[FAVC_consumo_frequente_de_alimentos_mt_caloricos]])</f>
        <v>2</v>
      </c>
      <c r="U339" s="1">
        <f>IF(OR(Tabela2[[#This Row],[MTRANS]]="Walking",Tabela2[[#This Row],[MTRANS]]="Bike"),Tabela2[[#This Row],[FAF_atividade_fisica_frequente_em_horas]]+1,M339)</f>
        <v>4</v>
      </c>
      <c r="V339">
        <f>(Tabela2[[#This Row],[SMOKE]]+Tabela2[[#This Row],[CALC_bebe_alcool_frequentemente]])</f>
        <v>0</v>
      </c>
      <c r="W339" s="8">
        <f>(Tabela2[[#This Row],[Weight]]/(Tabela2[[#This Row],[Height]] ^2))</f>
        <v>20.32571644994319</v>
      </c>
    </row>
    <row r="340" spans="1:23" x14ac:dyDescent="0.25">
      <c r="A340" t="s">
        <v>13</v>
      </c>
      <c r="B340" s="7">
        <v>17</v>
      </c>
      <c r="C340" s="4">
        <v>1.6</v>
      </c>
      <c r="D340" s="7">
        <v>65</v>
      </c>
      <c r="E340">
        <v>0</v>
      </c>
      <c r="F340">
        <v>1</v>
      </c>
      <c r="G340" s="2">
        <v>3</v>
      </c>
      <c r="H340" s="2">
        <v>1</v>
      </c>
      <c r="I340">
        <v>1</v>
      </c>
      <c r="J340">
        <v>0</v>
      </c>
      <c r="K340" s="2">
        <v>2</v>
      </c>
      <c r="L340">
        <v>1</v>
      </c>
      <c r="M340" s="7">
        <v>1</v>
      </c>
      <c r="N340" s="7">
        <v>2</v>
      </c>
      <c r="O340">
        <v>1</v>
      </c>
      <c r="P340" t="s">
        <v>14</v>
      </c>
      <c r="Q340">
        <v>2</v>
      </c>
      <c r="R340" s="8">
        <f>(Tabela2[[#This Row],[FAF_atividade_fisica_frequente_em_horas]]+ 0.1)</f>
        <v>1.1000000000000001</v>
      </c>
      <c r="S340" s="1">
        <f>(Tabela2[[#This Row],[TUE_tempo_uso_aparelhos_em_horas]]/Tabela2[[#This Row],[FAF_Var]])</f>
        <v>1.8181818181818181</v>
      </c>
      <c r="T340">
        <f>(Tabela2[[#This Row],[CAEC_lanche_entre_refeicoes]]*Tabela2[[#This Row],[FAVC_consumo_frequente_de_alimentos_mt_caloricos]])</f>
        <v>1</v>
      </c>
      <c r="U340" s="1">
        <f>IF(OR(Tabela2[[#This Row],[MTRANS]]="Walking",Tabela2[[#This Row],[MTRANS]]="Bike"),Tabela2[[#This Row],[FAF_atividade_fisica_frequente_em_horas]]+1,M340)</f>
        <v>1</v>
      </c>
      <c r="V340">
        <f>(Tabela2[[#This Row],[SMOKE]]+Tabela2[[#This Row],[CALC_bebe_alcool_frequentemente]])</f>
        <v>1</v>
      </c>
      <c r="W340" s="8">
        <f>(Tabela2[[#This Row],[Weight]]/(Tabela2[[#This Row],[Height]] ^2))</f>
        <v>25.390624999999996</v>
      </c>
    </row>
    <row r="341" spans="1:23" x14ac:dyDescent="0.25">
      <c r="A341" t="s">
        <v>13</v>
      </c>
      <c r="B341" s="7">
        <v>19</v>
      </c>
      <c r="C341" s="4">
        <v>1.53</v>
      </c>
      <c r="D341" s="7">
        <v>42</v>
      </c>
      <c r="E341">
        <v>0</v>
      </c>
      <c r="F341">
        <v>0</v>
      </c>
      <c r="G341" s="2">
        <v>2</v>
      </c>
      <c r="H341" s="2">
        <v>3</v>
      </c>
      <c r="I341">
        <v>1</v>
      </c>
      <c r="J341">
        <v>0</v>
      </c>
      <c r="K341" s="2">
        <v>1</v>
      </c>
      <c r="L341">
        <v>1</v>
      </c>
      <c r="M341" s="7">
        <v>2</v>
      </c>
      <c r="N341" s="7">
        <v>0</v>
      </c>
      <c r="O341">
        <v>2</v>
      </c>
      <c r="P341" t="s">
        <v>14</v>
      </c>
      <c r="Q341">
        <v>0</v>
      </c>
      <c r="R341" s="8">
        <f>(Tabela2[[#This Row],[FAF_atividade_fisica_frequente_em_horas]]+ 0.1)</f>
        <v>2.1</v>
      </c>
      <c r="S341" s="1">
        <f>(Tabela2[[#This Row],[TUE_tempo_uso_aparelhos_em_horas]]/Tabela2[[#This Row],[FAF_Var]])</f>
        <v>0</v>
      </c>
      <c r="T341">
        <f>(Tabela2[[#This Row],[CAEC_lanche_entre_refeicoes]]*Tabela2[[#This Row],[FAVC_consumo_frequente_de_alimentos_mt_caloricos]])</f>
        <v>0</v>
      </c>
      <c r="U341" s="1">
        <f>IF(OR(Tabela2[[#This Row],[MTRANS]]="Walking",Tabela2[[#This Row],[MTRANS]]="Bike"),Tabela2[[#This Row],[FAF_atividade_fisica_frequente_em_horas]]+1,M341)</f>
        <v>2</v>
      </c>
      <c r="V341">
        <f>(Tabela2[[#This Row],[SMOKE]]+Tabela2[[#This Row],[CALC_bebe_alcool_frequentemente]])</f>
        <v>2</v>
      </c>
      <c r="W341" s="8">
        <f>(Tabela2[[#This Row],[Weight]]/(Tabela2[[#This Row],[Height]] ^2))</f>
        <v>17.941817249775728</v>
      </c>
    </row>
    <row r="342" spans="1:23" x14ac:dyDescent="0.25">
      <c r="A342" t="s">
        <v>15</v>
      </c>
      <c r="B342" s="7">
        <v>21</v>
      </c>
      <c r="C342" s="4">
        <v>1.8</v>
      </c>
      <c r="D342" s="7">
        <v>72</v>
      </c>
      <c r="E342">
        <v>0</v>
      </c>
      <c r="F342">
        <v>1</v>
      </c>
      <c r="G342" s="2">
        <v>3</v>
      </c>
      <c r="H342" s="2">
        <v>3</v>
      </c>
      <c r="I342">
        <v>1</v>
      </c>
      <c r="J342">
        <v>0</v>
      </c>
      <c r="K342" s="2">
        <v>2</v>
      </c>
      <c r="L342">
        <v>0</v>
      </c>
      <c r="M342" s="7">
        <v>1</v>
      </c>
      <c r="N342" s="7">
        <v>1</v>
      </c>
      <c r="O342">
        <v>0</v>
      </c>
      <c r="P342" t="s">
        <v>14</v>
      </c>
      <c r="Q342">
        <v>1</v>
      </c>
      <c r="R342" s="8">
        <f>(Tabela2[[#This Row],[FAF_atividade_fisica_frequente_em_horas]]+ 0.1)</f>
        <v>1.1000000000000001</v>
      </c>
      <c r="S342" s="1">
        <f>(Tabela2[[#This Row],[TUE_tempo_uso_aparelhos_em_horas]]/Tabela2[[#This Row],[FAF_Var]])</f>
        <v>0.90909090909090906</v>
      </c>
      <c r="T342">
        <f>(Tabela2[[#This Row],[CAEC_lanche_entre_refeicoes]]*Tabela2[[#This Row],[FAVC_consumo_frequente_de_alimentos_mt_caloricos]])</f>
        <v>1</v>
      </c>
      <c r="U342" s="1">
        <f>IF(OR(Tabela2[[#This Row],[MTRANS]]="Walking",Tabela2[[#This Row],[MTRANS]]="Bike"),Tabela2[[#This Row],[FAF_atividade_fisica_frequente_em_horas]]+1,M342)</f>
        <v>1</v>
      </c>
      <c r="V342">
        <f>(Tabela2[[#This Row],[SMOKE]]+Tabela2[[#This Row],[CALC_bebe_alcool_frequentemente]])</f>
        <v>0</v>
      </c>
      <c r="W342" s="8">
        <f>(Tabela2[[#This Row],[Weight]]/(Tabela2[[#This Row],[Height]] ^2))</f>
        <v>22.222222222222221</v>
      </c>
    </row>
    <row r="343" spans="1:23" x14ac:dyDescent="0.25">
      <c r="A343" t="s">
        <v>15</v>
      </c>
      <c r="B343" s="7">
        <v>20</v>
      </c>
      <c r="C343" s="4">
        <v>1.6</v>
      </c>
      <c r="D343" s="7">
        <v>50</v>
      </c>
      <c r="E343">
        <v>0</v>
      </c>
      <c r="F343">
        <v>0</v>
      </c>
      <c r="G343" s="2">
        <v>2</v>
      </c>
      <c r="H343" s="2">
        <v>3</v>
      </c>
      <c r="I343">
        <v>1</v>
      </c>
      <c r="J343">
        <v>0</v>
      </c>
      <c r="K343" s="2">
        <v>1</v>
      </c>
      <c r="L343">
        <v>0</v>
      </c>
      <c r="M343" s="7">
        <v>0</v>
      </c>
      <c r="N343" s="7">
        <v>0</v>
      </c>
      <c r="O343">
        <v>1</v>
      </c>
      <c r="P343" t="s">
        <v>14</v>
      </c>
      <c r="Q343">
        <v>1</v>
      </c>
      <c r="R343" s="8">
        <f>(Tabela2[[#This Row],[FAF_atividade_fisica_frequente_em_horas]]+ 0.1)</f>
        <v>0.1</v>
      </c>
      <c r="S343" s="1">
        <f>(Tabela2[[#This Row],[TUE_tempo_uso_aparelhos_em_horas]]/Tabela2[[#This Row],[FAF_Var]])</f>
        <v>0</v>
      </c>
      <c r="T343">
        <f>(Tabela2[[#This Row],[CAEC_lanche_entre_refeicoes]]*Tabela2[[#This Row],[FAVC_consumo_frequente_de_alimentos_mt_caloricos]])</f>
        <v>0</v>
      </c>
      <c r="U343" s="1">
        <f>IF(OR(Tabela2[[#This Row],[MTRANS]]="Walking",Tabela2[[#This Row],[MTRANS]]="Bike"),Tabela2[[#This Row],[FAF_atividade_fisica_frequente_em_horas]]+1,M343)</f>
        <v>0</v>
      </c>
      <c r="V343">
        <f>(Tabela2[[#This Row],[SMOKE]]+Tabela2[[#This Row],[CALC_bebe_alcool_frequentemente]])</f>
        <v>1</v>
      </c>
      <c r="W343" s="8">
        <f>(Tabela2[[#This Row],[Weight]]/(Tabela2[[#This Row],[Height]] ^2))</f>
        <v>19.531249999999996</v>
      </c>
    </row>
    <row r="344" spans="1:23" x14ac:dyDescent="0.25">
      <c r="A344" t="s">
        <v>15</v>
      </c>
      <c r="B344" s="7">
        <v>23</v>
      </c>
      <c r="C344" s="4">
        <v>1.74</v>
      </c>
      <c r="D344" s="7">
        <v>105</v>
      </c>
      <c r="E344">
        <v>1</v>
      </c>
      <c r="F344">
        <v>1</v>
      </c>
      <c r="G344" s="2">
        <v>3</v>
      </c>
      <c r="H344" s="2">
        <v>3</v>
      </c>
      <c r="I344">
        <v>1</v>
      </c>
      <c r="J344">
        <v>0</v>
      </c>
      <c r="K344" s="2">
        <v>2</v>
      </c>
      <c r="L344">
        <v>0</v>
      </c>
      <c r="M344" s="7">
        <v>1</v>
      </c>
      <c r="N344" s="7">
        <v>0</v>
      </c>
      <c r="O344">
        <v>1</v>
      </c>
      <c r="P344" t="s">
        <v>14</v>
      </c>
      <c r="Q344">
        <v>4</v>
      </c>
      <c r="R344" s="8">
        <f>(Tabela2[[#This Row],[FAF_atividade_fisica_frequente_em_horas]]+ 0.1)</f>
        <v>1.1000000000000001</v>
      </c>
      <c r="S344" s="1">
        <f>(Tabela2[[#This Row],[TUE_tempo_uso_aparelhos_em_horas]]/Tabela2[[#This Row],[FAF_Var]])</f>
        <v>0</v>
      </c>
      <c r="T344">
        <f>(Tabela2[[#This Row],[CAEC_lanche_entre_refeicoes]]*Tabela2[[#This Row],[FAVC_consumo_frequente_de_alimentos_mt_caloricos]])</f>
        <v>1</v>
      </c>
      <c r="U344" s="1">
        <f>IF(OR(Tabela2[[#This Row],[MTRANS]]="Walking",Tabela2[[#This Row],[MTRANS]]="Bike"),Tabela2[[#This Row],[FAF_atividade_fisica_frequente_em_horas]]+1,M344)</f>
        <v>1</v>
      </c>
      <c r="V344">
        <f>(Tabela2[[#This Row],[SMOKE]]+Tabela2[[#This Row],[CALC_bebe_alcool_frequentemente]])</f>
        <v>1</v>
      </c>
      <c r="W344" s="8">
        <f>(Tabela2[[#This Row],[Weight]]/(Tabela2[[#This Row],[Height]] ^2))</f>
        <v>34.68093539437178</v>
      </c>
    </row>
    <row r="345" spans="1:23" x14ac:dyDescent="0.25">
      <c r="A345" t="s">
        <v>15</v>
      </c>
      <c r="B345" s="7">
        <v>23</v>
      </c>
      <c r="C345" s="4">
        <v>1.65</v>
      </c>
      <c r="D345" s="7">
        <v>66</v>
      </c>
      <c r="E345">
        <v>0</v>
      </c>
      <c r="F345">
        <v>0</v>
      </c>
      <c r="G345" s="2">
        <v>3</v>
      </c>
      <c r="H345" s="2">
        <v>3</v>
      </c>
      <c r="I345">
        <v>1</v>
      </c>
      <c r="J345">
        <v>0</v>
      </c>
      <c r="K345" s="2">
        <v>2</v>
      </c>
      <c r="L345">
        <v>0</v>
      </c>
      <c r="M345" s="7">
        <v>3</v>
      </c>
      <c r="N345" s="7">
        <v>0</v>
      </c>
      <c r="O345">
        <v>0</v>
      </c>
      <c r="P345" t="s">
        <v>14</v>
      </c>
      <c r="Q345">
        <v>1</v>
      </c>
      <c r="R345" s="8">
        <f>(Tabela2[[#This Row],[FAF_atividade_fisica_frequente_em_horas]]+ 0.1)</f>
        <v>3.1</v>
      </c>
      <c r="S345" s="1">
        <f>(Tabela2[[#This Row],[TUE_tempo_uso_aparelhos_em_horas]]/Tabela2[[#This Row],[FAF_Var]])</f>
        <v>0</v>
      </c>
      <c r="T345">
        <f>(Tabela2[[#This Row],[CAEC_lanche_entre_refeicoes]]*Tabela2[[#This Row],[FAVC_consumo_frequente_de_alimentos_mt_caloricos]])</f>
        <v>0</v>
      </c>
      <c r="U345" s="1">
        <f>IF(OR(Tabela2[[#This Row],[MTRANS]]="Walking",Tabela2[[#This Row],[MTRANS]]="Bike"),Tabela2[[#This Row],[FAF_atividade_fisica_frequente_em_horas]]+1,M345)</f>
        <v>3</v>
      </c>
      <c r="V345">
        <f>(Tabela2[[#This Row],[SMOKE]]+Tabela2[[#This Row],[CALC_bebe_alcool_frequentemente]])</f>
        <v>0</v>
      </c>
      <c r="W345" s="8">
        <f>(Tabela2[[#This Row],[Weight]]/(Tabela2[[#This Row],[Height]] ^2))</f>
        <v>24.242424242424246</v>
      </c>
    </row>
    <row r="346" spans="1:23" x14ac:dyDescent="0.25">
      <c r="A346" t="s">
        <v>15</v>
      </c>
      <c r="B346" s="7">
        <v>18</v>
      </c>
      <c r="C346" s="4">
        <v>1.87</v>
      </c>
      <c r="D346" s="7">
        <v>173</v>
      </c>
      <c r="E346">
        <v>1</v>
      </c>
      <c r="F346">
        <v>1</v>
      </c>
      <c r="G346" s="2">
        <v>3</v>
      </c>
      <c r="H346" s="2">
        <v>3</v>
      </c>
      <c r="I346">
        <v>2</v>
      </c>
      <c r="J346">
        <v>0</v>
      </c>
      <c r="K346" s="2">
        <v>2</v>
      </c>
      <c r="L346">
        <v>0</v>
      </c>
      <c r="M346" s="7">
        <v>2</v>
      </c>
      <c r="N346" s="7">
        <v>1</v>
      </c>
      <c r="O346">
        <v>1</v>
      </c>
      <c r="P346" t="s">
        <v>14</v>
      </c>
      <c r="Q346">
        <v>6</v>
      </c>
      <c r="R346" s="8">
        <f>(Tabela2[[#This Row],[FAF_atividade_fisica_frequente_em_horas]]+ 0.1)</f>
        <v>2.1</v>
      </c>
      <c r="S346" s="1">
        <f>(Tabela2[[#This Row],[TUE_tempo_uso_aparelhos_em_horas]]/Tabela2[[#This Row],[FAF_Var]])</f>
        <v>0.47619047619047616</v>
      </c>
      <c r="T346">
        <f>(Tabela2[[#This Row],[CAEC_lanche_entre_refeicoes]]*Tabela2[[#This Row],[FAVC_consumo_frequente_de_alimentos_mt_caloricos]])</f>
        <v>2</v>
      </c>
      <c r="U346" s="1">
        <f>IF(OR(Tabela2[[#This Row],[MTRANS]]="Walking",Tabela2[[#This Row],[MTRANS]]="Bike"),Tabela2[[#This Row],[FAF_atividade_fisica_frequente_em_horas]]+1,M346)</f>
        <v>2</v>
      </c>
      <c r="V346">
        <f>(Tabela2[[#This Row],[SMOKE]]+Tabela2[[#This Row],[CALC_bebe_alcool_frequentemente]])</f>
        <v>1</v>
      </c>
      <c r="W346" s="8">
        <f>(Tabela2[[#This Row],[Weight]]/(Tabela2[[#This Row],[Height]] ^2))</f>
        <v>49.472389830993158</v>
      </c>
    </row>
    <row r="347" spans="1:23" x14ac:dyDescent="0.25">
      <c r="A347" t="s">
        <v>15</v>
      </c>
      <c r="B347" s="7">
        <v>17</v>
      </c>
      <c r="C347" s="4">
        <v>1.7</v>
      </c>
      <c r="D347" s="7">
        <v>55</v>
      </c>
      <c r="E347">
        <v>0</v>
      </c>
      <c r="F347">
        <v>1</v>
      </c>
      <c r="G347" s="2">
        <v>3</v>
      </c>
      <c r="H347" s="2">
        <v>3</v>
      </c>
      <c r="I347">
        <v>3</v>
      </c>
      <c r="J347">
        <v>0</v>
      </c>
      <c r="K347" s="2">
        <v>2</v>
      </c>
      <c r="L347">
        <v>0</v>
      </c>
      <c r="M347" s="7">
        <v>3</v>
      </c>
      <c r="N347" s="7">
        <v>1</v>
      </c>
      <c r="O347">
        <v>1</v>
      </c>
      <c r="P347" t="s">
        <v>14</v>
      </c>
      <c r="Q347">
        <v>1</v>
      </c>
      <c r="R347" s="8">
        <f>(Tabela2[[#This Row],[FAF_atividade_fisica_frequente_em_horas]]+ 0.1)</f>
        <v>3.1</v>
      </c>
      <c r="S347" s="1">
        <f>(Tabela2[[#This Row],[TUE_tempo_uso_aparelhos_em_horas]]/Tabela2[[#This Row],[FAF_Var]])</f>
        <v>0.32258064516129031</v>
      </c>
      <c r="T347">
        <f>(Tabela2[[#This Row],[CAEC_lanche_entre_refeicoes]]*Tabela2[[#This Row],[FAVC_consumo_frequente_de_alimentos_mt_caloricos]])</f>
        <v>3</v>
      </c>
      <c r="U347" s="1">
        <f>IF(OR(Tabela2[[#This Row],[MTRANS]]="Walking",Tabela2[[#This Row],[MTRANS]]="Bike"),Tabela2[[#This Row],[FAF_atividade_fisica_frequente_em_horas]]+1,M347)</f>
        <v>3</v>
      </c>
      <c r="V347">
        <f>(Tabela2[[#This Row],[SMOKE]]+Tabela2[[#This Row],[CALC_bebe_alcool_frequentemente]])</f>
        <v>1</v>
      </c>
      <c r="W347" s="8">
        <f>(Tabela2[[#This Row],[Weight]]/(Tabela2[[#This Row],[Height]] ^2))</f>
        <v>19.031141868512112</v>
      </c>
    </row>
    <row r="348" spans="1:23" x14ac:dyDescent="0.25">
      <c r="A348" t="s">
        <v>13</v>
      </c>
      <c r="B348" s="7">
        <v>21</v>
      </c>
      <c r="C348" s="4">
        <v>1.54</v>
      </c>
      <c r="D348" s="7">
        <v>47</v>
      </c>
      <c r="E348">
        <v>1</v>
      </c>
      <c r="F348">
        <v>0</v>
      </c>
      <c r="G348" s="2">
        <v>3</v>
      </c>
      <c r="H348" s="2">
        <v>3</v>
      </c>
      <c r="I348">
        <v>3</v>
      </c>
      <c r="J348">
        <v>0</v>
      </c>
      <c r="K348" s="2">
        <v>1</v>
      </c>
      <c r="L348">
        <v>0</v>
      </c>
      <c r="M348" s="7">
        <v>2</v>
      </c>
      <c r="N348" s="7">
        <v>0</v>
      </c>
      <c r="O348">
        <v>0</v>
      </c>
      <c r="P348" t="s">
        <v>14</v>
      </c>
      <c r="Q348">
        <v>1</v>
      </c>
      <c r="R348" s="8">
        <f>(Tabela2[[#This Row],[FAF_atividade_fisica_frequente_em_horas]]+ 0.1)</f>
        <v>2.1</v>
      </c>
      <c r="S348" s="1">
        <f>(Tabela2[[#This Row],[TUE_tempo_uso_aparelhos_em_horas]]/Tabela2[[#This Row],[FAF_Var]])</f>
        <v>0</v>
      </c>
      <c r="T348">
        <f>(Tabela2[[#This Row],[CAEC_lanche_entre_refeicoes]]*Tabela2[[#This Row],[FAVC_consumo_frequente_de_alimentos_mt_caloricos]])</f>
        <v>0</v>
      </c>
      <c r="U348" s="1">
        <f>IF(OR(Tabela2[[#This Row],[MTRANS]]="Walking",Tabela2[[#This Row],[MTRANS]]="Bike"),Tabela2[[#This Row],[FAF_atividade_fisica_frequente_em_horas]]+1,M348)</f>
        <v>2</v>
      </c>
      <c r="V348">
        <f>(Tabela2[[#This Row],[SMOKE]]+Tabela2[[#This Row],[CALC_bebe_alcool_frequentemente]])</f>
        <v>0</v>
      </c>
      <c r="W348" s="8">
        <f>(Tabela2[[#This Row],[Weight]]/(Tabela2[[#This Row],[Height]] ^2))</f>
        <v>19.817844493169169</v>
      </c>
    </row>
    <row r="349" spans="1:23" x14ac:dyDescent="0.25">
      <c r="A349" t="s">
        <v>15</v>
      </c>
      <c r="B349" s="7">
        <v>17</v>
      </c>
      <c r="C349" s="4">
        <v>1.8</v>
      </c>
      <c r="D349" s="7">
        <v>97</v>
      </c>
      <c r="E349">
        <v>1</v>
      </c>
      <c r="F349">
        <v>1</v>
      </c>
      <c r="G349" s="2">
        <v>2</v>
      </c>
      <c r="H349" s="2">
        <v>3</v>
      </c>
      <c r="I349">
        <v>1</v>
      </c>
      <c r="J349">
        <v>0</v>
      </c>
      <c r="K349" s="2">
        <v>3</v>
      </c>
      <c r="L349">
        <v>0</v>
      </c>
      <c r="M349" s="7">
        <v>1</v>
      </c>
      <c r="N349" s="7">
        <v>1</v>
      </c>
      <c r="O349">
        <v>1</v>
      </c>
      <c r="P349" t="s">
        <v>16</v>
      </c>
      <c r="Q349">
        <v>3</v>
      </c>
      <c r="R349" s="8">
        <f>(Tabela2[[#This Row],[FAF_atividade_fisica_frequente_em_horas]]+ 0.1)</f>
        <v>1.1000000000000001</v>
      </c>
      <c r="S349" s="1">
        <f>(Tabela2[[#This Row],[TUE_tempo_uso_aparelhos_em_horas]]/Tabela2[[#This Row],[FAF_Var]])</f>
        <v>0.90909090909090906</v>
      </c>
      <c r="T349">
        <f>(Tabela2[[#This Row],[CAEC_lanche_entre_refeicoes]]*Tabela2[[#This Row],[FAVC_consumo_frequente_de_alimentos_mt_caloricos]])</f>
        <v>1</v>
      </c>
      <c r="U349" s="1">
        <f>IF(OR(Tabela2[[#This Row],[MTRANS]]="Walking",Tabela2[[#This Row],[MTRANS]]="Bike"),Tabela2[[#This Row],[FAF_atividade_fisica_frequente_em_horas]]+1,M349)</f>
        <v>2</v>
      </c>
      <c r="V349">
        <f>(Tabela2[[#This Row],[SMOKE]]+Tabela2[[#This Row],[CALC_bebe_alcool_frequentemente]])</f>
        <v>1</v>
      </c>
      <c r="W349" s="8">
        <f>(Tabela2[[#This Row],[Weight]]/(Tabela2[[#This Row],[Height]] ^2))</f>
        <v>29.938271604938269</v>
      </c>
    </row>
    <row r="350" spans="1:23" x14ac:dyDescent="0.25">
      <c r="A350" t="s">
        <v>15</v>
      </c>
      <c r="B350" s="7">
        <v>18</v>
      </c>
      <c r="C350" s="4">
        <v>1.82</v>
      </c>
      <c r="D350" s="7">
        <v>80</v>
      </c>
      <c r="E350">
        <v>1</v>
      </c>
      <c r="F350">
        <v>1</v>
      </c>
      <c r="G350" s="2">
        <v>2</v>
      </c>
      <c r="H350" s="2">
        <v>3</v>
      </c>
      <c r="I350">
        <v>1</v>
      </c>
      <c r="J350">
        <v>0</v>
      </c>
      <c r="K350" s="2">
        <v>2</v>
      </c>
      <c r="L350">
        <v>0</v>
      </c>
      <c r="M350" s="7">
        <v>3</v>
      </c>
      <c r="N350" s="7">
        <v>2</v>
      </c>
      <c r="O350">
        <v>0</v>
      </c>
      <c r="P350" t="s">
        <v>16</v>
      </c>
      <c r="Q350">
        <v>1</v>
      </c>
      <c r="R350" s="8">
        <f>(Tabela2[[#This Row],[FAF_atividade_fisica_frequente_em_horas]]+ 0.1)</f>
        <v>3.1</v>
      </c>
      <c r="S350" s="1">
        <f>(Tabela2[[#This Row],[TUE_tempo_uso_aparelhos_em_horas]]/Tabela2[[#This Row],[FAF_Var]])</f>
        <v>0.64516129032258063</v>
      </c>
      <c r="T350">
        <f>(Tabela2[[#This Row],[CAEC_lanche_entre_refeicoes]]*Tabela2[[#This Row],[FAVC_consumo_frequente_de_alimentos_mt_caloricos]])</f>
        <v>1</v>
      </c>
      <c r="U350" s="1">
        <f>IF(OR(Tabela2[[#This Row],[MTRANS]]="Walking",Tabela2[[#This Row],[MTRANS]]="Bike"),Tabela2[[#This Row],[FAF_atividade_fisica_frequente_em_horas]]+1,M350)</f>
        <v>4</v>
      </c>
      <c r="V350">
        <f>(Tabela2[[#This Row],[SMOKE]]+Tabela2[[#This Row],[CALC_bebe_alcool_frequentemente]])</f>
        <v>0</v>
      </c>
      <c r="W350" s="8">
        <f>(Tabela2[[#This Row],[Weight]]/(Tabela2[[#This Row],[Height]] ^2))</f>
        <v>24.151672503320853</v>
      </c>
    </row>
    <row r="351" spans="1:23" x14ac:dyDescent="0.25">
      <c r="A351" t="s">
        <v>15</v>
      </c>
      <c r="B351" s="7">
        <v>20</v>
      </c>
      <c r="C351" s="4">
        <v>1.98</v>
      </c>
      <c r="D351" s="7">
        <v>125</v>
      </c>
      <c r="E351">
        <v>1</v>
      </c>
      <c r="F351">
        <v>1</v>
      </c>
      <c r="G351" s="2">
        <v>2</v>
      </c>
      <c r="H351" s="2">
        <v>3</v>
      </c>
      <c r="I351">
        <v>3</v>
      </c>
      <c r="J351">
        <v>0</v>
      </c>
      <c r="K351" s="2">
        <v>3</v>
      </c>
      <c r="L351">
        <v>0</v>
      </c>
      <c r="M351" s="7">
        <v>1</v>
      </c>
      <c r="N351" s="7">
        <v>1</v>
      </c>
      <c r="O351">
        <v>1</v>
      </c>
      <c r="P351" t="s">
        <v>14</v>
      </c>
      <c r="Q351">
        <v>4</v>
      </c>
      <c r="R351" s="8">
        <f>(Tabela2[[#This Row],[FAF_atividade_fisica_frequente_em_horas]]+ 0.1)</f>
        <v>1.1000000000000001</v>
      </c>
      <c r="S351" s="1">
        <f>(Tabela2[[#This Row],[TUE_tempo_uso_aparelhos_em_horas]]/Tabela2[[#This Row],[FAF_Var]])</f>
        <v>0.90909090909090906</v>
      </c>
      <c r="T351">
        <f>(Tabela2[[#This Row],[CAEC_lanche_entre_refeicoes]]*Tabela2[[#This Row],[FAVC_consumo_frequente_de_alimentos_mt_caloricos]])</f>
        <v>3</v>
      </c>
      <c r="U351" s="1">
        <f>IF(OR(Tabela2[[#This Row],[MTRANS]]="Walking",Tabela2[[#This Row],[MTRANS]]="Bike"),Tabela2[[#This Row],[FAF_atividade_fisica_frequente_em_horas]]+1,M351)</f>
        <v>1</v>
      </c>
      <c r="V351">
        <f>(Tabela2[[#This Row],[SMOKE]]+Tabela2[[#This Row],[CALC_bebe_alcool_frequentemente]])</f>
        <v>1</v>
      </c>
      <c r="W351" s="8">
        <f>(Tabela2[[#This Row],[Weight]]/(Tabela2[[#This Row],[Height]] ^2))</f>
        <v>31.88450158147128</v>
      </c>
    </row>
    <row r="352" spans="1:23" x14ac:dyDescent="0.25">
      <c r="A352" t="s">
        <v>15</v>
      </c>
      <c r="B352" s="7">
        <v>17</v>
      </c>
      <c r="C352" s="4">
        <v>1.75</v>
      </c>
      <c r="D352" s="7">
        <v>70</v>
      </c>
      <c r="E352">
        <v>1</v>
      </c>
      <c r="F352">
        <v>0</v>
      </c>
      <c r="G352" s="2">
        <v>2</v>
      </c>
      <c r="H352" s="2">
        <v>3</v>
      </c>
      <c r="I352">
        <v>1</v>
      </c>
      <c r="J352">
        <v>0</v>
      </c>
      <c r="K352" s="2">
        <v>1</v>
      </c>
      <c r="L352">
        <v>0</v>
      </c>
      <c r="M352" s="7">
        <v>3</v>
      </c>
      <c r="N352" s="7">
        <v>2</v>
      </c>
      <c r="O352">
        <v>1</v>
      </c>
      <c r="P352" t="s">
        <v>16</v>
      </c>
      <c r="Q352">
        <v>1</v>
      </c>
      <c r="R352" s="8">
        <f>(Tabela2[[#This Row],[FAF_atividade_fisica_frequente_em_horas]]+ 0.1)</f>
        <v>3.1</v>
      </c>
      <c r="S352" s="1">
        <f>(Tabela2[[#This Row],[TUE_tempo_uso_aparelhos_em_horas]]/Tabela2[[#This Row],[FAF_Var]])</f>
        <v>0.64516129032258063</v>
      </c>
      <c r="T352">
        <f>(Tabela2[[#This Row],[CAEC_lanche_entre_refeicoes]]*Tabela2[[#This Row],[FAVC_consumo_frequente_de_alimentos_mt_caloricos]])</f>
        <v>0</v>
      </c>
      <c r="U352" s="1">
        <f>IF(OR(Tabela2[[#This Row],[MTRANS]]="Walking",Tabela2[[#This Row],[MTRANS]]="Bike"),Tabela2[[#This Row],[FAF_atividade_fisica_frequente_em_horas]]+1,M352)</f>
        <v>4</v>
      </c>
      <c r="V352">
        <f>(Tabela2[[#This Row],[SMOKE]]+Tabela2[[#This Row],[CALC_bebe_alcool_frequentemente]])</f>
        <v>1</v>
      </c>
      <c r="W352" s="8">
        <f>(Tabela2[[#This Row],[Weight]]/(Tabela2[[#This Row],[Height]] ^2))</f>
        <v>22.857142857142858</v>
      </c>
    </row>
    <row r="353" spans="1:23" x14ac:dyDescent="0.25">
      <c r="A353" t="s">
        <v>13</v>
      </c>
      <c r="B353" s="7">
        <v>26</v>
      </c>
      <c r="C353" s="4">
        <v>1.65</v>
      </c>
      <c r="D353" s="7">
        <v>60</v>
      </c>
      <c r="E353">
        <v>0</v>
      </c>
      <c r="F353">
        <v>0</v>
      </c>
      <c r="G353" s="2">
        <v>3</v>
      </c>
      <c r="H353" s="2">
        <v>4</v>
      </c>
      <c r="I353">
        <v>3</v>
      </c>
      <c r="J353">
        <v>0</v>
      </c>
      <c r="K353" s="2">
        <v>2</v>
      </c>
      <c r="L353">
        <v>0</v>
      </c>
      <c r="M353" s="7">
        <v>2</v>
      </c>
      <c r="N353" s="7">
        <v>0</v>
      </c>
      <c r="O353">
        <v>0</v>
      </c>
      <c r="P353" t="s">
        <v>16</v>
      </c>
      <c r="Q353">
        <v>1</v>
      </c>
      <c r="R353" s="8">
        <f>(Tabela2[[#This Row],[FAF_atividade_fisica_frequente_em_horas]]+ 0.1)</f>
        <v>2.1</v>
      </c>
      <c r="S353" s="1">
        <f>(Tabela2[[#This Row],[TUE_tempo_uso_aparelhos_em_horas]]/Tabela2[[#This Row],[FAF_Var]])</f>
        <v>0</v>
      </c>
      <c r="T353">
        <f>(Tabela2[[#This Row],[CAEC_lanche_entre_refeicoes]]*Tabela2[[#This Row],[FAVC_consumo_frequente_de_alimentos_mt_caloricos]])</f>
        <v>0</v>
      </c>
      <c r="U353" s="1">
        <f>IF(OR(Tabela2[[#This Row],[MTRANS]]="Walking",Tabela2[[#This Row],[MTRANS]]="Bike"),Tabela2[[#This Row],[FAF_atividade_fisica_frequente_em_horas]]+1,M353)</f>
        <v>3</v>
      </c>
      <c r="V353">
        <f>(Tabela2[[#This Row],[SMOKE]]+Tabela2[[#This Row],[CALC_bebe_alcool_frequentemente]])</f>
        <v>0</v>
      </c>
      <c r="W353" s="8">
        <f>(Tabela2[[#This Row],[Weight]]/(Tabela2[[#This Row],[Height]] ^2))</f>
        <v>22.03856749311295</v>
      </c>
    </row>
    <row r="354" spans="1:23" x14ac:dyDescent="0.25">
      <c r="A354" t="s">
        <v>13</v>
      </c>
      <c r="B354" s="7">
        <v>17</v>
      </c>
      <c r="C354" s="4">
        <v>1.6</v>
      </c>
      <c r="D354" s="7">
        <v>53</v>
      </c>
      <c r="E354">
        <v>0</v>
      </c>
      <c r="F354">
        <v>1</v>
      </c>
      <c r="G354" s="2">
        <v>1</v>
      </c>
      <c r="H354" s="2">
        <v>3</v>
      </c>
      <c r="I354">
        <v>1</v>
      </c>
      <c r="J354">
        <v>0</v>
      </c>
      <c r="K354" s="2">
        <v>1</v>
      </c>
      <c r="L354">
        <v>0</v>
      </c>
      <c r="M354" s="7">
        <v>2</v>
      </c>
      <c r="N354" s="7">
        <v>2</v>
      </c>
      <c r="O354">
        <v>1</v>
      </c>
      <c r="P354" t="s">
        <v>16</v>
      </c>
      <c r="Q354">
        <v>1</v>
      </c>
      <c r="R354" s="8">
        <f>(Tabela2[[#This Row],[FAF_atividade_fisica_frequente_em_horas]]+ 0.1)</f>
        <v>2.1</v>
      </c>
      <c r="S354" s="1">
        <f>(Tabela2[[#This Row],[TUE_tempo_uso_aparelhos_em_horas]]/Tabela2[[#This Row],[FAF_Var]])</f>
        <v>0.95238095238095233</v>
      </c>
      <c r="T354">
        <f>(Tabela2[[#This Row],[CAEC_lanche_entre_refeicoes]]*Tabela2[[#This Row],[FAVC_consumo_frequente_de_alimentos_mt_caloricos]])</f>
        <v>1</v>
      </c>
      <c r="U354" s="1">
        <f>IF(OR(Tabela2[[#This Row],[MTRANS]]="Walking",Tabela2[[#This Row],[MTRANS]]="Bike"),Tabela2[[#This Row],[FAF_atividade_fisica_frequente_em_horas]]+1,M354)</f>
        <v>3</v>
      </c>
      <c r="V354">
        <f>(Tabela2[[#This Row],[SMOKE]]+Tabela2[[#This Row],[CALC_bebe_alcool_frequentemente]])</f>
        <v>1</v>
      </c>
      <c r="W354" s="8">
        <f>(Tabela2[[#This Row],[Weight]]/(Tabela2[[#This Row],[Height]] ^2))</f>
        <v>20.703124999999996</v>
      </c>
    </row>
    <row r="355" spans="1:23" x14ac:dyDescent="0.25">
      <c r="A355" t="s">
        <v>13</v>
      </c>
      <c r="B355" s="7">
        <v>24</v>
      </c>
      <c r="C355" s="4">
        <v>1.6</v>
      </c>
      <c r="D355" s="7">
        <v>51</v>
      </c>
      <c r="E355">
        <v>1</v>
      </c>
      <c r="F355">
        <v>1</v>
      </c>
      <c r="G355" s="2">
        <v>1</v>
      </c>
      <c r="H355" s="2">
        <v>3</v>
      </c>
      <c r="I355">
        <v>1</v>
      </c>
      <c r="J355">
        <v>0</v>
      </c>
      <c r="K355" s="2">
        <v>2</v>
      </c>
      <c r="L355">
        <v>0</v>
      </c>
      <c r="M355" s="7">
        <v>0</v>
      </c>
      <c r="N355" s="7">
        <v>1</v>
      </c>
      <c r="O355">
        <v>1</v>
      </c>
      <c r="P355" t="s">
        <v>17</v>
      </c>
      <c r="Q355">
        <v>1</v>
      </c>
      <c r="R355" s="8">
        <f>(Tabela2[[#This Row],[FAF_atividade_fisica_frequente_em_horas]]+ 0.1)</f>
        <v>0.1</v>
      </c>
      <c r="S355" s="1">
        <f>(Tabela2[[#This Row],[TUE_tempo_uso_aparelhos_em_horas]]/Tabela2[[#This Row],[FAF_Var]])</f>
        <v>10</v>
      </c>
      <c r="T355">
        <f>(Tabela2[[#This Row],[CAEC_lanche_entre_refeicoes]]*Tabela2[[#This Row],[FAVC_consumo_frequente_de_alimentos_mt_caloricos]])</f>
        <v>1</v>
      </c>
      <c r="U355" s="1">
        <f>IF(OR(Tabela2[[#This Row],[MTRANS]]="Walking",Tabela2[[#This Row],[MTRANS]]="Bike"),Tabela2[[#This Row],[FAF_atividade_fisica_frequente_em_horas]]+1,M355)</f>
        <v>0</v>
      </c>
      <c r="V355">
        <f>(Tabela2[[#This Row],[SMOKE]]+Tabela2[[#This Row],[CALC_bebe_alcool_frequentemente]])</f>
        <v>1</v>
      </c>
      <c r="W355" s="8">
        <f>(Tabela2[[#This Row],[Weight]]/(Tabela2[[#This Row],[Height]] ^2))</f>
        <v>19.921874999999996</v>
      </c>
    </row>
    <row r="356" spans="1:23" x14ac:dyDescent="0.25">
      <c r="A356" t="s">
        <v>13</v>
      </c>
      <c r="B356" s="7">
        <v>17</v>
      </c>
      <c r="C356" s="4">
        <v>1.6</v>
      </c>
      <c r="D356" s="7">
        <v>59</v>
      </c>
      <c r="E356">
        <v>0</v>
      </c>
      <c r="F356">
        <v>1</v>
      </c>
      <c r="G356" s="2">
        <v>2</v>
      </c>
      <c r="H356" s="2">
        <v>3</v>
      </c>
      <c r="I356">
        <v>1</v>
      </c>
      <c r="J356">
        <v>0</v>
      </c>
      <c r="K356" s="2">
        <v>2</v>
      </c>
      <c r="L356">
        <v>0</v>
      </c>
      <c r="M356" s="7">
        <v>1</v>
      </c>
      <c r="N356" s="7">
        <v>2</v>
      </c>
      <c r="O356">
        <v>0</v>
      </c>
      <c r="P356" t="s">
        <v>14</v>
      </c>
      <c r="Q356">
        <v>1</v>
      </c>
      <c r="R356" s="8">
        <f>(Tabela2[[#This Row],[FAF_atividade_fisica_frequente_em_horas]]+ 0.1)</f>
        <v>1.1000000000000001</v>
      </c>
      <c r="S356" s="1">
        <f>(Tabela2[[#This Row],[TUE_tempo_uso_aparelhos_em_horas]]/Tabela2[[#This Row],[FAF_Var]])</f>
        <v>1.8181818181818181</v>
      </c>
      <c r="T356">
        <f>(Tabela2[[#This Row],[CAEC_lanche_entre_refeicoes]]*Tabela2[[#This Row],[FAVC_consumo_frequente_de_alimentos_mt_caloricos]])</f>
        <v>1</v>
      </c>
      <c r="U356" s="1">
        <f>IF(OR(Tabela2[[#This Row],[MTRANS]]="Walking",Tabela2[[#This Row],[MTRANS]]="Bike"),Tabela2[[#This Row],[FAF_atividade_fisica_frequente_em_horas]]+1,M356)</f>
        <v>1</v>
      </c>
      <c r="V356">
        <f>(Tabela2[[#This Row],[SMOKE]]+Tabela2[[#This Row],[CALC_bebe_alcool_frequentemente]])</f>
        <v>0</v>
      </c>
      <c r="W356" s="8">
        <f>(Tabela2[[#This Row],[Weight]]/(Tabela2[[#This Row],[Height]] ^2))</f>
        <v>23.046874999999996</v>
      </c>
    </row>
    <row r="357" spans="1:23" x14ac:dyDescent="0.25">
      <c r="A357" t="s">
        <v>13</v>
      </c>
      <c r="B357" s="7">
        <v>27</v>
      </c>
      <c r="C357" s="4">
        <v>1.55</v>
      </c>
      <c r="D357" s="7">
        <v>62</v>
      </c>
      <c r="E357">
        <v>0</v>
      </c>
      <c r="F357">
        <v>1</v>
      </c>
      <c r="G357" s="2">
        <v>3</v>
      </c>
      <c r="H357" s="2">
        <v>1</v>
      </c>
      <c r="I357">
        <v>1</v>
      </c>
      <c r="J357">
        <v>0</v>
      </c>
      <c r="K357" s="2">
        <v>1</v>
      </c>
      <c r="L357">
        <v>0</v>
      </c>
      <c r="M357" s="7">
        <v>1</v>
      </c>
      <c r="N357" s="7">
        <v>0</v>
      </c>
      <c r="O357">
        <v>1</v>
      </c>
      <c r="P357" t="s">
        <v>14</v>
      </c>
      <c r="Q357">
        <v>2</v>
      </c>
      <c r="R357" s="8">
        <f>(Tabela2[[#This Row],[FAF_atividade_fisica_frequente_em_horas]]+ 0.1)</f>
        <v>1.1000000000000001</v>
      </c>
      <c r="S357" s="1">
        <f>(Tabela2[[#This Row],[TUE_tempo_uso_aparelhos_em_horas]]/Tabela2[[#This Row],[FAF_Var]])</f>
        <v>0</v>
      </c>
      <c r="T357">
        <f>(Tabela2[[#This Row],[CAEC_lanche_entre_refeicoes]]*Tabela2[[#This Row],[FAVC_consumo_frequente_de_alimentos_mt_caloricos]])</f>
        <v>1</v>
      </c>
      <c r="U357" s="1">
        <f>IF(OR(Tabela2[[#This Row],[MTRANS]]="Walking",Tabela2[[#This Row],[MTRANS]]="Bike"),Tabela2[[#This Row],[FAF_atividade_fisica_frequente_em_horas]]+1,M357)</f>
        <v>1</v>
      </c>
      <c r="V357">
        <f>(Tabela2[[#This Row],[SMOKE]]+Tabela2[[#This Row],[CALC_bebe_alcool_frequentemente]])</f>
        <v>1</v>
      </c>
      <c r="W357" s="8">
        <f>(Tabela2[[#This Row],[Weight]]/(Tabela2[[#This Row],[Height]] ^2))</f>
        <v>25.806451612903224</v>
      </c>
    </row>
    <row r="358" spans="1:23" x14ac:dyDescent="0.25">
      <c r="A358" t="s">
        <v>15</v>
      </c>
      <c r="B358" s="7">
        <v>17</v>
      </c>
      <c r="C358" s="4">
        <v>1.9</v>
      </c>
      <c r="D358" s="7">
        <v>60</v>
      </c>
      <c r="E358">
        <v>0</v>
      </c>
      <c r="F358">
        <v>0</v>
      </c>
      <c r="G358" s="2">
        <v>3</v>
      </c>
      <c r="H358" s="2">
        <v>3</v>
      </c>
      <c r="I358">
        <v>1</v>
      </c>
      <c r="J358">
        <v>0</v>
      </c>
      <c r="K358" s="2">
        <v>2</v>
      </c>
      <c r="L358">
        <v>0</v>
      </c>
      <c r="M358" s="7">
        <v>3</v>
      </c>
      <c r="N358" s="7">
        <v>1</v>
      </c>
      <c r="O358">
        <v>0</v>
      </c>
      <c r="P358" t="s">
        <v>16</v>
      </c>
      <c r="Q358">
        <v>0</v>
      </c>
      <c r="R358" s="8">
        <f>(Tabela2[[#This Row],[FAF_atividade_fisica_frequente_em_horas]]+ 0.1)</f>
        <v>3.1</v>
      </c>
      <c r="S358" s="1">
        <f>(Tabela2[[#This Row],[TUE_tempo_uso_aparelhos_em_horas]]/Tabela2[[#This Row],[FAF_Var]])</f>
        <v>0.32258064516129031</v>
      </c>
      <c r="T358">
        <f>(Tabela2[[#This Row],[CAEC_lanche_entre_refeicoes]]*Tabela2[[#This Row],[FAVC_consumo_frequente_de_alimentos_mt_caloricos]])</f>
        <v>0</v>
      </c>
      <c r="U358" s="1">
        <f>IF(OR(Tabela2[[#This Row],[MTRANS]]="Walking",Tabela2[[#This Row],[MTRANS]]="Bike"),Tabela2[[#This Row],[FAF_atividade_fisica_frequente_em_horas]]+1,M358)</f>
        <v>4</v>
      </c>
      <c r="V358">
        <f>(Tabela2[[#This Row],[SMOKE]]+Tabela2[[#This Row],[CALC_bebe_alcool_frequentemente]])</f>
        <v>0</v>
      </c>
      <c r="W358" s="8">
        <f>(Tabela2[[#This Row],[Weight]]/(Tabela2[[#This Row],[Height]] ^2))</f>
        <v>16.62049861495845</v>
      </c>
    </row>
    <row r="359" spans="1:23" x14ac:dyDescent="0.25">
      <c r="A359" t="s">
        <v>13</v>
      </c>
      <c r="B359" s="7">
        <v>17</v>
      </c>
      <c r="C359" s="4">
        <v>1.7</v>
      </c>
      <c r="D359" s="7">
        <v>56</v>
      </c>
      <c r="E359">
        <v>1</v>
      </c>
      <c r="F359">
        <v>1</v>
      </c>
      <c r="G359" s="2">
        <v>1</v>
      </c>
      <c r="H359" s="2">
        <v>3</v>
      </c>
      <c r="I359">
        <v>1</v>
      </c>
      <c r="J359">
        <v>0</v>
      </c>
      <c r="K359" s="2">
        <v>1</v>
      </c>
      <c r="L359">
        <v>0</v>
      </c>
      <c r="M359" s="7">
        <v>1</v>
      </c>
      <c r="N359" s="7">
        <v>1</v>
      </c>
      <c r="O359">
        <v>0</v>
      </c>
      <c r="P359" t="s">
        <v>17</v>
      </c>
      <c r="Q359">
        <v>1</v>
      </c>
      <c r="R359" s="8">
        <f>(Tabela2[[#This Row],[FAF_atividade_fisica_frequente_em_horas]]+ 0.1)</f>
        <v>1.1000000000000001</v>
      </c>
      <c r="S359" s="1">
        <f>(Tabela2[[#This Row],[TUE_tempo_uso_aparelhos_em_horas]]/Tabela2[[#This Row],[FAF_Var]])</f>
        <v>0.90909090909090906</v>
      </c>
      <c r="T359">
        <f>(Tabela2[[#This Row],[CAEC_lanche_entre_refeicoes]]*Tabela2[[#This Row],[FAVC_consumo_frequente_de_alimentos_mt_caloricos]])</f>
        <v>1</v>
      </c>
      <c r="U359" s="1">
        <f>IF(OR(Tabela2[[#This Row],[MTRANS]]="Walking",Tabela2[[#This Row],[MTRANS]]="Bike"),Tabela2[[#This Row],[FAF_atividade_fisica_frequente_em_horas]]+1,M359)</f>
        <v>1</v>
      </c>
      <c r="V359">
        <f>(Tabela2[[#This Row],[SMOKE]]+Tabela2[[#This Row],[CALC_bebe_alcool_frequentemente]])</f>
        <v>0</v>
      </c>
      <c r="W359" s="8">
        <f>(Tabela2[[#This Row],[Weight]]/(Tabela2[[#This Row],[Height]] ^2))</f>
        <v>19.377162629757787</v>
      </c>
    </row>
    <row r="360" spans="1:23" x14ac:dyDescent="0.25">
      <c r="A360" t="s">
        <v>15</v>
      </c>
      <c r="B360" s="7">
        <v>41</v>
      </c>
      <c r="C360" s="4">
        <v>1.75</v>
      </c>
      <c r="D360" s="7">
        <v>110</v>
      </c>
      <c r="E360">
        <v>1</v>
      </c>
      <c r="F360">
        <v>0</v>
      </c>
      <c r="G360" s="2">
        <v>2</v>
      </c>
      <c r="H360" s="2">
        <v>1</v>
      </c>
      <c r="I360">
        <v>1</v>
      </c>
      <c r="J360">
        <v>0</v>
      </c>
      <c r="K360" s="2">
        <v>1</v>
      </c>
      <c r="L360">
        <v>0</v>
      </c>
      <c r="M360" s="7">
        <v>1</v>
      </c>
      <c r="N360" s="7">
        <v>0</v>
      </c>
      <c r="O360">
        <v>2</v>
      </c>
      <c r="P360" t="s">
        <v>17</v>
      </c>
      <c r="Q360">
        <v>5</v>
      </c>
      <c r="R360" s="8">
        <f>(Tabela2[[#This Row],[FAF_atividade_fisica_frequente_em_horas]]+ 0.1)</f>
        <v>1.1000000000000001</v>
      </c>
      <c r="S360" s="1">
        <f>(Tabela2[[#This Row],[TUE_tempo_uso_aparelhos_em_horas]]/Tabela2[[#This Row],[FAF_Var]])</f>
        <v>0</v>
      </c>
      <c r="T360">
        <f>(Tabela2[[#This Row],[CAEC_lanche_entre_refeicoes]]*Tabela2[[#This Row],[FAVC_consumo_frequente_de_alimentos_mt_caloricos]])</f>
        <v>0</v>
      </c>
      <c r="U360" s="1">
        <f>IF(OR(Tabela2[[#This Row],[MTRANS]]="Walking",Tabela2[[#This Row],[MTRANS]]="Bike"),Tabela2[[#This Row],[FAF_atividade_fisica_frequente_em_horas]]+1,M360)</f>
        <v>1</v>
      </c>
      <c r="V360">
        <f>(Tabela2[[#This Row],[SMOKE]]+Tabela2[[#This Row],[CALC_bebe_alcool_frequentemente]])</f>
        <v>2</v>
      </c>
      <c r="W360" s="8">
        <f>(Tabela2[[#This Row],[Weight]]/(Tabela2[[#This Row],[Height]] ^2))</f>
        <v>35.918367346938773</v>
      </c>
    </row>
    <row r="361" spans="1:23" x14ac:dyDescent="0.25">
      <c r="A361" t="s">
        <v>13</v>
      </c>
      <c r="B361" s="7">
        <v>33</v>
      </c>
      <c r="C361" s="4">
        <v>1.56</v>
      </c>
      <c r="D361" s="7">
        <v>48</v>
      </c>
      <c r="E361">
        <v>1</v>
      </c>
      <c r="F361">
        <v>0</v>
      </c>
      <c r="G361" s="2">
        <v>2</v>
      </c>
      <c r="H361" s="2">
        <v>3</v>
      </c>
      <c r="I361">
        <v>1</v>
      </c>
      <c r="J361">
        <v>0</v>
      </c>
      <c r="K361" s="2">
        <v>2</v>
      </c>
      <c r="L361">
        <v>0</v>
      </c>
      <c r="M361" s="7">
        <v>1</v>
      </c>
      <c r="N361" s="7">
        <v>0</v>
      </c>
      <c r="O361">
        <v>1</v>
      </c>
      <c r="P361" t="s">
        <v>14</v>
      </c>
      <c r="Q361">
        <v>1</v>
      </c>
      <c r="R361" s="8">
        <f>(Tabela2[[#This Row],[FAF_atividade_fisica_frequente_em_horas]]+ 0.1)</f>
        <v>1.1000000000000001</v>
      </c>
      <c r="S361" s="1">
        <f>(Tabela2[[#This Row],[TUE_tempo_uso_aparelhos_em_horas]]/Tabela2[[#This Row],[FAF_Var]])</f>
        <v>0</v>
      </c>
      <c r="T361">
        <f>(Tabela2[[#This Row],[CAEC_lanche_entre_refeicoes]]*Tabela2[[#This Row],[FAVC_consumo_frequente_de_alimentos_mt_caloricos]])</f>
        <v>0</v>
      </c>
      <c r="U361" s="1">
        <f>IF(OR(Tabela2[[#This Row],[MTRANS]]="Walking",Tabela2[[#This Row],[MTRANS]]="Bike"),Tabela2[[#This Row],[FAF_atividade_fisica_frequente_em_horas]]+1,M361)</f>
        <v>1</v>
      </c>
      <c r="V361">
        <f>(Tabela2[[#This Row],[SMOKE]]+Tabela2[[#This Row],[CALC_bebe_alcool_frequentemente]])</f>
        <v>1</v>
      </c>
      <c r="W361" s="8">
        <f>(Tabela2[[#This Row],[Weight]]/(Tabela2[[#This Row],[Height]] ^2))</f>
        <v>19.723865877712029</v>
      </c>
    </row>
    <row r="362" spans="1:23" x14ac:dyDescent="0.25">
      <c r="A362" t="s">
        <v>15</v>
      </c>
      <c r="B362" s="7">
        <v>20</v>
      </c>
      <c r="C362" s="4">
        <v>1.87</v>
      </c>
      <c r="D362" s="7">
        <v>75</v>
      </c>
      <c r="E362">
        <v>0</v>
      </c>
      <c r="F362">
        <v>1</v>
      </c>
      <c r="G362" s="2">
        <v>2</v>
      </c>
      <c r="H362" s="2">
        <v>3</v>
      </c>
      <c r="I362">
        <v>2</v>
      </c>
      <c r="J362">
        <v>0</v>
      </c>
      <c r="K362" s="2">
        <v>1</v>
      </c>
      <c r="L362">
        <v>0</v>
      </c>
      <c r="M362" s="7">
        <v>1</v>
      </c>
      <c r="N362" s="7">
        <v>1</v>
      </c>
      <c r="O362">
        <v>1</v>
      </c>
      <c r="P362" t="s">
        <v>14</v>
      </c>
      <c r="Q362">
        <v>1</v>
      </c>
      <c r="R362" s="8">
        <f>(Tabela2[[#This Row],[FAF_atividade_fisica_frequente_em_horas]]+ 0.1)</f>
        <v>1.1000000000000001</v>
      </c>
      <c r="S362" s="1">
        <f>(Tabela2[[#This Row],[TUE_tempo_uso_aparelhos_em_horas]]/Tabela2[[#This Row],[FAF_Var]])</f>
        <v>0.90909090909090906</v>
      </c>
      <c r="T362">
        <f>(Tabela2[[#This Row],[CAEC_lanche_entre_refeicoes]]*Tabela2[[#This Row],[FAVC_consumo_frequente_de_alimentos_mt_caloricos]])</f>
        <v>2</v>
      </c>
      <c r="U362" s="1">
        <f>IF(OR(Tabela2[[#This Row],[MTRANS]]="Walking",Tabela2[[#This Row],[MTRANS]]="Bike"),Tabela2[[#This Row],[FAF_atividade_fisica_frequente_em_horas]]+1,M362)</f>
        <v>1</v>
      </c>
      <c r="V362">
        <f>(Tabela2[[#This Row],[SMOKE]]+Tabela2[[#This Row],[CALC_bebe_alcool_frequentemente]])</f>
        <v>1</v>
      </c>
      <c r="W362" s="8">
        <f>(Tabela2[[#This Row],[Weight]]/(Tabela2[[#This Row],[Height]] ^2))</f>
        <v>21.447567845806283</v>
      </c>
    </row>
    <row r="363" spans="1:23" x14ac:dyDescent="0.25">
      <c r="A363" t="s">
        <v>13</v>
      </c>
      <c r="B363" s="7">
        <v>40</v>
      </c>
      <c r="C363" s="4">
        <v>1.56</v>
      </c>
      <c r="D363" s="7">
        <v>80</v>
      </c>
      <c r="E363">
        <v>1</v>
      </c>
      <c r="F363">
        <v>1</v>
      </c>
      <c r="G363" s="2">
        <v>2</v>
      </c>
      <c r="H363" s="2">
        <v>1</v>
      </c>
      <c r="I363">
        <v>1</v>
      </c>
      <c r="J363">
        <v>0</v>
      </c>
      <c r="K363" s="2">
        <v>2</v>
      </c>
      <c r="L363">
        <v>0</v>
      </c>
      <c r="M363" s="7">
        <v>2</v>
      </c>
      <c r="N363" s="7">
        <v>0</v>
      </c>
      <c r="O363">
        <v>0</v>
      </c>
      <c r="P363" t="s">
        <v>14</v>
      </c>
      <c r="Q363">
        <v>4</v>
      </c>
      <c r="R363" s="8">
        <f>(Tabela2[[#This Row],[FAF_atividade_fisica_frequente_em_horas]]+ 0.1)</f>
        <v>2.1</v>
      </c>
      <c r="S363" s="1">
        <f>(Tabela2[[#This Row],[TUE_tempo_uso_aparelhos_em_horas]]/Tabela2[[#This Row],[FAF_Var]])</f>
        <v>0</v>
      </c>
      <c r="T363">
        <f>(Tabela2[[#This Row],[CAEC_lanche_entre_refeicoes]]*Tabela2[[#This Row],[FAVC_consumo_frequente_de_alimentos_mt_caloricos]])</f>
        <v>1</v>
      </c>
      <c r="U363" s="1">
        <f>IF(OR(Tabela2[[#This Row],[MTRANS]]="Walking",Tabela2[[#This Row],[MTRANS]]="Bike"),Tabela2[[#This Row],[FAF_atividade_fisica_frequente_em_horas]]+1,M363)</f>
        <v>2</v>
      </c>
      <c r="V363">
        <f>(Tabela2[[#This Row],[SMOKE]]+Tabela2[[#This Row],[CALC_bebe_alcool_frequentemente]])</f>
        <v>0</v>
      </c>
      <c r="W363" s="8">
        <f>(Tabela2[[#This Row],[Weight]]/(Tabela2[[#This Row],[Height]] ^2))</f>
        <v>32.873109796186718</v>
      </c>
    </row>
    <row r="364" spans="1:23" x14ac:dyDescent="0.25">
      <c r="A364" t="s">
        <v>13</v>
      </c>
      <c r="B364" s="7">
        <v>37</v>
      </c>
      <c r="C364" s="4">
        <v>1.65</v>
      </c>
      <c r="D364" s="7">
        <v>73</v>
      </c>
      <c r="E364">
        <v>1</v>
      </c>
      <c r="F364">
        <v>0</v>
      </c>
      <c r="G364" s="2">
        <v>3</v>
      </c>
      <c r="H364" s="2">
        <v>3</v>
      </c>
      <c r="I364">
        <v>1</v>
      </c>
      <c r="J364">
        <v>0</v>
      </c>
      <c r="K364" s="2">
        <v>2</v>
      </c>
      <c r="L364">
        <v>0</v>
      </c>
      <c r="M364" s="7">
        <v>1</v>
      </c>
      <c r="N364" s="7">
        <v>0</v>
      </c>
      <c r="O364">
        <v>1</v>
      </c>
      <c r="P364" t="s">
        <v>17</v>
      </c>
      <c r="Q364">
        <v>2</v>
      </c>
      <c r="R364" s="8">
        <f>(Tabela2[[#This Row],[FAF_atividade_fisica_frequente_em_horas]]+ 0.1)</f>
        <v>1.1000000000000001</v>
      </c>
      <c r="S364" s="1">
        <f>(Tabela2[[#This Row],[TUE_tempo_uso_aparelhos_em_horas]]/Tabela2[[#This Row],[FAF_Var]])</f>
        <v>0</v>
      </c>
      <c r="T364">
        <f>(Tabela2[[#This Row],[CAEC_lanche_entre_refeicoes]]*Tabela2[[#This Row],[FAVC_consumo_frequente_de_alimentos_mt_caloricos]])</f>
        <v>0</v>
      </c>
      <c r="U364" s="1">
        <f>IF(OR(Tabela2[[#This Row],[MTRANS]]="Walking",Tabela2[[#This Row],[MTRANS]]="Bike"),Tabela2[[#This Row],[FAF_atividade_fisica_frequente_em_horas]]+1,M364)</f>
        <v>1</v>
      </c>
      <c r="V364">
        <f>(Tabela2[[#This Row],[SMOKE]]+Tabela2[[#This Row],[CALC_bebe_alcool_frequentemente]])</f>
        <v>1</v>
      </c>
      <c r="W364" s="8">
        <f>(Tabela2[[#This Row],[Weight]]/(Tabela2[[#This Row],[Height]] ^2))</f>
        <v>26.813590449954088</v>
      </c>
    </row>
    <row r="365" spans="1:23" x14ac:dyDescent="0.25">
      <c r="A365" t="s">
        <v>15</v>
      </c>
      <c r="B365" s="7">
        <v>19</v>
      </c>
      <c r="C365" s="4">
        <v>1.8</v>
      </c>
      <c r="D365" s="7">
        <v>80</v>
      </c>
      <c r="E365">
        <v>0</v>
      </c>
      <c r="F365">
        <v>1</v>
      </c>
      <c r="G365" s="2">
        <v>2</v>
      </c>
      <c r="H365" s="2">
        <v>1</v>
      </c>
      <c r="I365">
        <v>1</v>
      </c>
      <c r="J365">
        <v>0</v>
      </c>
      <c r="K365" s="2">
        <v>2</v>
      </c>
      <c r="L365">
        <v>0</v>
      </c>
      <c r="M365" s="7">
        <v>2</v>
      </c>
      <c r="N365" s="7">
        <v>1</v>
      </c>
      <c r="O365">
        <v>1</v>
      </c>
      <c r="P365" t="s">
        <v>14</v>
      </c>
      <c r="Q365">
        <v>1</v>
      </c>
      <c r="R365" s="8">
        <f>(Tabela2[[#This Row],[FAF_atividade_fisica_frequente_em_horas]]+ 0.1)</f>
        <v>2.1</v>
      </c>
      <c r="S365" s="1">
        <f>(Tabela2[[#This Row],[TUE_tempo_uso_aparelhos_em_horas]]/Tabela2[[#This Row],[FAF_Var]])</f>
        <v>0.47619047619047616</v>
      </c>
      <c r="T365">
        <f>(Tabela2[[#This Row],[CAEC_lanche_entre_refeicoes]]*Tabela2[[#This Row],[FAVC_consumo_frequente_de_alimentos_mt_caloricos]])</f>
        <v>1</v>
      </c>
      <c r="U365" s="1">
        <f>IF(OR(Tabela2[[#This Row],[MTRANS]]="Walking",Tabela2[[#This Row],[MTRANS]]="Bike"),Tabela2[[#This Row],[FAF_atividade_fisica_frequente_em_horas]]+1,M365)</f>
        <v>2</v>
      </c>
      <c r="V365">
        <f>(Tabela2[[#This Row],[SMOKE]]+Tabela2[[#This Row],[CALC_bebe_alcool_frequentemente]])</f>
        <v>1</v>
      </c>
      <c r="W365" s="8">
        <f>(Tabela2[[#This Row],[Weight]]/(Tabela2[[#This Row],[Height]] ^2))</f>
        <v>24.691358024691358</v>
      </c>
    </row>
    <row r="366" spans="1:23" x14ac:dyDescent="0.25">
      <c r="A366" t="s">
        <v>15</v>
      </c>
      <c r="B366" s="7">
        <v>24</v>
      </c>
      <c r="C366" s="4">
        <v>1.84</v>
      </c>
      <c r="D366" s="7">
        <v>86</v>
      </c>
      <c r="E366">
        <v>1</v>
      </c>
      <c r="F366">
        <v>1</v>
      </c>
      <c r="G366" s="2">
        <v>2</v>
      </c>
      <c r="H366" s="2">
        <v>1</v>
      </c>
      <c r="I366">
        <v>3</v>
      </c>
      <c r="J366">
        <v>0</v>
      </c>
      <c r="K366" s="2">
        <v>2</v>
      </c>
      <c r="L366">
        <v>0</v>
      </c>
      <c r="M366" s="7">
        <v>2</v>
      </c>
      <c r="N366" s="7">
        <v>1</v>
      </c>
      <c r="O366">
        <v>1</v>
      </c>
      <c r="P366" t="s">
        <v>14</v>
      </c>
      <c r="Q366">
        <v>2</v>
      </c>
      <c r="R366" s="8">
        <f>(Tabela2[[#This Row],[FAF_atividade_fisica_frequente_em_horas]]+ 0.1)</f>
        <v>2.1</v>
      </c>
      <c r="S366" s="1">
        <f>(Tabela2[[#This Row],[TUE_tempo_uso_aparelhos_em_horas]]/Tabela2[[#This Row],[FAF_Var]])</f>
        <v>0.47619047619047616</v>
      </c>
      <c r="T366">
        <f>(Tabela2[[#This Row],[CAEC_lanche_entre_refeicoes]]*Tabela2[[#This Row],[FAVC_consumo_frequente_de_alimentos_mt_caloricos]])</f>
        <v>3</v>
      </c>
      <c r="U366" s="1">
        <f>IF(OR(Tabela2[[#This Row],[MTRANS]]="Walking",Tabela2[[#This Row],[MTRANS]]="Bike"),Tabela2[[#This Row],[FAF_atividade_fisica_frequente_em_horas]]+1,M366)</f>
        <v>2</v>
      </c>
      <c r="V366">
        <f>(Tabela2[[#This Row],[SMOKE]]+Tabela2[[#This Row],[CALC_bebe_alcool_frequentemente]])</f>
        <v>1</v>
      </c>
      <c r="W366" s="8">
        <f>(Tabela2[[#This Row],[Weight]]/(Tabela2[[#This Row],[Height]] ^2))</f>
        <v>25.401701323251416</v>
      </c>
    </row>
    <row r="367" spans="1:23" x14ac:dyDescent="0.25">
      <c r="A367" t="s">
        <v>15</v>
      </c>
      <c r="B367" s="7">
        <v>24</v>
      </c>
      <c r="C367" s="4">
        <v>1.7</v>
      </c>
      <c r="D367" s="7">
        <v>68</v>
      </c>
      <c r="E367">
        <v>0</v>
      </c>
      <c r="F367">
        <v>1</v>
      </c>
      <c r="G367" s="2">
        <v>3</v>
      </c>
      <c r="H367" s="2">
        <v>3</v>
      </c>
      <c r="I367">
        <v>1</v>
      </c>
      <c r="J367">
        <v>0</v>
      </c>
      <c r="K367" s="2">
        <v>2</v>
      </c>
      <c r="L367">
        <v>0</v>
      </c>
      <c r="M367" s="7">
        <v>0</v>
      </c>
      <c r="N367" s="7">
        <v>0</v>
      </c>
      <c r="O367">
        <v>1</v>
      </c>
      <c r="P367" t="s">
        <v>18</v>
      </c>
      <c r="Q367">
        <v>1</v>
      </c>
      <c r="R367" s="8">
        <f>(Tabela2[[#This Row],[FAF_atividade_fisica_frequente_em_horas]]+ 0.1)</f>
        <v>0.1</v>
      </c>
      <c r="S367" s="1">
        <f>(Tabela2[[#This Row],[TUE_tempo_uso_aparelhos_em_horas]]/Tabela2[[#This Row],[FAF_Var]])</f>
        <v>0</v>
      </c>
      <c r="T367">
        <f>(Tabela2[[#This Row],[CAEC_lanche_entre_refeicoes]]*Tabela2[[#This Row],[FAVC_consumo_frequente_de_alimentos_mt_caloricos]])</f>
        <v>1</v>
      </c>
      <c r="U367" s="1">
        <f>IF(OR(Tabela2[[#This Row],[MTRANS]]="Walking",Tabela2[[#This Row],[MTRANS]]="Bike"),Tabela2[[#This Row],[FAF_atividade_fisica_frequente_em_horas]]+1,M367)</f>
        <v>0</v>
      </c>
      <c r="V367">
        <f>(Tabela2[[#This Row],[SMOKE]]+Tabela2[[#This Row],[CALC_bebe_alcool_frequentemente]])</f>
        <v>1</v>
      </c>
      <c r="W367" s="8">
        <f>(Tabela2[[#This Row],[Weight]]/(Tabela2[[#This Row],[Height]] ^2))</f>
        <v>23.529411764705884</v>
      </c>
    </row>
    <row r="368" spans="1:23" x14ac:dyDescent="0.25">
      <c r="A368" t="s">
        <v>15</v>
      </c>
      <c r="B368" s="7">
        <v>33</v>
      </c>
      <c r="C368" s="4">
        <v>1.72</v>
      </c>
      <c r="D368" s="7">
        <v>83</v>
      </c>
      <c r="E368">
        <v>1</v>
      </c>
      <c r="F368">
        <v>1</v>
      </c>
      <c r="G368" s="2">
        <v>2</v>
      </c>
      <c r="H368" s="2">
        <v>1</v>
      </c>
      <c r="I368">
        <v>1</v>
      </c>
      <c r="J368">
        <v>0</v>
      </c>
      <c r="K368" s="2">
        <v>2</v>
      </c>
      <c r="L368">
        <v>0</v>
      </c>
      <c r="M368" s="7">
        <v>3</v>
      </c>
      <c r="N368" s="7">
        <v>0</v>
      </c>
      <c r="O368">
        <v>1</v>
      </c>
      <c r="P368" t="s">
        <v>17</v>
      </c>
      <c r="Q368">
        <v>3</v>
      </c>
      <c r="R368" s="8">
        <f>(Tabela2[[#This Row],[FAF_atividade_fisica_frequente_em_horas]]+ 0.1)</f>
        <v>3.1</v>
      </c>
      <c r="S368" s="1">
        <f>(Tabela2[[#This Row],[TUE_tempo_uso_aparelhos_em_horas]]/Tabela2[[#This Row],[FAF_Var]])</f>
        <v>0</v>
      </c>
      <c r="T368">
        <f>(Tabela2[[#This Row],[CAEC_lanche_entre_refeicoes]]*Tabela2[[#This Row],[FAVC_consumo_frequente_de_alimentos_mt_caloricos]])</f>
        <v>1</v>
      </c>
      <c r="U368" s="1">
        <f>IF(OR(Tabela2[[#This Row],[MTRANS]]="Walking",Tabela2[[#This Row],[MTRANS]]="Bike"),Tabela2[[#This Row],[FAF_atividade_fisica_frequente_em_horas]]+1,M368)</f>
        <v>3</v>
      </c>
      <c r="V368">
        <f>(Tabela2[[#This Row],[SMOKE]]+Tabela2[[#This Row],[CALC_bebe_alcool_frequentemente]])</f>
        <v>1</v>
      </c>
      <c r="W368" s="8">
        <f>(Tabela2[[#This Row],[Weight]]/(Tabela2[[#This Row],[Height]] ^2))</f>
        <v>28.055705786911847</v>
      </c>
    </row>
    <row r="369" spans="1:23" x14ac:dyDescent="0.25">
      <c r="A369" t="s">
        <v>13</v>
      </c>
      <c r="B369" s="7">
        <v>40</v>
      </c>
      <c r="C369" s="4">
        <v>1.58</v>
      </c>
      <c r="D369" s="7">
        <v>63</v>
      </c>
      <c r="E369">
        <v>0</v>
      </c>
      <c r="F369">
        <v>1</v>
      </c>
      <c r="G369" s="2">
        <v>2</v>
      </c>
      <c r="H369" s="2">
        <v>3</v>
      </c>
      <c r="I369">
        <v>2</v>
      </c>
      <c r="J369">
        <v>0</v>
      </c>
      <c r="K369" s="2">
        <v>2</v>
      </c>
      <c r="L369">
        <v>0</v>
      </c>
      <c r="M369" s="7">
        <v>3</v>
      </c>
      <c r="N369" s="7">
        <v>1</v>
      </c>
      <c r="O369">
        <v>1</v>
      </c>
      <c r="P369" t="s">
        <v>14</v>
      </c>
      <c r="Q369">
        <v>2</v>
      </c>
      <c r="R369" s="8">
        <f>(Tabela2[[#This Row],[FAF_atividade_fisica_frequente_em_horas]]+ 0.1)</f>
        <v>3.1</v>
      </c>
      <c r="S369" s="1">
        <f>(Tabela2[[#This Row],[TUE_tempo_uso_aparelhos_em_horas]]/Tabela2[[#This Row],[FAF_Var]])</f>
        <v>0.32258064516129031</v>
      </c>
      <c r="T369">
        <f>(Tabela2[[#This Row],[CAEC_lanche_entre_refeicoes]]*Tabela2[[#This Row],[FAVC_consumo_frequente_de_alimentos_mt_caloricos]])</f>
        <v>2</v>
      </c>
      <c r="U369" s="1">
        <f>IF(OR(Tabela2[[#This Row],[MTRANS]]="Walking",Tabela2[[#This Row],[MTRANS]]="Bike"),Tabela2[[#This Row],[FAF_atividade_fisica_frequente_em_horas]]+1,M369)</f>
        <v>3</v>
      </c>
      <c r="V369">
        <f>(Tabela2[[#This Row],[SMOKE]]+Tabela2[[#This Row],[CALC_bebe_alcool_frequentemente]])</f>
        <v>1</v>
      </c>
      <c r="W369" s="8">
        <f>(Tabela2[[#This Row],[Weight]]/(Tabela2[[#This Row],[Height]] ^2))</f>
        <v>25.236340330075304</v>
      </c>
    </row>
    <row r="370" spans="1:23" x14ac:dyDescent="0.25">
      <c r="A370" t="s">
        <v>13</v>
      </c>
      <c r="B370" s="7">
        <v>37</v>
      </c>
      <c r="C370" s="4">
        <v>1.68</v>
      </c>
      <c r="D370" s="7">
        <v>83</v>
      </c>
      <c r="E370">
        <v>1</v>
      </c>
      <c r="F370">
        <v>1</v>
      </c>
      <c r="G370" s="2">
        <v>2</v>
      </c>
      <c r="H370" s="2">
        <v>1</v>
      </c>
      <c r="I370">
        <v>1</v>
      </c>
      <c r="J370">
        <v>0</v>
      </c>
      <c r="K370" s="2">
        <v>2</v>
      </c>
      <c r="L370">
        <v>0</v>
      </c>
      <c r="M370" s="7">
        <v>0</v>
      </c>
      <c r="N370" s="7">
        <v>0</v>
      </c>
      <c r="O370">
        <v>0</v>
      </c>
      <c r="P370" t="s">
        <v>17</v>
      </c>
      <c r="Q370">
        <v>3</v>
      </c>
      <c r="R370" s="8">
        <f>(Tabela2[[#This Row],[FAF_atividade_fisica_frequente_em_horas]]+ 0.1)</f>
        <v>0.1</v>
      </c>
      <c r="S370" s="1">
        <f>(Tabela2[[#This Row],[TUE_tempo_uso_aparelhos_em_horas]]/Tabela2[[#This Row],[FAF_Var]])</f>
        <v>0</v>
      </c>
      <c r="T370">
        <f>(Tabela2[[#This Row],[CAEC_lanche_entre_refeicoes]]*Tabela2[[#This Row],[FAVC_consumo_frequente_de_alimentos_mt_caloricos]])</f>
        <v>1</v>
      </c>
      <c r="U370" s="1">
        <f>IF(OR(Tabela2[[#This Row],[MTRANS]]="Walking",Tabela2[[#This Row],[MTRANS]]="Bike"),Tabela2[[#This Row],[FAF_atividade_fisica_frequente_em_horas]]+1,M370)</f>
        <v>0</v>
      </c>
      <c r="V370">
        <f>(Tabela2[[#This Row],[SMOKE]]+Tabela2[[#This Row],[CALC_bebe_alcool_frequentemente]])</f>
        <v>0</v>
      </c>
      <c r="W370" s="8">
        <f>(Tabela2[[#This Row],[Weight]]/(Tabela2[[#This Row],[Height]] ^2))</f>
        <v>29.407596371882089</v>
      </c>
    </row>
    <row r="371" spans="1:23" x14ac:dyDescent="0.25">
      <c r="A371" t="s">
        <v>15</v>
      </c>
      <c r="B371" s="7">
        <v>20</v>
      </c>
      <c r="C371" s="4">
        <v>1.58</v>
      </c>
      <c r="D371" s="7">
        <v>74</v>
      </c>
      <c r="E371">
        <v>0</v>
      </c>
      <c r="F371">
        <v>0</v>
      </c>
      <c r="G371" s="2">
        <v>3</v>
      </c>
      <c r="H371" s="2">
        <v>3</v>
      </c>
      <c r="I371">
        <v>2</v>
      </c>
      <c r="J371">
        <v>0</v>
      </c>
      <c r="K371" s="2">
        <v>2</v>
      </c>
      <c r="L371">
        <v>0</v>
      </c>
      <c r="M371" s="7">
        <v>3</v>
      </c>
      <c r="N371" s="7">
        <v>1</v>
      </c>
      <c r="O371">
        <v>1</v>
      </c>
      <c r="P371" t="s">
        <v>14</v>
      </c>
      <c r="Q371">
        <v>3</v>
      </c>
      <c r="R371" s="8">
        <f>(Tabela2[[#This Row],[FAF_atividade_fisica_frequente_em_horas]]+ 0.1)</f>
        <v>3.1</v>
      </c>
      <c r="S371" s="1">
        <f>(Tabela2[[#This Row],[TUE_tempo_uso_aparelhos_em_horas]]/Tabela2[[#This Row],[FAF_Var]])</f>
        <v>0.32258064516129031</v>
      </c>
      <c r="T371">
        <f>(Tabela2[[#This Row],[CAEC_lanche_entre_refeicoes]]*Tabela2[[#This Row],[FAVC_consumo_frequente_de_alimentos_mt_caloricos]])</f>
        <v>0</v>
      </c>
      <c r="U371" s="1">
        <f>IF(OR(Tabela2[[#This Row],[MTRANS]]="Walking",Tabela2[[#This Row],[MTRANS]]="Bike"),Tabela2[[#This Row],[FAF_atividade_fisica_frequente_em_horas]]+1,M371)</f>
        <v>3</v>
      </c>
      <c r="V371">
        <f>(Tabela2[[#This Row],[SMOKE]]+Tabela2[[#This Row],[CALC_bebe_alcool_frequentemente]])</f>
        <v>1</v>
      </c>
      <c r="W371" s="8">
        <f>(Tabela2[[#This Row],[Weight]]/(Tabela2[[#This Row],[Height]] ^2))</f>
        <v>29.642685467072578</v>
      </c>
    </row>
    <row r="372" spans="1:23" x14ac:dyDescent="0.25">
      <c r="A372" t="s">
        <v>15</v>
      </c>
      <c r="B372" s="7">
        <v>19</v>
      </c>
      <c r="C372" s="4">
        <v>1.8</v>
      </c>
      <c r="D372" s="7">
        <v>60</v>
      </c>
      <c r="E372">
        <v>0</v>
      </c>
      <c r="F372">
        <v>1</v>
      </c>
      <c r="G372" s="2">
        <v>2</v>
      </c>
      <c r="H372" s="2">
        <v>3</v>
      </c>
      <c r="I372">
        <v>1</v>
      </c>
      <c r="J372">
        <v>0</v>
      </c>
      <c r="K372" s="2">
        <v>1</v>
      </c>
      <c r="L372">
        <v>0</v>
      </c>
      <c r="M372" s="7">
        <v>1</v>
      </c>
      <c r="N372" s="7">
        <v>1</v>
      </c>
      <c r="O372">
        <v>0</v>
      </c>
      <c r="P372" t="s">
        <v>14</v>
      </c>
      <c r="Q372">
        <v>1</v>
      </c>
      <c r="R372" s="8">
        <f>(Tabela2[[#This Row],[FAF_atividade_fisica_frequente_em_horas]]+ 0.1)</f>
        <v>1.1000000000000001</v>
      </c>
      <c r="S372" s="1">
        <f>(Tabela2[[#This Row],[TUE_tempo_uso_aparelhos_em_horas]]/Tabela2[[#This Row],[FAF_Var]])</f>
        <v>0.90909090909090906</v>
      </c>
      <c r="T372">
        <f>(Tabela2[[#This Row],[CAEC_lanche_entre_refeicoes]]*Tabela2[[#This Row],[FAVC_consumo_frequente_de_alimentos_mt_caloricos]])</f>
        <v>1</v>
      </c>
      <c r="U372" s="1">
        <f>IF(OR(Tabela2[[#This Row],[MTRANS]]="Walking",Tabela2[[#This Row],[MTRANS]]="Bike"),Tabela2[[#This Row],[FAF_atividade_fisica_frequente_em_horas]]+1,M372)</f>
        <v>1</v>
      </c>
      <c r="V372">
        <f>(Tabela2[[#This Row],[SMOKE]]+Tabela2[[#This Row],[CALC_bebe_alcool_frequentemente]])</f>
        <v>0</v>
      </c>
      <c r="W372" s="8">
        <f>(Tabela2[[#This Row],[Weight]]/(Tabela2[[#This Row],[Height]] ^2))</f>
        <v>18.518518518518519</v>
      </c>
    </row>
    <row r="373" spans="1:23" x14ac:dyDescent="0.25">
      <c r="A373" t="s">
        <v>15</v>
      </c>
      <c r="B373" s="7">
        <v>17</v>
      </c>
      <c r="C373" s="4">
        <v>1.62</v>
      </c>
      <c r="D373" s="7">
        <v>69</v>
      </c>
      <c r="E373">
        <v>1</v>
      </c>
      <c r="F373">
        <v>1</v>
      </c>
      <c r="G373" s="2">
        <v>3</v>
      </c>
      <c r="H373" s="2">
        <v>1</v>
      </c>
      <c r="I373">
        <v>3</v>
      </c>
      <c r="J373">
        <v>0</v>
      </c>
      <c r="K373" s="2">
        <v>2</v>
      </c>
      <c r="L373">
        <v>1</v>
      </c>
      <c r="M373" s="7">
        <v>1</v>
      </c>
      <c r="N373" s="7">
        <v>2</v>
      </c>
      <c r="O373">
        <v>1</v>
      </c>
      <c r="P373" t="s">
        <v>14</v>
      </c>
      <c r="Q373">
        <v>2</v>
      </c>
      <c r="R373" s="8">
        <f>(Tabela2[[#This Row],[FAF_atividade_fisica_frequente_em_horas]]+ 0.1)</f>
        <v>1.1000000000000001</v>
      </c>
      <c r="S373" s="1">
        <f>(Tabela2[[#This Row],[TUE_tempo_uso_aparelhos_em_horas]]/Tabela2[[#This Row],[FAF_Var]])</f>
        <v>1.8181818181818181</v>
      </c>
      <c r="T373">
        <f>(Tabela2[[#This Row],[CAEC_lanche_entre_refeicoes]]*Tabela2[[#This Row],[FAVC_consumo_frequente_de_alimentos_mt_caloricos]])</f>
        <v>3</v>
      </c>
      <c r="U373" s="1">
        <f>IF(OR(Tabela2[[#This Row],[MTRANS]]="Walking",Tabela2[[#This Row],[MTRANS]]="Bike"),Tabela2[[#This Row],[FAF_atividade_fisica_frequente_em_horas]]+1,M373)</f>
        <v>1</v>
      </c>
      <c r="V373">
        <f>(Tabela2[[#This Row],[SMOKE]]+Tabela2[[#This Row],[CALC_bebe_alcool_frequentemente]])</f>
        <v>1</v>
      </c>
      <c r="W373" s="8">
        <f>(Tabela2[[#This Row],[Weight]]/(Tabela2[[#This Row],[Height]] ^2))</f>
        <v>26.291723822588015</v>
      </c>
    </row>
    <row r="374" spans="1:23" x14ac:dyDescent="0.25">
      <c r="A374" t="s">
        <v>13</v>
      </c>
      <c r="B374" s="7">
        <v>18</v>
      </c>
      <c r="C374" s="4">
        <v>1.62</v>
      </c>
      <c r="D374" s="7">
        <v>58</v>
      </c>
      <c r="E374">
        <v>0</v>
      </c>
      <c r="F374">
        <v>1</v>
      </c>
      <c r="G374" s="2">
        <v>3</v>
      </c>
      <c r="H374" s="2">
        <v>3</v>
      </c>
      <c r="I374">
        <v>1</v>
      </c>
      <c r="J374">
        <v>0</v>
      </c>
      <c r="K374" s="2">
        <v>1</v>
      </c>
      <c r="L374">
        <v>0</v>
      </c>
      <c r="M374" s="7">
        <v>0</v>
      </c>
      <c r="N374" s="7">
        <v>2</v>
      </c>
      <c r="O374">
        <v>0</v>
      </c>
      <c r="P374" t="s">
        <v>17</v>
      </c>
      <c r="Q374">
        <v>1</v>
      </c>
      <c r="R374" s="8">
        <f>(Tabela2[[#This Row],[FAF_atividade_fisica_frequente_em_horas]]+ 0.1)</f>
        <v>0.1</v>
      </c>
      <c r="S374" s="1">
        <f>(Tabela2[[#This Row],[TUE_tempo_uso_aparelhos_em_horas]]/Tabela2[[#This Row],[FAF_Var]])</f>
        <v>20</v>
      </c>
      <c r="T374">
        <f>(Tabela2[[#This Row],[CAEC_lanche_entre_refeicoes]]*Tabela2[[#This Row],[FAVC_consumo_frequente_de_alimentos_mt_caloricos]])</f>
        <v>1</v>
      </c>
      <c r="U374" s="1">
        <f>IF(OR(Tabela2[[#This Row],[MTRANS]]="Walking",Tabela2[[#This Row],[MTRANS]]="Bike"),Tabela2[[#This Row],[FAF_atividade_fisica_frequente_em_horas]]+1,M374)</f>
        <v>0</v>
      </c>
      <c r="V374">
        <f>(Tabela2[[#This Row],[SMOKE]]+Tabela2[[#This Row],[CALC_bebe_alcool_frequentemente]])</f>
        <v>0</v>
      </c>
      <c r="W374" s="8">
        <f>(Tabela2[[#This Row],[Weight]]/(Tabela2[[#This Row],[Height]] ^2))</f>
        <v>22.10028959000152</v>
      </c>
    </row>
    <row r="375" spans="1:23" x14ac:dyDescent="0.25">
      <c r="A375" t="s">
        <v>13</v>
      </c>
      <c r="B375" s="7">
        <v>21</v>
      </c>
      <c r="C375" s="4">
        <v>1.54</v>
      </c>
      <c r="D375" s="7">
        <v>56</v>
      </c>
      <c r="E375">
        <v>0</v>
      </c>
      <c r="F375">
        <v>1</v>
      </c>
      <c r="G375" s="2">
        <v>2</v>
      </c>
      <c r="H375" s="2">
        <v>1</v>
      </c>
      <c r="I375">
        <v>1</v>
      </c>
      <c r="J375">
        <v>0</v>
      </c>
      <c r="K375" s="2">
        <v>2</v>
      </c>
      <c r="L375">
        <v>0</v>
      </c>
      <c r="M375" s="7">
        <v>0</v>
      </c>
      <c r="N375" s="7">
        <v>2</v>
      </c>
      <c r="O375">
        <v>1</v>
      </c>
      <c r="P375" t="s">
        <v>14</v>
      </c>
      <c r="Q375">
        <v>1</v>
      </c>
      <c r="R375" s="8">
        <f>(Tabela2[[#This Row],[FAF_atividade_fisica_frequente_em_horas]]+ 0.1)</f>
        <v>0.1</v>
      </c>
      <c r="S375" s="1">
        <f>(Tabela2[[#This Row],[TUE_tempo_uso_aparelhos_em_horas]]/Tabela2[[#This Row],[FAF_Var]])</f>
        <v>20</v>
      </c>
      <c r="T375">
        <f>(Tabela2[[#This Row],[CAEC_lanche_entre_refeicoes]]*Tabela2[[#This Row],[FAVC_consumo_frequente_de_alimentos_mt_caloricos]])</f>
        <v>1</v>
      </c>
      <c r="U375" s="1">
        <f>IF(OR(Tabela2[[#This Row],[MTRANS]]="Walking",Tabela2[[#This Row],[MTRANS]]="Bike"),Tabela2[[#This Row],[FAF_atividade_fisica_frequente_em_horas]]+1,M375)</f>
        <v>0</v>
      </c>
      <c r="V375">
        <f>(Tabela2[[#This Row],[SMOKE]]+Tabela2[[#This Row],[CALC_bebe_alcool_frequentemente]])</f>
        <v>1</v>
      </c>
      <c r="W375" s="8">
        <f>(Tabela2[[#This Row],[Weight]]/(Tabela2[[#This Row],[Height]] ^2))</f>
        <v>23.61275088547816</v>
      </c>
    </row>
    <row r="376" spans="1:23" x14ac:dyDescent="0.25">
      <c r="A376" t="s">
        <v>15</v>
      </c>
      <c r="B376" s="7">
        <v>18</v>
      </c>
      <c r="C376" s="4">
        <v>1.76</v>
      </c>
      <c r="D376" s="7">
        <v>70</v>
      </c>
      <c r="E376">
        <v>1</v>
      </c>
      <c r="F376">
        <v>1</v>
      </c>
      <c r="G376" s="2">
        <v>2</v>
      </c>
      <c r="H376" s="2">
        <v>4</v>
      </c>
      <c r="I376">
        <v>2</v>
      </c>
      <c r="J376">
        <v>0</v>
      </c>
      <c r="K376" s="2">
        <v>2</v>
      </c>
      <c r="L376">
        <v>0</v>
      </c>
      <c r="M376" s="7">
        <v>2</v>
      </c>
      <c r="N376" s="7">
        <v>1</v>
      </c>
      <c r="O376">
        <v>1</v>
      </c>
      <c r="P376" t="s">
        <v>17</v>
      </c>
      <c r="Q376">
        <v>1</v>
      </c>
      <c r="R376" s="8">
        <f>(Tabela2[[#This Row],[FAF_atividade_fisica_frequente_em_horas]]+ 0.1)</f>
        <v>2.1</v>
      </c>
      <c r="S376" s="1">
        <f>(Tabela2[[#This Row],[TUE_tempo_uso_aparelhos_em_horas]]/Tabela2[[#This Row],[FAF_Var]])</f>
        <v>0.47619047619047616</v>
      </c>
      <c r="T376">
        <f>(Tabela2[[#This Row],[CAEC_lanche_entre_refeicoes]]*Tabela2[[#This Row],[FAVC_consumo_frequente_de_alimentos_mt_caloricos]])</f>
        <v>2</v>
      </c>
      <c r="U376" s="1">
        <f>IF(OR(Tabela2[[#This Row],[MTRANS]]="Walking",Tabela2[[#This Row],[MTRANS]]="Bike"),Tabela2[[#This Row],[FAF_atividade_fisica_frequente_em_horas]]+1,M376)</f>
        <v>2</v>
      </c>
      <c r="V376">
        <f>(Tabela2[[#This Row],[SMOKE]]+Tabela2[[#This Row],[CALC_bebe_alcool_frequentemente]])</f>
        <v>1</v>
      </c>
      <c r="W376" s="8">
        <f>(Tabela2[[#This Row],[Weight]]/(Tabela2[[#This Row],[Height]] ^2))</f>
        <v>22.598140495867771</v>
      </c>
    </row>
    <row r="377" spans="1:23" x14ac:dyDescent="0.25">
      <c r="A377" t="s">
        <v>15</v>
      </c>
      <c r="B377" s="7">
        <v>41</v>
      </c>
      <c r="C377" s="4">
        <v>1.8</v>
      </c>
      <c r="D377" s="7">
        <v>92</v>
      </c>
      <c r="E377">
        <v>1</v>
      </c>
      <c r="F377">
        <v>1</v>
      </c>
      <c r="G377" s="2">
        <v>2</v>
      </c>
      <c r="H377" s="2">
        <v>1</v>
      </c>
      <c r="I377">
        <v>2</v>
      </c>
      <c r="J377">
        <v>0</v>
      </c>
      <c r="K377" s="2">
        <v>3</v>
      </c>
      <c r="L377">
        <v>0</v>
      </c>
      <c r="M377" s="7">
        <v>1</v>
      </c>
      <c r="N377" s="7">
        <v>0</v>
      </c>
      <c r="O377">
        <v>1</v>
      </c>
      <c r="P377" t="s">
        <v>17</v>
      </c>
      <c r="Q377">
        <v>3</v>
      </c>
      <c r="R377" s="8">
        <f>(Tabela2[[#This Row],[FAF_atividade_fisica_frequente_em_horas]]+ 0.1)</f>
        <v>1.1000000000000001</v>
      </c>
      <c r="S377" s="1">
        <f>(Tabela2[[#This Row],[TUE_tempo_uso_aparelhos_em_horas]]/Tabela2[[#This Row],[FAF_Var]])</f>
        <v>0</v>
      </c>
      <c r="T377">
        <f>(Tabela2[[#This Row],[CAEC_lanche_entre_refeicoes]]*Tabela2[[#This Row],[FAVC_consumo_frequente_de_alimentos_mt_caloricos]])</f>
        <v>2</v>
      </c>
      <c r="U377" s="1">
        <f>IF(OR(Tabela2[[#This Row],[MTRANS]]="Walking",Tabela2[[#This Row],[MTRANS]]="Bike"),Tabela2[[#This Row],[FAF_atividade_fisica_frequente_em_horas]]+1,M377)</f>
        <v>1</v>
      </c>
      <c r="V377">
        <f>(Tabela2[[#This Row],[SMOKE]]+Tabela2[[#This Row],[CALC_bebe_alcool_frequentemente]])</f>
        <v>1</v>
      </c>
      <c r="W377" s="8">
        <f>(Tabela2[[#This Row],[Weight]]/(Tabela2[[#This Row],[Height]] ^2))</f>
        <v>28.39506172839506</v>
      </c>
    </row>
    <row r="378" spans="1:23" x14ac:dyDescent="0.25">
      <c r="A378" t="s">
        <v>13</v>
      </c>
      <c r="B378" s="7">
        <v>36</v>
      </c>
      <c r="C378" s="4">
        <v>1.58</v>
      </c>
      <c r="D378" s="7">
        <v>60</v>
      </c>
      <c r="E378">
        <v>1</v>
      </c>
      <c r="F378">
        <v>0</v>
      </c>
      <c r="G378" s="2">
        <v>3</v>
      </c>
      <c r="H378" s="2">
        <v>3</v>
      </c>
      <c r="I378">
        <v>1</v>
      </c>
      <c r="J378">
        <v>0</v>
      </c>
      <c r="K378" s="2">
        <v>1</v>
      </c>
      <c r="L378">
        <v>0</v>
      </c>
      <c r="M378" s="7">
        <v>2</v>
      </c>
      <c r="N378" s="7">
        <v>0</v>
      </c>
      <c r="O378">
        <v>1</v>
      </c>
      <c r="P378" t="s">
        <v>17</v>
      </c>
      <c r="Q378">
        <v>1</v>
      </c>
      <c r="R378" s="8">
        <f>(Tabela2[[#This Row],[FAF_atividade_fisica_frequente_em_horas]]+ 0.1)</f>
        <v>2.1</v>
      </c>
      <c r="S378" s="1">
        <f>(Tabela2[[#This Row],[TUE_tempo_uso_aparelhos_em_horas]]/Tabela2[[#This Row],[FAF_Var]])</f>
        <v>0</v>
      </c>
      <c r="T378">
        <f>(Tabela2[[#This Row],[CAEC_lanche_entre_refeicoes]]*Tabela2[[#This Row],[FAVC_consumo_frequente_de_alimentos_mt_caloricos]])</f>
        <v>0</v>
      </c>
      <c r="U378" s="1">
        <f>IF(OR(Tabela2[[#This Row],[MTRANS]]="Walking",Tabela2[[#This Row],[MTRANS]]="Bike"),Tabela2[[#This Row],[FAF_atividade_fisica_frequente_em_horas]]+1,M378)</f>
        <v>2</v>
      </c>
      <c r="V378">
        <f>(Tabela2[[#This Row],[SMOKE]]+Tabela2[[#This Row],[CALC_bebe_alcool_frequentemente]])</f>
        <v>1</v>
      </c>
      <c r="W378" s="8">
        <f>(Tabela2[[#This Row],[Weight]]/(Tabela2[[#This Row],[Height]] ^2))</f>
        <v>24.034609838166958</v>
      </c>
    </row>
    <row r="379" spans="1:23" x14ac:dyDescent="0.25">
      <c r="A379" t="s">
        <v>15</v>
      </c>
      <c r="B379" s="7">
        <v>18</v>
      </c>
      <c r="C379" s="4">
        <v>1.76</v>
      </c>
      <c r="D379" s="7">
        <v>68</v>
      </c>
      <c r="E379">
        <v>0</v>
      </c>
      <c r="F379">
        <v>0</v>
      </c>
      <c r="G379" s="2">
        <v>2</v>
      </c>
      <c r="H379" s="2">
        <v>4</v>
      </c>
      <c r="I379">
        <v>2</v>
      </c>
      <c r="J379">
        <v>0</v>
      </c>
      <c r="K379" s="2">
        <v>2</v>
      </c>
      <c r="L379">
        <v>0</v>
      </c>
      <c r="M379" s="7">
        <v>1</v>
      </c>
      <c r="N379" s="7">
        <v>1</v>
      </c>
      <c r="O379">
        <v>1</v>
      </c>
      <c r="P379" t="s">
        <v>14</v>
      </c>
      <c r="Q379">
        <v>1</v>
      </c>
      <c r="R379" s="8">
        <f>(Tabela2[[#This Row],[FAF_atividade_fisica_frequente_em_horas]]+ 0.1)</f>
        <v>1.1000000000000001</v>
      </c>
      <c r="S379" s="1">
        <f>(Tabela2[[#This Row],[TUE_tempo_uso_aparelhos_em_horas]]/Tabela2[[#This Row],[FAF_Var]])</f>
        <v>0.90909090909090906</v>
      </c>
      <c r="T379">
        <f>(Tabela2[[#This Row],[CAEC_lanche_entre_refeicoes]]*Tabela2[[#This Row],[FAVC_consumo_frequente_de_alimentos_mt_caloricos]])</f>
        <v>0</v>
      </c>
      <c r="U379" s="1">
        <f>IF(OR(Tabela2[[#This Row],[MTRANS]]="Walking",Tabela2[[#This Row],[MTRANS]]="Bike"),Tabela2[[#This Row],[FAF_atividade_fisica_frequente_em_horas]]+1,M379)</f>
        <v>1</v>
      </c>
      <c r="V379">
        <f>(Tabela2[[#This Row],[SMOKE]]+Tabela2[[#This Row],[CALC_bebe_alcool_frequentemente]])</f>
        <v>1</v>
      </c>
      <c r="W379" s="8">
        <f>(Tabela2[[#This Row],[Weight]]/(Tabela2[[#This Row],[Height]] ^2))</f>
        <v>21.952479338842977</v>
      </c>
    </row>
    <row r="380" spans="1:23" x14ac:dyDescent="0.25">
      <c r="A380" t="s">
        <v>15</v>
      </c>
      <c r="B380" s="7">
        <v>18</v>
      </c>
      <c r="C380" s="4">
        <v>1.73</v>
      </c>
      <c r="D380" s="7">
        <v>70</v>
      </c>
      <c r="E380">
        <v>0</v>
      </c>
      <c r="F380">
        <v>1</v>
      </c>
      <c r="G380" s="2">
        <v>3</v>
      </c>
      <c r="H380" s="2">
        <v>3</v>
      </c>
      <c r="I380">
        <v>2</v>
      </c>
      <c r="J380">
        <v>0</v>
      </c>
      <c r="K380" s="2">
        <v>1</v>
      </c>
      <c r="L380">
        <v>0</v>
      </c>
      <c r="M380" s="7">
        <v>2</v>
      </c>
      <c r="N380" s="7">
        <v>1</v>
      </c>
      <c r="O380">
        <v>1</v>
      </c>
      <c r="P380" t="s">
        <v>14</v>
      </c>
      <c r="Q380">
        <v>1</v>
      </c>
      <c r="R380" s="8">
        <f>(Tabela2[[#This Row],[FAF_atividade_fisica_frequente_em_horas]]+ 0.1)</f>
        <v>2.1</v>
      </c>
      <c r="S380" s="1">
        <f>(Tabela2[[#This Row],[TUE_tempo_uso_aparelhos_em_horas]]/Tabela2[[#This Row],[FAF_Var]])</f>
        <v>0.47619047619047616</v>
      </c>
      <c r="T380">
        <f>(Tabela2[[#This Row],[CAEC_lanche_entre_refeicoes]]*Tabela2[[#This Row],[FAVC_consumo_frequente_de_alimentos_mt_caloricos]])</f>
        <v>2</v>
      </c>
      <c r="U380" s="1">
        <f>IF(OR(Tabela2[[#This Row],[MTRANS]]="Walking",Tabela2[[#This Row],[MTRANS]]="Bike"),Tabela2[[#This Row],[FAF_atividade_fisica_frequente_em_horas]]+1,M380)</f>
        <v>2</v>
      </c>
      <c r="V380">
        <f>(Tabela2[[#This Row],[SMOKE]]+Tabela2[[#This Row],[CALC_bebe_alcool_frequentemente]])</f>
        <v>1</v>
      </c>
      <c r="W380" s="8">
        <f>(Tabela2[[#This Row],[Weight]]/(Tabela2[[#This Row],[Height]] ^2))</f>
        <v>23.388686558187711</v>
      </c>
    </row>
    <row r="381" spans="1:23" x14ac:dyDescent="0.25">
      <c r="A381" t="s">
        <v>15</v>
      </c>
      <c r="B381" s="7">
        <v>17</v>
      </c>
      <c r="C381" s="4">
        <v>1.7</v>
      </c>
      <c r="D381" s="7">
        <v>70</v>
      </c>
      <c r="E381">
        <v>1</v>
      </c>
      <c r="F381">
        <v>1</v>
      </c>
      <c r="G381" s="2">
        <v>3</v>
      </c>
      <c r="H381" s="2">
        <v>3</v>
      </c>
      <c r="I381">
        <v>1</v>
      </c>
      <c r="J381">
        <v>0</v>
      </c>
      <c r="K381" s="2">
        <v>2</v>
      </c>
      <c r="L381">
        <v>0</v>
      </c>
      <c r="M381" s="7">
        <v>0</v>
      </c>
      <c r="N381" s="7">
        <v>2</v>
      </c>
      <c r="O381">
        <v>1</v>
      </c>
      <c r="P381" t="s">
        <v>16</v>
      </c>
      <c r="Q381">
        <v>1</v>
      </c>
      <c r="R381" s="8">
        <f>(Tabela2[[#This Row],[FAF_atividade_fisica_frequente_em_horas]]+ 0.1)</f>
        <v>0.1</v>
      </c>
      <c r="S381" s="1">
        <f>(Tabela2[[#This Row],[TUE_tempo_uso_aparelhos_em_horas]]/Tabela2[[#This Row],[FAF_Var]])</f>
        <v>20</v>
      </c>
      <c r="T381">
        <f>(Tabela2[[#This Row],[CAEC_lanche_entre_refeicoes]]*Tabela2[[#This Row],[FAVC_consumo_frequente_de_alimentos_mt_caloricos]])</f>
        <v>1</v>
      </c>
      <c r="U381" s="1">
        <f>IF(OR(Tabela2[[#This Row],[MTRANS]]="Walking",Tabela2[[#This Row],[MTRANS]]="Bike"),Tabela2[[#This Row],[FAF_atividade_fisica_frequente_em_horas]]+1,M381)</f>
        <v>1</v>
      </c>
      <c r="V381">
        <f>(Tabela2[[#This Row],[SMOKE]]+Tabela2[[#This Row],[CALC_bebe_alcool_frequentemente]])</f>
        <v>1</v>
      </c>
      <c r="W381" s="8">
        <f>(Tabela2[[#This Row],[Weight]]/(Tabela2[[#This Row],[Height]] ^2))</f>
        <v>24.221453287197235</v>
      </c>
    </row>
    <row r="382" spans="1:23" x14ac:dyDescent="0.25">
      <c r="A382" t="s">
        <v>15</v>
      </c>
      <c r="B382" s="7">
        <v>25</v>
      </c>
      <c r="C382" s="4">
        <v>1.7</v>
      </c>
      <c r="D382" s="7">
        <v>83</v>
      </c>
      <c r="E382">
        <v>0</v>
      </c>
      <c r="F382">
        <v>1</v>
      </c>
      <c r="G382" s="2">
        <v>3</v>
      </c>
      <c r="H382" s="2">
        <v>3</v>
      </c>
      <c r="I382">
        <v>1</v>
      </c>
      <c r="J382">
        <v>0</v>
      </c>
      <c r="K382" s="2">
        <v>3</v>
      </c>
      <c r="L382">
        <v>1</v>
      </c>
      <c r="M382" s="7">
        <v>3</v>
      </c>
      <c r="N382" s="7">
        <v>0</v>
      </c>
      <c r="O382">
        <v>0</v>
      </c>
      <c r="P382" t="s">
        <v>18</v>
      </c>
      <c r="Q382">
        <v>3</v>
      </c>
      <c r="R382" s="8">
        <f>(Tabela2[[#This Row],[FAF_atividade_fisica_frequente_em_horas]]+ 0.1)</f>
        <v>3.1</v>
      </c>
      <c r="S382" s="1">
        <f>(Tabela2[[#This Row],[TUE_tempo_uso_aparelhos_em_horas]]/Tabela2[[#This Row],[FAF_Var]])</f>
        <v>0</v>
      </c>
      <c r="T382">
        <f>(Tabela2[[#This Row],[CAEC_lanche_entre_refeicoes]]*Tabela2[[#This Row],[FAVC_consumo_frequente_de_alimentos_mt_caloricos]])</f>
        <v>1</v>
      </c>
      <c r="U382" s="1">
        <f>IF(OR(Tabela2[[#This Row],[MTRANS]]="Walking",Tabela2[[#This Row],[MTRANS]]="Bike"),Tabela2[[#This Row],[FAF_atividade_fisica_frequente_em_horas]]+1,M382)</f>
        <v>3</v>
      </c>
      <c r="V382">
        <f>(Tabela2[[#This Row],[SMOKE]]+Tabela2[[#This Row],[CALC_bebe_alcool_frequentemente]])</f>
        <v>0</v>
      </c>
      <c r="W382" s="8">
        <f>(Tabela2[[#This Row],[Weight]]/(Tabela2[[#This Row],[Height]] ^2))</f>
        <v>28.719723183391007</v>
      </c>
    </row>
    <row r="383" spans="1:23" x14ac:dyDescent="0.25">
      <c r="A383" t="s">
        <v>15</v>
      </c>
      <c r="B383" s="7">
        <v>21</v>
      </c>
      <c r="C383" s="4">
        <v>1.8</v>
      </c>
      <c r="D383" s="7">
        <v>75</v>
      </c>
      <c r="E383">
        <v>1</v>
      </c>
      <c r="F383">
        <v>1</v>
      </c>
      <c r="G383" s="2">
        <v>3</v>
      </c>
      <c r="H383" s="2">
        <v>3</v>
      </c>
      <c r="I383">
        <v>2</v>
      </c>
      <c r="J383">
        <v>0</v>
      </c>
      <c r="K383" s="2">
        <v>1</v>
      </c>
      <c r="L383">
        <v>0</v>
      </c>
      <c r="M383" s="7">
        <v>2</v>
      </c>
      <c r="N383" s="7">
        <v>0</v>
      </c>
      <c r="O383">
        <v>1</v>
      </c>
      <c r="P383" t="s">
        <v>14</v>
      </c>
      <c r="Q383">
        <v>1</v>
      </c>
      <c r="R383" s="8">
        <f>(Tabela2[[#This Row],[FAF_atividade_fisica_frequente_em_horas]]+ 0.1)</f>
        <v>2.1</v>
      </c>
      <c r="S383" s="1">
        <f>(Tabela2[[#This Row],[TUE_tempo_uso_aparelhos_em_horas]]/Tabela2[[#This Row],[FAF_Var]])</f>
        <v>0</v>
      </c>
      <c r="T383">
        <f>(Tabela2[[#This Row],[CAEC_lanche_entre_refeicoes]]*Tabela2[[#This Row],[FAVC_consumo_frequente_de_alimentos_mt_caloricos]])</f>
        <v>2</v>
      </c>
      <c r="U383" s="1">
        <f>IF(OR(Tabela2[[#This Row],[MTRANS]]="Walking",Tabela2[[#This Row],[MTRANS]]="Bike"),Tabela2[[#This Row],[FAF_atividade_fisica_frequente_em_horas]]+1,M383)</f>
        <v>2</v>
      </c>
      <c r="V383">
        <f>(Tabela2[[#This Row],[SMOKE]]+Tabela2[[#This Row],[CALC_bebe_alcool_frequentemente]])</f>
        <v>1</v>
      </c>
      <c r="W383" s="8">
        <f>(Tabela2[[#This Row],[Weight]]/(Tabela2[[#This Row],[Height]] ^2))</f>
        <v>23.148148148148145</v>
      </c>
    </row>
    <row r="384" spans="1:23" x14ac:dyDescent="0.25">
      <c r="A384" t="s">
        <v>13</v>
      </c>
      <c r="B384" s="7">
        <v>29</v>
      </c>
      <c r="C384" s="4">
        <v>1.6</v>
      </c>
      <c r="D384" s="7">
        <v>56</v>
      </c>
      <c r="E384">
        <v>1</v>
      </c>
      <c r="F384">
        <v>0</v>
      </c>
      <c r="G384" s="2">
        <v>2</v>
      </c>
      <c r="H384" s="2">
        <v>3</v>
      </c>
      <c r="I384">
        <v>2</v>
      </c>
      <c r="J384">
        <v>0</v>
      </c>
      <c r="K384" s="2">
        <v>1</v>
      </c>
      <c r="L384">
        <v>0</v>
      </c>
      <c r="M384" s="7">
        <v>0</v>
      </c>
      <c r="N384" s="7">
        <v>1</v>
      </c>
      <c r="O384">
        <v>1</v>
      </c>
      <c r="P384" t="s">
        <v>14</v>
      </c>
      <c r="Q384">
        <v>1</v>
      </c>
      <c r="R384" s="8">
        <f>(Tabela2[[#This Row],[FAF_atividade_fisica_frequente_em_horas]]+ 0.1)</f>
        <v>0.1</v>
      </c>
      <c r="S384" s="1">
        <f>(Tabela2[[#This Row],[TUE_tempo_uso_aparelhos_em_horas]]/Tabela2[[#This Row],[FAF_Var]])</f>
        <v>10</v>
      </c>
      <c r="T384">
        <f>(Tabela2[[#This Row],[CAEC_lanche_entre_refeicoes]]*Tabela2[[#This Row],[FAVC_consumo_frequente_de_alimentos_mt_caloricos]])</f>
        <v>0</v>
      </c>
      <c r="U384" s="1">
        <f>IF(OR(Tabela2[[#This Row],[MTRANS]]="Walking",Tabela2[[#This Row],[MTRANS]]="Bike"),Tabela2[[#This Row],[FAF_atividade_fisica_frequente_em_horas]]+1,M384)</f>
        <v>0</v>
      </c>
      <c r="V384">
        <f>(Tabela2[[#This Row],[SMOKE]]+Tabela2[[#This Row],[CALC_bebe_alcool_frequentemente]])</f>
        <v>1</v>
      </c>
      <c r="W384" s="8">
        <f>(Tabela2[[#This Row],[Weight]]/(Tabela2[[#This Row],[Height]] ^2))</f>
        <v>21.874999999999996</v>
      </c>
    </row>
    <row r="385" spans="1:23" x14ac:dyDescent="0.25">
      <c r="A385" t="s">
        <v>15</v>
      </c>
      <c r="B385" s="7">
        <v>17</v>
      </c>
      <c r="C385" s="4">
        <v>1.7</v>
      </c>
      <c r="D385" s="7">
        <v>98</v>
      </c>
      <c r="E385">
        <v>1</v>
      </c>
      <c r="F385">
        <v>0</v>
      </c>
      <c r="G385" s="2">
        <v>2</v>
      </c>
      <c r="H385" s="2">
        <v>3</v>
      </c>
      <c r="I385">
        <v>1</v>
      </c>
      <c r="J385">
        <v>0</v>
      </c>
      <c r="K385" s="2">
        <v>2</v>
      </c>
      <c r="L385">
        <v>0</v>
      </c>
      <c r="M385" s="7">
        <v>0</v>
      </c>
      <c r="N385" s="7">
        <v>1</v>
      </c>
      <c r="O385">
        <v>1</v>
      </c>
      <c r="P385" t="s">
        <v>17</v>
      </c>
      <c r="Q385">
        <v>4</v>
      </c>
      <c r="R385" s="8">
        <f>(Tabela2[[#This Row],[FAF_atividade_fisica_frequente_em_horas]]+ 0.1)</f>
        <v>0.1</v>
      </c>
      <c r="S385" s="1">
        <f>(Tabela2[[#This Row],[TUE_tempo_uso_aparelhos_em_horas]]/Tabela2[[#This Row],[FAF_Var]])</f>
        <v>10</v>
      </c>
      <c r="T385">
        <f>(Tabela2[[#This Row],[CAEC_lanche_entre_refeicoes]]*Tabela2[[#This Row],[FAVC_consumo_frequente_de_alimentos_mt_caloricos]])</f>
        <v>0</v>
      </c>
      <c r="U385" s="1">
        <f>IF(OR(Tabela2[[#This Row],[MTRANS]]="Walking",Tabela2[[#This Row],[MTRANS]]="Bike"),Tabela2[[#This Row],[FAF_atividade_fisica_frequente_em_horas]]+1,M385)</f>
        <v>0</v>
      </c>
      <c r="V385">
        <f>(Tabela2[[#This Row],[SMOKE]]+Tabela2[[#This Row],[CALC_bebe_alcool_frequentemente]])</f>
        <v>1</v>
      </c>
      <c r="W385" s="8">
        <f>(Tabela2[[#This Row],[Weight]]/(Tabela2[[#This Row],[Height]] ^2))</f>
        <v>33.910034602076131</v>
      </c>
    </row>
    <row r="386" spans="1:23" x14ac:dyDescent="0.25">
      <c r="A386" t="s">
        <v>13</v>
      </c>
      <c r="B386" s="7">
        <v>18</v>
      </c>
      <c r="C386" s="4">
        <v>1.6</v>
      </c>
      <c r="D386" s="7">
        <v>60</v>
      </c>
      <c r="E386">
        <v>1</v>
      </c>
      <c r="F386">
        <v>1</v>
      </c>
      <c r="G386" s="2">
        <v>3</v>
      </c>
      <c r="H386" s="2">
        <v>1</v>
      </c>
      <c r="I386">
        <v>1</v>
      </c>
      <c r="J386">
        <v>0</v>
      </c>
      <c r="K386" s="2">
        <v>1</v>
      </c>
      <c r="L386">
        <v>1</v>
      </c>
      <c r="M386" s="7">
        <v>0</v>
      </c>
      <c r="N386" s="7">
        <v>2</v>
      </c>
      <c r="O386">
        <v>0</v>
      </c>
      <c r="P386" t="s">
        <v>16</v>
      </c>
      <c r="Q386">
        <v>1</v>
      </c>
      <c r="R386" s="8">
        <f>(Tabela2[[#This Row],[FAF_atividade_fisica_frequente_em_horas]]+ 0.1)</f>
        <v>0.1</v>
      </c>
      <c r="S386" s="1">
        <f>(Tabela2[[#This Row],[TUE_tempo_uso_aparelhos_em_horas]]/Tabela2[[#This Row],[FAF_Var]])</f>
        <v>20</v>
      </c>
      <c r="T386">
        <f>(Tabela2[[#This Row],[CAEC_lanche_entre_refeicoes]]*Tabela2[[#This Row],[FAVC_consumo_frequente_de_alimentos_mt_caloricos]])</f>
        <v>1</v>
      </c>
      <c r="U386" s="1">
        <f>IF(OR(Tabela2[[#This Row],[MTRANS]]="Walking",Tabela2[[#This Row],[MTRANS]]="Bike"),Tabela2[[#This Row],[FAF_atividade_fisica_frequente_em_horas]]+1,M386)</f>
        <v>1</v>
      </c>
      <c r="V386">
        <f>(Tabela2[[#This Row],[SMOKE]]+Tabela2[[#This Row],[CALC_bebe_alcool_frequentemente]])</f>
        <v>0</v>
      </c>
      <c r="W386" s="8">
        <f>(Tabela2[[#This Row],[Weight]]/(Tabela2[[#This Row],[Height]] ^2))</f>
        <v>23.437499999999996</v>
      </c>
    </row>
    <row r="387" spans="1:23" x14ac:dyDescent="0.25">
      <c r="A387" t="s">
        <v>13</v>
      </c>
      <c r="B387" s="7">
        <v>16</v>
      </c>
      <c r="C387" s="4">
        <v>1.55</v>
      </c>
      <c r="D387" s="7">
        <v>45</v>
      </c>
      <c r="E387">
        <v>0</v>
      </c>
      <c r="F387">
        <v>1</v>
      </c>
      <c r="G387" s="2">
        <v>2</v>
      </c>
      <c r="H387" s="2">
        <v>3</v>
      </c>
      <c r="I387">
        <v>2</v>
      </c>
      <c r="J387">
        <v>0</v>
      </c>
      <c r="K387" s="2">
        <v>2</v>
      </c>
      <c r="L387">
        <v>0</v>
      </c>
      <c r="M387" s="7">
        <v>1</v>
      </c>
      <c r="N387" s="7">
        <v>1</v>
      </c>
      <c r="O387">
        <v>0</v>
      </c>
      <c r="P387" t="s">
        <v>14</v>
      </c>
      <c r="Q387">
        <v>1</v>
      </c>
      <c r="R387" s="8">
        <f>(Tabela2[[#This Row],[FAF_atividade_fisica_frequente_em_horas]]+ 0.1)</f>
        <v>1.1000000000000001</v>
      </c>
      <c r="S387" s="1">
        <f>(Tabela2[[#This Row],[TUE_tempo_uso_aparelhos_em_horas]]/Tabela2[[#This Row],[FAF_Var]])</f>
        <v>0.90909090909090906</v>
      </c>
      <c r="T387">
        <f>(Tabela2[[#This Row],[CAEC_lanche_entre_refeicoes]]*Tabela2[[#This Row],[FAVC_consumo_frequente_de_alimentos_mt_caloricos]])</f>
        <v>2</v>
      </c>
      <c r="U387" s="1">
        <f>IF(OR(Tabela2[[#This Row],[MTRANS]]="Walking",Tabela2[[#This Row],[MTRANS]]="Bike"),Tabela2[[#This Row],[FAF_atividade_fisica_frequente_em_horas]]+1,M387)</f>
        <v>1</v>
      </c>
      <c r="V387">
        <f>(Tabela2[[#This Row],[SMOKE]]+Tabela2[[#This Row],[CALC_bebe_alcool_frequentemente]])</f>
        <v>0</v>
      </c>
      <c r="W387" s="8">
        <f>(Tabela2[[#This Row],[Weight]]/(Tabela2[[#This Row],[Height]] ^2))</f>
        <v>18.730489073881373</v>
      </c>
    </row>
    <row r="388" spans="1:23" x14ac:dyDescent="0.25">
      <c r="A388" t="s">
        <v>13</v>
      </c>
      <c r="B388" s="7">
        <v>18</v>
      </c>
      <c r="C388" s="4">
        <v>1.59</v>
      </c>
      <c r="D388" s="7">
        <v>53</v>
      </c>
      <c r="E388">
        <v>0</v>
      </c>
      <c r="F388">
        <v>0</v>
      </c>
      <c r="G388" s="2">
        <v>1</v>
      </c>
      <c r="H388" s="2">
        <v>3</v>
      </c>
      <c r="I388">
        <v>1</v>
      </c>
      <c r="J388">
        <v>0</v>
      </c>
      <c r="K388" s="2">
        <v>1</v>
      </c>
      <c r="L388">
        <v>0</v>
      </c>
      <c r="M388" s="7">
        <v>1</v>
      </c>
      <c r="N388" s="7">
        <v>2</v>
      </c>
      <c r="O388">
        <v>0</v>
      </c>
      <c r="P388" t="s">
        <v>14</v>
      </c>
      <c r="Q388">
        <v>1</v>
      </c>
      <c r="R388" s="8">
        <f>(Tabela2[[#This Row],[FAF_atividade_fisica_frequente_em_horas]]+ 0.1)</f>
        <v>1.1000000000000001</v>
      </c>
      <c r="S388" s="1">
        <f>(Tabela2[[#This Row],[TUE_tempo_uso_aparelhos_em_horas]]/Tabela2[[#This Row],[FAF_Var]])</f>
        <v>1.8181818181818181</v>
      </c>
      <c r="T388">
        <f>(Tabela2[[#This Row],[CAEC_lanche_entre_refeicoes]]*Tabela2[[#This Row],[FAVC_consumo_frequente_de_alimentos_mt_caloricos]])</f>
        <v>0</v>
      </c>
      <c r="U388" s="1">
        <f>IF(OR(Tabela2[[#This Row],[MTRANS]]="Walking",Tabela2[[#This Row],[MTRANS]]="Bike"),Tabela2[[#This Row],[FAF_atividade_fisica_frequente_em_horas]]+1,M388)</f>
        <v>1</v>
      </c>
      <c r="V388">
        <f>(Tabela2[[#This Row],[SMOKE]]+Tabela2[[#This Row],[CALC_bebe_alcool_frequentemente]])</f>
        <v>0</v>
      </c>
      <c r="W388" s="8">
        <f>(Tabela2[[#This Row],[Weight]]/(Tabela2[[#This Row],[Height]] ^2))</f>
        <v>20.964360587002094</v>
      </c>
    </row>
    <row r="389" spans="1:23" x14ac:dyDescent="0.25">
      <c r="A389" t="s">
        <v>13</v>
      </c>
      <c r="B389" s="7">
        <v>37</v>
      </c>
      <c r="C389" s="4">
        <v>1.5</v>
      </c>
      <c r="D389" s="7">
        <v>75</v>
      </c>
      <c r="E389">
        <v>1</v>
      </c>
      <c r="F389">
        <v>1</v>
      </c>
      <c r="G389" s="2">
        <v>2</v>
      </c>
      <c r="H389" s="2">
        <v>3</v>
      </c>
      <c r="I389">
        <v>2</v>
      </c>
      <c r="J389">
        <v>0</v>
      </c>
      <c r="K389" s="2">
        <v>1</v>
      </c>
      <c r="L389">
        <v>0</v>
      </c>
      <c r="M389" s="7">
        <v>0</v>
      </c>
      <c r="N389" s="7">
        <v>0</v>
      </c>
      <c r="O389">
        <v>1</v>
      </c>
      <c r="P389" t="s">
        <v>18</v>
      </c>
      <c r="Q389">
        <v>4</v>
      </c>
      <c r="R389" s="8">
        <f>(Tabela2[[#This Row],[FAF_atividade_fisica_frequente_em_horas]]+ 0.1)</f>
        <v>0.1</v>
      </c>
      <c r="S389" s="1">
        <f>(Tabela2[[#This Row],[TUE_tempo_uso_aparelhos_em_horas]]/Tabela2[[#This Row],[FAF_Var]])</f>
        <v>0</v>
      </c>
      <c r="T389">
        <f>(Tabela2[[#This Row],[CAEC_lanche_entre_refeicoes]]*Tabela2[[#This Row],[FAVC_consumo_frequente_de_alimentos_mt_caloricos]])</f>
        <v>2</v>
      </c>
      <c r="U389" s="1">
        <f>IF(OR(Tabela2[[#This Row],[MTRANS]]="Walking",Tabela2[[#This Row],[MTRANS]]="Bike"),Tabela2[[#This Row],[FAF_atividade_fisica_frequente_em_horas]]+1,M389)</f>
        <v>0</v>
      </c>
      <c r="V389">
        <f>(Tabela2[[#This Row],[SMOKE]]+Tabela2[[#This Row],[CALC_bebe_alcool_frequentemente]])</f>
        <v>1</v>
      </c>
      <c r="W389" s="8">
        <f>(Tabela2[[#This Row],[Weight]]/(Tabela2[[#This Row],[Height]] ^2))</f>
        <v>33.333333333333336</v>
      </c>
    </row>
    <row r="390" spans="1:23" x14ac:dyDescent="0.25">
      <c r="A390" t="s">
        <v>15</v>
      </c>
      <c r="B390" s="7">
        <v>18</v>
      </c>
      <c r="C390" s="4">
        <v>1.78</v>
      </c>
      <c r="D390" s="7">
        <v>108</v>
      </c>
      <c r="E390">
        <v>1</v>
      </c>
      <c r="F390">
        <v>0</v>
      </c>
      <c r="G390" s="2">
        <v>2</v>
      </c>
      <c r="H390" s="2">
        <v>3</v>
      </c>
      <c r="I390">
        <v>1</v>
      </c>
      <c r="J390">
        <v>0</v>
      </c>
      <c r="K390" s="2">
        <v>3</v>
      </c>
      <c r="L390">
        <v>0</v>
      </c>
      <c r="M390" s="7">
        <v>1</v>
      </c>
      <c r="N390" s="7">
        <v>0</v>
      </c>
      <c r="O390">
        <v>0</v>
      </c>
      <c r="P390" t="s">
        <v>14</v>
      </c>
      <c r="Q390">
        <v>4</v>
      </c>
      <c r="R390" s="8">
        <f>(Tabela2[[#This Row],[FAF_atividade_fisica_frequente_em_horas]]+ 0.1)</f>
        <v>1.1000000000000001</v>
      </c>
      <c r="S390" s="1">
        <f>(Tabela2[[#This Row],[TUE_tempo_uso_aparelhos_em_horas]]/Tabela2[[#This Row],[FAF_Var]])</f>
        <v>0</v>
      </c>
      <c r="T390">
        <f>(Tabela2[[#This Row],[CAEC_lanche_entre_refeicoes]]*Tabela2[[#This Row],[FAVC_consumo_frequente_de_alimentos_mt_caloricos]])</f>
        <v>0</v>
      </c>
      <c r="U390" s="1">
        <f>IF(OR(Tabela2[[#This Row],[MTRANS]]="Walking",Tabela2[[#This Row],[MTRANS]]="Bike"),Tabela2[[#This Row],[FAF_atividade_fisica_frequente_em_horas]]+1,M390)</f>
        <v>1</v>
      </c>
      <c r="V390">
        <f>(Tabela2[[#This Row],[SMOKE]]+Tabela2[[#This Row],[CALC_bebe_alcool_frequentemente]])</f>
        <v>0</v>
      </c>
      <c r="W390" s="8">
        <f>(Tabela2[[#This Row],[Weight]]/(Tabela2[[#This Row],[Height]] ^2))</f>
        <v>34.086605226612804</v>
      </c>
    </row>
    <row r="391" spans="1:23" x14ac:dyDescent="0.25">
      <c r="A391" t="s">
        <v>13</v>
      </c>
      <c r="B391" s="7">
        <v>16</v>
      </c>
      <c r="C391" s="4">
        <v>1.61</v>
      </c>
      <c r="D391" s="7">
        <v>65</v>
      </c>
      <c r="E391">
        <v>1</v>
      </c>
      <c r="F391">
        <v>1</v>
      </c>
      <c r="G391" s="2">
        <v>1</v>
      </c>
      <c r="H391" s="2">
        <v>1</v>
      </c>
      <c r="I391">
        <v>1</v>
      </c>
      <c r="J391">
        <v>0</v>
      </c>
      <c r="K391" s="2">
        <v>2</v>
      </c>
      <c r="L391">
        <v>0</v>
      </c>
      <c r="M391" s="7">
        <v>0</v>
      </c>
      <c r="N391" s="7">
        <v>0</v>
      </c>
      <c r="O391">
        <v>0</v>
      </c>
      <c r="P391" t="s">
        <v>14</v>
      </c>
      <c r="Q391">
        <v>2</v>
      </c>
      <c r="R391" s="8">
        <f>(Tabela2[[#This Row],[FAF_atividade_fisica_frequente_em_horas]]+ 0.1)</f>
        <v>0.1</v>
      </c>
      <c r="S391" s="1">
        <f>(Tabela2[[#This Row],[TUE_tempo_uso_aparelhos_em_horas]]/Tabela2[[#This Row],[FAF_Var]])</f>
        <v>0</v>
      </c>
      <c r="T391">
        <f>(Tabela2[[#This Row],[CAEC_lanche_entre_refeicoes]]*Tabela2[[#This Row],[FAVC_consumo_frequente_de_alimentos_mt_caloricos]])</f>
        <v>1</v>
      </c>
      <c r="U391" s="1">
        <f>IF(OR(Tabela2[[#This Row],[MTRANS]]="Walking",Tabela2[[#This Row],[MTRANS]]="Bike"),Tabela2[[#This Row],[FAF_atividade_fisica_frequente_em_horas]]+1,M391)</f>
        <v>0</v>
      </c>
      <c r="V391">
        <f>(Tabela2[[#This Row],[SMOKE]]+Tabela2[[#This Row],[CALC_bebe_alcool_frequentemente]])</f>
        <v>0</v>
      </c>
      <c r="W391" s="8">
        <f>(Tabela2[[#This Row],[Weight]]/(Tabela2[[#This Row],[Height]] ^2))</f>
        <v>25.076193048107708</v>
      </c>
    </row>
    <row r="392" spans="1:23" x14ac:dyDescent="0.25">
      <c r="A392" t="s">
        <v>15</v>
      </c>
      <c r="B392" s="7">
        <v>23</v>
      </c>
      <c r="C392" s="4">
        <v>1.71</v>
      </c>
      <c r="D392" s="7">
        <v>50</v>
      </c>
      <c r="E392">
        <v>1</v>
      </c>
      <c r="F392">
        <v>1</v>
      </c>
      <c r="G392" s="2">
        <v>2</v>
      </c>
      <c r="H392" s="2">
        <v>3</v>
      </c>
      <c r="I392">
        <v>3</v>
      </c>
      <c r="J392">
        <v>0</v>
      </c>
      <c r="K392" s="2">
        <v>3</v>
      </c>
      <c r="L392">
        <v>0</v>
      </c>
      <c r="M392" s="7">
        <v>0</v>
      </c>
      <c r="N392" s="7">
        <v>2</v>
      </c>
      <c r="O392">
        <v>0</v>
      </c>
      <c r="P392" t="s">
        <v>14</v>
      </c>
      <c r="Q392">
        <v>0</v>
      </c>
      <c r="R392" s="8">
        <f>(Tabela2[[#This Row],[FAF_atividade_fisica_frequente_em_horas]]+ 0.1)</f>
        <v>0.1</v>
      </c>
      <c r="S392" s="1">
        <f>(Tabela2[[#This Row],[TUE_tempo_uso_aparelhos_em_horas]]/Tabela2[[#This Row],[FAF_Var]])</f>
        <v>20</v>
      </c>
      <c r="T392">
        <f>(Tabela2[[#This Row],[CAEC_lanche_entre_refeicoes]]*Tabela2[[#This Row],[FAVC_consumo_frequente_de_alimentos_mt_caloricos]])</f>
        <v>3</v>
      </c>
      <c r="U392" s="1">
        <f>IF(OR(Tabela2[[#This Row],[MTRANS]]="Walking",Tabela2[[#This Row],[MTRANS]]="Bike"),Tabela2[[#This Row],[FAF_atividade_fisica_frequente_em_horas]]+1,M392)</f>
        <v>0</v>
      </c>
      <c r="V392">
        <f>(Tabela2[[#This Row],[SMOKE]]+Tabela2[[#This Row],[CALC_bebe_alcool_frequentemente]])</f>
        <v>0</v>
      </c>
      <c r="W392" s="8">
        <f>(Tabela2[[#This Row],[Weight]]/(Tabela2[[#This Row],[Height]] ^2))</f>
        <v>17.099278410451081</v>
      </c>
    </row>
    <row r="393" spans="1:23" x14ac:dyDescent="0.25">
      <c r="A393" t="s">
        <v>13</v>
      </c>
      <c r="B393" s="7">
        <v>18</v>
      </c>
      <c r="C393" s="4">
        <v>1.7</v>
      </c>
      <c r="D393" s="7">
        <v>50</v>
      </c>
      <c r="E393">
        <v>0</v>
      </c>
      <c r="F393">
        <v>0</v>
      </c>
      <c r="G393" s="2">
        <v>2</v>
      </c>
      <c r="H393" s="2">
        <v>3</v>
      </c>
      <c r="I393">
        <v>1</v>
      </c>
      <c r="J393">
        <v>0</v>
      </c>
      <c r="K393" s="2">
        <v>2</v>
      </c>
      <c r="L393">
        <v>0</v>
      </c>
      <c r="M393" s="7">
        <v>0</v>
      </c>
      <c r="N393" s="7">
        <v>1</v>
      </c>
      <c r="O393">
        <v>1</v>
      </c>
      <c r="P393" t="s">
        <v>16</v>
      </c>
      <c r="Q393">
        <v>0</v>
      </c>
      <c r="R393" s="8">
        <f>(Tabela2[[#This Row],[FAF_atividade_fisica_frequente_em_horas]]+ 0.1)</f>
        <v>0.1</v>
      </c>
      <c r="S393" s="1">
        <f>(Tabela2[[#This Row],[TUE_tempo_uso_aparelhos_em_horas]]/Tabela2[[#This Row],[FAF_Var]])</f>
        <v>10</v>
      </c>
      <c r="T393">
        <f>(Tabela2[[#This Row],[CAEC_lanche_entre_refeicoes]]*Tabela2[[#This Row],[FAVC_consumo_frequente_de_alimentos_mt_caloricos]])</f>
        <v>0</v>
      </c>
      <c r="U393" s="1">
        <f>IF(OR(Tabela2[[#This Row],[MTRANS]]="Walking",Tabela2[[#This Row],[MTRANS]]="Bike"),Tabela2[[#This Row],[FAF_atividade_fisica_frequente_em_horas]]+1,M393)</f>
        <v>1</v>
      </c>
      <c r="V393">
        <f>(Tabela2[[#This Row],[SMOKE]]+Tabela2[[#This Row],[CALC_bebe_alcool_frequentemente]])</f>
        <v>1</v>
      </c>
      <c r="W393" s="8">
        <f>(Tabela2[[#This Row],[Weight]]/(Tabela2[[#This Row],[Height]] ^2))</f>
        <v>17.301038062283737</v>
      </c>
    </row>
    <row r="394" spans="1:23" x14ac:dyDescent="0.25">
      <c r="A394" t="s">
        <v>15</v>
      </c>
      <c r="B394" s="7">
        <v>18</v>
      </c>
      <c r="C394" s="4">
        <v>1.76</v>
      </c>
      <c r="D394" s="7">
        <v>69.5</v>
      </c>
      <c r="E394">
        <v>0</v>
      </c>
      <c r="F394">
        <v>0</v>
      </c>
      <c r="G394" s="2">
        <v>3</v>
      </c>
      <c r="H394" s="2">
        <v>3</v>
      </c>
      <c r="I394">
        <v>2</v>
      </c>
      <c r="J394">
        <v>0</v>
      </c>
      <c r="K394" s="2">
        <v>3</v>
      </c>
      <c r="L394">
        <v>0</v>
      </c>
      <c r="M394" s="7">
        <v>2</v>
      </c>
      <c r="N394" s="7">
        <v>2</v>
      </c>
      <c r="O394">
        <v>0</v>
      </c>
      <c r="P394" t="s">
        <v>14</v>
      </c>
      <c r="Q394">
        <v>1</v>
      </c>
      <c r="R394" s="8">
        <f>(Tabela2[[#This Row],[FAF_atividade_fisica_frequente_em_horas]]+ 0.1)</f>
        <v>2.1</v>
      </c>
      <c r="S394" s="1">
        <f>(Tabela2[[#This Row],[TUE_tempo_uso_aparelhos_em_horas]]/Tabela2[[#This Row],[FAF_Var]])</f>
        <v>0.95238095238095233</v>
      </c>
      <c r="T394">
        <f>(Tabela2[[#This Row],[CAEC_lanche_entre_refeicoes]]*Tabela2[[#This Row],[FAVC_consumo_frequente_de_alimentos_mt_caloricos]])</f>
        <v>0</v>
      </c>
      <c r="U394" s="1">
        <f>IF(OR(Tabela2[[#This Row],[MTRANS]]="Walking",Tabela2[[#This Row],[MTRANS]]="Bike"),Tabela2[[#This Row],[FAF_atividade_fisica_frequente_em_horas]]+1,M394)</f>
        <v>2</v>
      </c>
      <c r="V394">
        <f>(Tabela2[[#This Row],[SMOKE]]+Tabela2[[#This Row],[CALC_bebe_alcool_frequentemente]])</f>
        <v>0</v>
      </c>
      <c r="W394" s="8">
        <f>(Tabela2[[#This Row],[Weight]]/(Tabela2[[#This Row],[Height]] ^2))</f>
        <v>22.43672520661157</v>
      </c>
    </row>
    <row r="395" spans="1:23" x14ac:dyDescent="0.25">
      <c r="A395" t="s">
        <v>15</v>
      </c>
      <c r="B395" s="7">
        <v>18</v>
      </c>
      <c r="C395" s="4">
        <v>1.7</v>
      </c>
      <c r="D395" s="7">
        <v>78</v>
      </c>
      <c r="E395">
        <v>0</v>
      </c>
      <c r="F395">
        <v>1</v>
      </c>
      <c r="G395" s="2">
        <v>1</v>
      </c>
      <c r="H395" s="2">
        <v>3</v>
      </c>
      <c r="I395">
        <v>1</v>
      </c>
      <c r="J395">
        <v>0</v>
      </c>
      <c r="K395" s="2">
        <v>2</v>
      </c>
      <c r="L395">
        <v>0</v>
      </c>
      <c r="M395" s="7">
        <v>0</v>
      </c>
      <c r="N395" s="7">
        <v>1</v>
      </c>
      <c r="O395">
        <v>1</v>
      </c>
      <c r="P395" t="s">
        <v>14</v>
      </c>
      <c r="Q395">
        <v>3</v>
      </c>
      <c r="R395" s="8">
        <f>(Tabela2[[#This Row],[FAF_atividade_fisica_frequente_em_horas]]+ 0.1)</f>
        <v>0.1</v>
      </c>
      <c r="S395" s="1">
        <f>(Tabela2[[#This Row],[TUE_tempo_uso_aparelhos_em_horas]]/Tabela2[[#This Row],[FAF_Var]])</f>
        <v>10</v>
      </c>
      <c r="T395">
        <f>(Tabela2[[#This Row],[CAEC_lanche_entre_refeicoes]]*Tabela2[[#This Row],[FAVC_consumo_frequente_de_alimentos_mt_caloricos]])</f>
        <v>1</v>
      </c>
      <c r="U395" s="1">
        <f>IF(OR(Tabela2[[#This Row],[MTRANS]]="Walking",Tabela2[[#This Row],[MTRANS]]="Bike"),Tabela2[[#This Row],[FAF_atividade_fisica_frequente_em_horas]]+1,M395)</f>
        <v>0</v>
      </c>
      <c r="V395">
        <f>(Tabela2[[#This Row],[SMOKE]]+Tabela2[[#This Row],[CALC_bebe_alcool_frequentemente]])</f>
        <v>1</v>
      </c>
      <c r="W395" s="8">
        <f>(Tabela2[[#This Row],[Weight]]/(Tabela2[[#This Row],[Height]] ^2))</f>
        <v>26.989619377162633</v>
      </c>
    </row>
    <row r="396" spans="1:23" x14ac:dyDescent="0.25">
      <c r="A396" t="s">
        <v>13</v>
      </c>
      <c r="B396" s="7">
        <v>17</v>
      </c>
      <c r="C396" s="4">
        <v>1.53</v>
      </c>
      <c r="D396" s="7">
        <v>55</v>
      </c>
      <c r="E396">
        <v>1</v>
      </c>
      <c r="F396">
        <v>1</v>
      </c>
      <c r="G396" s="2">
        <v>2</v>
      </c>
      <c r="H396" s="2">
        <v>3</v>
      </c>
      <c r="I396">
        <v>1</v>
      </c>
      <c r="J396">
        <v>0</v>
      </c>
      <c r="K396" s="2">
        <v>1</v>
      </c>
      <c r="L396">
        <v>0</v>
      </c>
      <c r="M396" s="7">
        <v>0</v>
      </c>
      <c r="N396" s="7">
        <v>1</v>
      </c>
      <c r="O396">
        <v>0</v>
      </c>
      <c r="P396" t="s">
        <v>14</v>
      </c>
      <c r="Q396">
        <v>1</v>
      </c>
      <c r="R396" s="8">
        <f>(Tabela2[[#This Row],[FAF_atividade_fisica_frequente_em_horas]]+ 0.1)</f>
        <v>0.1</v>
      </c>
      <c r="S396" s="1">
        <f>(Tabela2[[#This Row],[TUE_tempo_uso_aparelhos_em_horas]]/Tabela2[[#This Row],[FAF_Var]])</f>
        <v>10</v>
      </c>
      <c r="T396">
        <f>(Tabela2[[#This Row],[CAEC_lanche_entre_refeicoes]]*Tabela2[[#This Row],[FAVC_consumo_frequente_de_alimentos_mt_caloricos]])</f>
        <v>1</v>
      </c>
      <c r="U396" s="1">
        <f>IF(OR(Tabela2[[#This Row],[MTRANS]]="Walking",Tabela2[[#This Row],[MTRANS]]="Bike"),Tabela2[[#This Row],[FAF_atividade_fisica_frequente_em_horas]]+1,M396)</f>
        <v>0</v>
      </c>
      <c r="V396">
        <f>(Tabela2[[#This Row],[SMOKE]]+Tabela2[[#This Row],[CALC_bebe_alcool_frequentemente]])</f>
        <v>0</v>
      </c>
      <c r="W396" s="8">
        <f>(Tabela2[[#This Row],[Weight]]/(Tabela2[[#This Row],[Height]] ^2))</f>
        <v>23.495236874706311</v>
      </c>
    </row>
    <row r="397" spans="1:23" x14ac:dyDescent="0.25">
      <c r="A397" t="s">
        <v>13</v>
      </c>
      <c r="B397" s="7">
        <v>20</v>
      </c>
      <c r="C397" s="4">
        <v>1.54</v>
      </c>
      <c r="D397" s="7">
        <v>39</v>
      </c>
      <c r="E397">
        <v>1</v>
      </c>
      <c r="F397">
        <v>1</v>
      </c>
      <c r="G397" s="2">
        <v>1</v>
      </c>
      <c r="H397" s="2">
        <v>3</v>
      </c>
      <c r="I397">
        <v>1</v>
      </c>
      <c r="J397">
        <v>0</v>
      </c>
      <c r="K397" s="2">
        <v>2</v>
      </c>
      <c r="L397">
        <v>0</v>
      </c>
      <c r="M397" s="7">
        <v>3</v>
      </c>
      <c r="N397" s="7">
        <v>2</v>
      </c>
      <c r="O397">
        <v>1</v>
      </c>
      <c r="P397" t="s">
        <v>14</v>
      </c>
      <c r="Q397">
        <v>0</v>
      </c>
      <c r="R397" s="8">
        <f>(Tabela2[[#This Row],[FAF_atividade_fisica_frequente_em_horas]]+ 0.1)</f>
        <v>3.1</v>
      </c>
      <c r="S397" s="1">
        <f>(Tabela2[[#This Row],[TUE_tempo_uso_aparelhos_em_horas]]/Tabela2[[#This Row],[FAF_Var]])</f>
        <v>0.64516129032258063</v>
      </c>
      <c r="T397">
        <f>(Tabela2[[#This Row],[CAEC_lanche_entre_refeicoes]]*Tabela2[[#This Row],[FAVC_consumo_frequente_de_alimentos_mt_caloricos]])</f>
        <v>1</v>
      </c>
      <c r="U397" s="1">
        <f>IF(OR(Tabela2[[#This Row],[MTRANS]]="Walking",Tabela2[[#This Row],[MTRANS]]="Bike"),Tabela2[[#This Row],[FAF_atividade_fisica_frequente_em_horas]]+1,M397)</f>
        <v>3</v>
      </c>
      <c r="V397">
        <f>(Tabela2[[#This Row],[SMOKE]]+Tabela2[[#This Row],[CALC_bebe_alcool_frequentemente]])</f>
        <v>1</v>
      </c>
      <c r="W397" s="8">
        <f>(Tabela2[[#This Row],[Weight]]/(Tabela2[[#This Row],[Height]] ^2))</f>
        <v>16.444594366672288</v>
      </c>
    </row>
    <row r="398" spans="1:23" x14ac:dyDescent="0.25">
      <c r="A398" t="s">
        <v>13</v>
      </c>
      <c r="B398" s="7">
        <v>38</v>
      </c>
      <c r="C398" s="4">
        <v>1.55</v>
      </c>
      <c r="D398" s="7">
        <v>59</v>
      </c>
      <c r="E398">
        <v>1</v>
      </c>
      <c r="F398">
        <v>0</v>
      </c>
      <c r="G398" s="2">
        <v>3</v>
      </c>
      <c r="H398" s="2">
        <v>3</v>
      </c>
      <c r="I398">
        <v>1</v>
      </c>
      <c r="J398">
        <v>0</v>
      </c>
      <c r="K398" s="2">
        <v>1</v>
      </c>
      <c r="L398">
        <v>0</v>
      </c>
      <c r="M398" s="7">
        <v>2</v>
      </c>
      <c r="N398" s="7">
        <v>1</v>
      </c>
      <c r="O398">
        <v>2</v>
      </c>
      <c r="P398" t="s">
        <v>17</v>
      </c>
      <c r="Q398">
        <v>1</v>
      </c>
      <c r="R398" s="8">
        <f>(Tabela2[[#This Row],[FAF_atividade_fisica_frequente_em_horas]]+ 0.1)</f>
        <v>2.1</v>
      </c>
      <c r="S398" s="1">
        <f>(Tabela2[[#This Row],[TUE_tempo_uso_aparelhos_em_horas]]/Tabela2[[#This Row],[FAF_Var]])</f>
        <v>0.47619047619047616</v>
      </c>
      <c r="T398">
        <f>(Tabela2[[#This Row],[CAEC_lanche_entre_refeicoes]]*Tabela2[[#This Row],[FAVC_consumo_frequente_de_alimentos_mt_caloricos]])</f>
        <v>0</v>
      </c>
      <c r="U398" s="1">
        <f>IF(OR(Tabela2[[#This Row],[MTRANS]]="Walking",Tabela2[[#This Row],[MTRANS]]="Bike"),Tabela2[[#This Row],[FAF_atividade_fisica_frequente_em_horas]]+1,M398)</f>
        <v>2</v>
      </c>
      <c r="V398">
        <f>(Tabela2[[#This Row],[SMOKE]]+Tabela2[[#This Row],[CALC_bebe_alcool_frequentemente]])</f>
        <v>2</v>
      </c>
      <c r="W398" s="8">
        <f>(Tabela2[[#This Row],[Weight]]/(Tabela2[[#This Row],[Height]] ^2))</f>
        <v>24.557752341311129</v>
      </c>
    </row>
    <row r="399" spans="1:23" x14ac:dyDescent="0.25">
      <c r="A399" t="s">
        <v>15</v>
      </c>
      <c r="B399" s="7">
        <v>20</v>
      </c>
      <c r="C399" s="4">
        <v>1.66</v>
      </c>
      <c r="D399" s="7">
        <v>60</v>
      </c>
      <c r="E399">
        <v>0</v>
      </c>
      <c r="F399">
        <v>1</v>
      </c>
      <c r="G399" s="2">
        <v>2</v>
      </c>
      <c r="H399" s="2">
        <v>4</v>
      </c>
      <c r="I399">
        <v>2</v>
      </c>
      <c r="J399">
        <v>0</v>
      </c>
      <c r="K399" s="2">
        <v>3</v>
      </c>
      <c r="L399">
        <v>0</v>
      </c>
      <c r="M399" s="7">
        <v>0</v>
      </c>
      <c r="N399" s="7">
        <v>0</v>
      </c>
      <c r="O399">
        <v>0</v>
      </c>
      <c r="P399" t="s">
        <v>14</v>
      </c>
      <c r="Q399">
        <v>1</v>
      </c>
      <c r="R399" s="8">
        <f>(Tabela2[[#This Row],[FAF_atividade_fisica_frequente_em_horas]]+ 0.1)</f>
        <v>0.1</v>
      </c>
      <c r="S399" s="1">
        <f>(Tabela2[[#This Row],[TUE_tempo_uso_aparelhos_em_horas]]/Tabela2[[#This Row],[FAF_Var]])</f>
        <v>0</v>
      </c>
      <c r="T399">
        <f>(Tabela2[[#This Row],[CAEC_lanche_entre_refeicoes]]*Tabela2[[#This Row],[FAVC_consumo_frequente_de_alimentos_mt_caloricos]])</f>
        <v>2</v>
      </c>
      <c r="U399" s="1">
        <f>IF(OR(Tabela2[[#This Row],[MTRANS]]="Walking",Tabela2[[#This Row],[MTRANS]]="Bike"),Tabela2[[#This Row],[FAF_atividade_fisica_frequente_em_horas]]+1,M399)</f>
        <v>0</v>
      </c>
      <c r="V399">
        <f>(Tabela2[[#This Row],[SMOKE]]+Tabela2[[#This Row],[CALC_bebe_alcool_frequentemente]])</f>
        <v>0</v>
      </c>
      <c r="W399" s="8">
        <f>(Tabela2[[#This Row],[Weight]]/(Tabela2[[#This Row],[Height]] ^2))</f>
        <v>21.773842357381334</v>
      </c>
    </row>
    <row r="400" spans="1:23" x14ac:dyDescent="0.25">
      <c r="A400" t="s">
        <v>15</v>
      </c>
      <c r="B400" s="7">
        <v>21</v>
      </c>
      <c r="C400" s="4">
        <v>1.85</v>
      </c>
      <c r="D400" s="7">
        <v>125</v>
      </c>
      <c r="E400">
        <v>1</v>
      </c>
      <c r="F400">
        <v>1</v>
      </c>
      <c r="G400" s="2">
        <v>3</v>
      </c>
      <c r="H400" s="2">
        <v>1</v>
      </c>
      <c r="I400">
        <v>3</v>
      </c>
      <c r="J400">
        <v>0</v>
      </c>
      <c r="K400" s="2">
        <v>1</v>
      </c>
      <c r="L400">
        <v>0</v>
      </c>
      <c r="M400" s="7">
        <v>0</v>
      </c>
      <c r="N400" s="7">
        <v>0</v>
      </c>
      <c r="O400">
        <v>1</v>
      </c>
      <c r="P400" t="s">
        <v>14</v>
      </c>
      <c r="Q400">
        <v>5</v>
      </c>
      <c r="R400" s="8">
        <f>(Tabela2[[#This Row],[FAF_atividade_fisica_frequente_em_horas]]+ 0.1)</f>
        <v>0.1</v>
      </c>
      <c r="S400" s="1">
        <f>(Tabela2[[#This Row],[TUE_tempo_uso_aparelhos_em_horas]]/Tabela2[[#This Row],[FAF_Var]])</f>
        <v>0</v>
      </c>
      <c r="T400">
        <f>(Tabela2[[#This Row],[CAEC_lanche_entre_refeicoes]]*Tabela2[[#This Row],[FAVC_consumo_frequente_de_alimentos_mt_caloricos]])</f>
        <v>3</v>
      </c>
      <c r="U400" s="1">
        <f>IF(OR(Tabela2[[#This Row],[MTRANS]]="Walking",Tabela2[[#This Row],[MTRANS]]="Bike"),Tabela2[[#This Row],[FAF_atividade_fisica_frequente_em_horas]]+1,M400)</f>
        <v>0</v>
      </c>
      <c r="V400">
        <f>(Tabela2[[#This Row],[SMOKE]]+Tabela2[[#This Row],[CALC_bebe_alcool_frequentemente]])</f>
        <v>1</v>
      </c>
      <c r="W400" s="8">
        <f>(Tabela2[[#This Row],[Weight]]/(Tabela2[[#This Row],[Height]] ^2))</f>
        <v>36.523009495982464</v>
      </c>
    </row>
    <row r="401" spans="1:23" x14ac:dyDescent="0.25">
      <c r="A401" t="s">
        <v>15</v>
      </c>
      <c r="B401" s="7">
        <v>21</v>
      </c>
      <c r="C401" s="4">
        <v>1.65</v>
      </c>
      <c r="D401" s="7">
        <v>60</v>
      </c>
      <c r="E401">
        <v>0</v>
      </c>
      <c r="F401">
        <v>0</v>
      </c>
      <c r="G401" s="2">
        <v>3</v>
      </c>
      <c r="H401" s="2">
        <v>1</v>
      </c>
      <c r="I401">
        <v>2</v>
      </c>
      <c r="J401">
        <v>0</v>
      </c>
      <c r="K401" s="2">
        <v>1</v>
      </c>
      <c r="L401">
        <v>0</v>
      </c>
      <c r="M401" s="7">
        <v>0</v>
      </c>
      <c r="N401" s="7">
        <v>0</v>
      </c>
      <c r="O401">
        <v>1</v>
      </c>
      <c r="P401" t="s">
        <v>18</v>
      </c>
      <c r="Q401">
        <v>1</v>
      </c>
      <c r="R401" s="8">
        <f>(Tabela2[[#This Row],[FAF_atividade_fisica_frequente_em_horas]]+ 0.1)</f>
        <v>0.1</v>
      </c>
      <c r="S401" s="1">
        <f>(Tabela2[[#This Row],[TUE_tempo_uso_aparelhos_em_horas]]/Tabela2[[#This Row],[FAF_Var]])</f>
        <v>0</v>
      </c>
      <c r="T401">
        <f>(Tabela2[[#This Row],[CAEC_lanche_entre_refeicoes]]*Tabela2[[#This Row],[FAVC_consumo_frequente_de_alimentos_mt_caloricos]])</f>
        <v>0</v>
      </c>
      <c r="U401" s="1">
        <f>IF(OR(Tabela2[[#This Row],[MTRANS]]="Walking",Tabela2[[#This Row],[MTRANS]]="Bike"),Tabela2[[#This Row],[FAF_atividade_fisica_frequente_em_horas]]+1,M401)</f>
        <v>0</v>
      </c>
      <c r="V401">
        <f>(Tabela2[[#This Row],[SMOKE]]+Tabela2[[#This Row],[CALC_bebe_alcool_frequentemente]])</f>
        <v>1</v>
      </c>
      <c r="W401" s="8">
        <f>(Tabela2[[#This Row],[Weight]]/(Tabela2[[#This Row],[Height]] ^2))</f>
        <v>22.03856749311295</v>
      </c>
    </row>
    <row r="402" spans="1:23" x14ac:dyDescent="0.25">
      <c r="A402" t="s">
        <v>15</v>
      </c>
      <c r="B402" s="7">
        <v>18</v>
      </c>
      <c r="C402" s="4">
        <v>1.65</v>
      </c>
      <c r="D402" s="7">
        <v>70</v>
      </c>
      <c r="E402">
        <v>1</v>
      </c>
      <c r="F402">
        <v>0</v>
      </c>
      <c r="G402" s="2">
        <v>2</v>
      </c>
      <c r="H402" s="2">
        <v>3</v>
      </c>
      <c r="I402">
        <v>1</v>
      </c>
      <c r="J402">
        <v>0</v>
      </c>
      <c r="K402" s="2">
        <v>2</v>
      </c>
      <c r="L402">
        <v>0</v>
      </c>
      <c r="M402" s="7">
        <v>0</v>
      </c>
      <c r="N402" s="7">
        <v>0</v>
      </c>
      <c r="O402">
        <v>0</v>
      </c>
      <c r="P402" t="s">
        <v>14</v>
      </c>
      <c r="Q402">
        <v>2</v>
      </c>
      <c r="R402" s="8">
        <f>(Tabela2[[#This Row],[FAF_atividade_fisica_frequente_em_horas]]+ 0.1)</f>
        <v>0.1</v>
      </c>
      <c r="S402" s="1">
        <f>(Tabela2[[#This Row],[TUE_tempo_uso_aparelhos_em_horas]]/Tabela2[[#This Row],[FAF_Var]])</f>
        <v>0</v>
      </c>
      <c r="T402">
        <f>(Tabela2[[#This Row],[CAEC_lanche_entre_refeicoes]]*Tabela2[[#This Row],[FAVC_consumo_frequente_de_alimentos_mt_caloricos]])</f>
        <v>0</v>
      </c>
      <c r="U402" s="1">
        <f>IF(OR(Tabela2[[#This Row],[MTRANS]]="Walking",Tabela2[[#This Row],[MTRANS]]="Bike"),Tabela2[[#This Row],[FAF_atividade_fisica_frequente_em_horas]]+1,M402)</f>
        <v>0</v>
      </c>
      <c r="V402">
        <f>(Tabela2[[#This Row],[SMOKE]]+Tabela2[[#This Row],[CALC_bebe_alcool_frequentemente]])</f>
        <v>0</v>
      </c>
      <c r="W402" s="8">
        <f>(Tabela2[[#This Row],[Weight]]/(Tabela2[[#This Row],[Height]] ^2))</f>
        <v>25.711662075298442</v>
      </c>
    </row>
    <row r="403" spans="1:23" x14ac:dyDescent="0.25">
      <c r="A403" t="s">
        <v>15</v>
      </c>
      <c r="B403" s="7">
        <v>26</v>
      </c>
      <c r="C403" s="4">
        <v>1.83</v>
      </c>
      <c r="D403" s="7">
        <v>82</v>
      </c>
      <c r="E403">
        <v>0</v>
      </c>
      <c r="F403">
        <v>1</v>
      </c>
      <c r="G403" s="2">
        <v>2</v>
      </c>
      <c r="H403" s="2">
        <v>3</v>
      </c>
      <c r="I403">
        <v>3</v>
      </c>
      <c r="J403">
        <v>0</v>
      </c>
      <c r="K403" s="2">
        <v>2</v>
      </c>
      <c r="L403">
        <v>0</v>
      </c>
      <c r="M403" s="7">
        <v>1</v>
      </c>
      <c r="N403" s="7">
        <v>1</v>
      </c>
      <c r="O403">
        <v>1</v>
      </c>
      <c r="P403" t="s">
        <v>14</v>
      </c>
      <c r="Q403">
        <v>1</v>
      </c>
      <c r="R403" s="8">
        <f>(Tabela2[[#This Row],[FAF_atividade_fisica_frequente_em_horas]]+ 0.1)</f>
        <v>1.1000000000000001</v>
      </c>
      <c r="S403" s="1">
        <f>(Tabela2[[#This Row],[TUE_tempo_uso_aparelhos_em_horas]]/Tabela2[[#This Row],[FAF_Var]])</f>
        <v>0.90909090909090906</v>
      </c>
      <c r="T403">
        <f>(Tabela2[[#This Row],[CAEC_lanche_entre_refeicoes]]*Tabela2[[#This Row],[FAVC_consumo_frequente_de_alimentos_mt_caloricos]])</f>
        <v>3</v>
      </c>
      <c r="U403" s="1">
        <f>IF(OR(Tabela2[[#This Row],[MTRANS]]="Walking",Tabela2[[#This Row],[MTRANS]]="Bike"),Tabela2[[#This Row],[FAF_atividade_fisica_frequente_em_horas]]+1,M403)</f>
        <v>1</v>
      </c>
      <c r="V403">
        <f>(Tabela2[[#This Row],[SMOKE]]+Tabela2[[#This Row],[CALC_bebe_alcool_frequentemente]])</f>
        <v>1</v>
      </c>
      <c r="W403" s="8">
        <f>(Tabela2[[#This Row],[Weight]]/(Tabela2[[#This Row],[Height]] ^2))</f>
        <v>24.485652005136011</v>
      </c>
    </row>
    <row r="404" spans="1:23" x14ac:dyDescent="0.25">
      <c r="A404" t="s">
        <v>15</v>
      </c>
      <c r="B404" s="7">
        <v>27</v>
      </c>
      <c r="C404" s="4">
        <v>1.83</v>
      </c>
      <c r="D404" s="7">
        <v>99</v>
      </c>
      <c r="E404">
        <v>1</v>
      </c>
      <c r="F404">
        <v>1</v>
      </c>
      <c r="G404" s="2">
        <v>3</v>
      </c>
      <c r="H404" s="2">
        <v>1</v>
      </c>
      <c r="I404">
        <v>2</v>
      </c>
      <c r="J404">
        <v>0</v>
      </c>
      <c r="K404" s="2">
        <v>2</v>
      </c>
      <c r="L404">
        <v>0</v>
      </c>
      <c r="M404" s="7">
        <v>2</v>
      </c>
      <c r="N404" s="7">
        <v>1</v>
      </c>
      <c r="O404">
        <v>1</v>
      </c>
      <c r="P404" t="s">
        <v>16</v>
      </c>
      <c r="Q404">
        <v>3</v>
      </c>
      <c r="R404" s="8">
        <f>(Tabela2[[#This Row],[FAF_atividade_fisica_frequente_em_horas]]+ 0.1)</f>
        <v>2.1</v>
      </c>
      <c r="S404" s="1">
        <f>(Tabela2[[#This Row],[TUE_tempo_uso_aparelhos_em_horas]]/Tabela2[[#This Row],[FAF_Var]])</f>
        <v>0.47619047619047616</v>
      </c>
      <c r="T404">
        <f>(Tabela2[[#This Row],[CAEC_lanche_entre_refeicoes]]*Tabela2[[#This Row],[FAVC_consumo_frequente_de_alimentos_mt_caloricos]])</f>
        <v>2</v>
      </c>
      <c r="U404" s="1">
        <f>IF(OR(Tabela2[[#This Row],[MTRANS]]="Walking",Tabela2[[#This Row],[MTRANS]]="Bike"),Tabela2[[#This Row],[FAF_atividade_fisica_frequente_em_horas]]+1,M404)</f>
        <v>3</v>
      </c>
      <c r="V404">
        <f>(Tabela2[[#This Row],[SMOKE]]+Tabela2[[#This Row],[CALC_bebe_alcool_frequentemente]])</f>
        <v>1</v>
      </c>
      <c r="W404" s="8">
        <f>(Tabela2[[#This Row],[Weight]]/(Tabela2[[#This Row],[Height]] ^2))</f>
        <v>29.561945713517868</v>
      </c>
    </row>
    <row r="405" spans="1:23" x14ac:dyDescent="0.25">
      <c r="A405" t="s">
        <v>13</v>
      </c>
      <c r="B405" s="7">
        <v>26</v>
      </c>
      <c r="C405" s="4">
        <v>1.66</v>
      </c>
      <c r="D405" s="7">
        <v>112</v>
      </c>
      <c r="E405">
        <v>1</v>
      </c>
      <c r="F405">
        <v>0</v>
      </c>
      <c r="G405" s="2">
        <v>3</v>
      </c>
      <c r="H405" s="2">
        <v>3</v>
      </c>
      <c r="I405">
        <v>1</v>
      </c>
      <c r="J405">
        <v>0</v>
      </c>
      <c r="K405" s="2">
        <v>3</v>
      </c>
      <c r="L405">
        <v>0</v>
      </c>
      <c r="M405" s="7">
        <v>0</v>
      </c>
      <c r="N405" s="7">
        <v>0</v>
      </c>
      <c r="O405">
        <v>0</v>
      </c>
      <c r="P405" t="s">
        <v>17</v>
      </c>
      <c r="Q405">
        <v>6</v>
      </c>
      <c r="R405" s="8">
        <f>(Tabela2[[#This Row],[FAF_atividade_fisica_frequente_em_horas]]+ 0.1)</f>
        <v>0.1</v>
      </c>
      <c r="S405" s="1">
        <f>(Tabela2[[#This Row],[TUE_tempo_uso_aparelhos_em_horas]]/Tabela2[[#This Row],[FAF_Var]])</f>
        <v>0</v>
      </c>
      <c r="T405">
        <f>(Tabela2[[#This Row],[CAEC_lanche_entre_refeicoes]]*Tabela2[[#This Row],[FAVC_consumo_frequente_de_alimentos_mt_caloricos]])</f>
        <v>0</v>
      </c>
      <c r="U405" s="1">
        <f>IF(OR(Tabela2[[#This Row],[MTRANS]]="Walking",Tabela2[[#This Row],[MTRANS]]="Bike"),Tabela2[[#This Row],[FAF_atividade_fisica_frequente_em_horas]]+1,M405)</f>
        <v>0</v>
      </c>
      <c r="V405">
        <f>(Tabela2[[#This Row],[SMOKE]]+Tabela2[[#This Row],[CALC_bebe_alcool_frequentemente]])</f>
        <v>0</v>
      </c>
      <c r="W405" s="8">
        <f>(Tabela2[[#This Row],[Weight]]/(Tabela2[[#This Row],[Height]] ^2))</f>
        <v>40.644505733778487</v>
      </c>
    </row>
    <row r="406" spans="1:23" x14ac:dyDescent="0.25">
      <c r="A406" t="s">
        <v>15</v>
      </c>
      <c r="B406" s="7">
        <v>34</v>
      </c>
      <c r="C406" s="4">
        <v>1.78</v>
      </c>
      <c r="D406" s="7">
        <v>73</v>
      </c>
      <c r="E406">
        <v>0</v>
      </c>
      <c r="F406">
        <v>1</v>
      </c>
      <c r="G406" s="2">
        <v>2</v>
      </c>
      <c r="H406" s="2">
        <v>3</v>
      </c>
      <c r="I406">
        <v>1</v>
      </c>
      <c r="J406">
        <v>0</v>
      </c>
      <c r="K406" s="2">
        <v>2</v>
      </c>
      <c r="L406">
        <v>0</v>
      </c>
      <c r="M406" s="7">
        <v>3</v>
      </c>
      <c r="N406" s="7">
        <v>1</v>
      </c>
      <c r="O406">
        <v>1</v>
      </c>
      <c r="P406" t="s">
        <v>17</v>
      </c>
      <c r="Q406">
        <v>1</v>
      </c>
      <c r="R406" s="8">
        <f>(Tabela2[[#This Row],[FAF_atividade_fisica_frequente_em_horas]]+ 0.1)</f>
        <v>3.1</v>
      </c>
      <c r="S406" s="1">
        <f>(Tabela2[[#This Row],[TUE_tempo_uso_aparelhos_em_horas]]/Tabela2[[#This Row],[FAF_Var]])</f>
        <v>0.32258064516129031</v>
      </c>
      <c r="T406">
        <f>(Tabela2[[#This Row],[CAEC_lanche_entre_refeicoes]]*Tabela2[[#This Row],[FAVC_consumo_frequente_de_alimentos_mt_caloricos]])</f>
        <v>1</v>
      </c>
      <c r="U406" s="1">
        <f>IF(OR(Tabela2[[#This Row],[MTRANS]]="Walking",Tabela2[[#This Row],[MTRANS]]="Bike"),Tabela2[[#This Row],[FAF_atividade_fisica_frequente_em_horas]]+1,M406)</f>
        <v>3</v>
      </c>
      <c r="V406">
        <f>(Tabela2[[#This Row],[SMOKE]]+Tabela2[[#This Row],[CALC_bebe_alcool_frequentemente]])</f>
        <v>1</v>
      </c>
      <c r="W406" s="8">
        <f>(Tabela2[[#This Row],[Weight]]/(Tabela2[[#This Row],[Height]] ^2))</f>
        <v>23.040020199469762</v>
      </c>
    </row>
    <row r="407" spans="1:23" x14ac:dyDescent="0.25">
      <c r="A407" t="s">
        <v>15</v>
      </c>
      <c r="B407" s="7">
        <v>18</v>
      </c>
      <c r="C407" s="4">
        <v>1.74</v>
      </c>
      <c r="D407" s="7">
        <v>86</v>
      </c>
      <c r="E407">
        <v>0</v>
      </c>
      <c r="F407">
        <v>0</v>
      </c>
      <c r="G407" s="2">
        <v>3</v>
      </c>
      <c r="H407" s="2">
        <v>3</v>
      </c>
      <c r="I407">
        <v>1</v>
      </c>
      <c r="J407">
        <v>0</v>
      </c>
      <c r="K407" s="2">
        <v>2</v>
      </c>
      <c r="L407">
        <v>0</v>
      </c>
      <c r="M407" s="7">
        <v>3</v>
      </c>
      <c r="N407" s="7">
        <v>0</v>
      </c>
      <c r="O407">
        <v>0</v>
      </c>
      <c r="P407" t="s">
        <v>14</v>
      </c>
      <c r="Q407">
        <v>3</v>
      </c>
      <c r="R407" s="8">
        <f>(Tabela2[[#This Row],[FAF_atividade_fisica_frequente_em_horas]]+ 0.1)</f>
        <v>3.1</v>
      </c>
      <c r="S407" s="1">
        <f>(Tabela2[[#This Row],[TUE_tempo_uso_aparelhos_em_horas]]/Tabela2[[#This Row],[FAF_Var]])</f>
        <v>0</v>
      </c>
      <c r="T407">
        <f>(Tabela2[[#This Row],[CAEC_lanche_entre_refeicoes]]*Tabela2[[#This Row],[FAVC_consumo_frequente_de_alimentos_mt_caloricos]])</f>
        <v>0</v>
      </c>
      <c r="U407" s="1">
        <f>IF(OR(Tabela2[[#This Row],[MTRANS]]="Walking",Tabela2[[#This Row],[MTRANS]]="Bike"),Tabela2[[#This Row],[FAF_atividade_fisica_frequente_em_horas]]+1,M407)</f>
        <v>3</v>
      </c>
      <c r="V407">
        <f>(Tabela2[[#This Row],[SMOKE]]+Tabela2[[#This Row],[CALC_bebe_alcool_frequentemente]])</f>
        <v>0</v>
      </c>
      <c r="W407" s="8">
        <f>(Tabela2[[#This Row],[Weight]]/(Tabela2[[#This Row],[Height]] ^2))</f>
        <v>28.405337561104506</v>
      </c>
    </row>
    <row r="408" spans="1:23" x14ac:dyDescent="0.25">
      <c r="A408" t="s">
        <v>15</v>
      </c>
      <c r="B408" s="7">
        <v>33</v>
      </c>
      <c r="C408" s="4">
        <v>1.76</v>
      </c>
      <c r="D408" s="7">
        <v>66.5</v>
      </c>
      <c r="E408">
        <v>0</v>
      </c>
      <c r="F408">
        <v>0</v>
      </c>
      <c r="G408" s="2">
        <v>2</v>
      </c>
      <c r="H408" s="2">
        <v>3</v>
      </c>
      <c r="I408">
        <v>1</v>
      </c>
      <c r="J408">
        <v>0</v>
      </c>
      <c r="K408" s="2">
        <v>2</v>
      </c>
      <c r="L408">
        <v>0</v>
      </c>
      <c r="M408" s="7">
        <v>3</v>
      </c>
      <c r="N408" s="7">
        <v>1</v>
      </c>
      <c r="O408">
        <v>1</v>
      </c>
      <c r="P408" t="s">
        <v>17</v>
      </c>
      <c r="Q408">
        <v>1</v>
      </c>
      <c r="R408" s="8">
        <f>(Tabela2[[#This Row],[FAF_atividade_fisica_frequente_em_horas]]+ 0.1)</f>
        <v>3.1</v>
      </c>
      <c r="S408" s="1">
        <f>(Tabela2[[#This Row],[TUE_tempo_uso_aparelhos_em_horas]]/Tabela2[[#This Row],[FAF_Var]])</f>
        <v>0.32258064516129031</v>
      </c>
      <c r="T408">
        <f>(Tabela2[[#This Row],[CAEC_lanche_entre_refeicoes]]*Tabela2[[#This Row],[FAVC_consumo_frequente_de_alimentos_mt_caloricos]])</f>
        <v>0</v>
      </c>
      <c r="U408" s="1">
        <f>IF(OR(Tabela2[[#This Row],[MTRANS]]="Walking",Tabela2[[#This Row],[MTRANS]]="Bike"),Tabela2[[#This Row],[FAF_atividade_fisica_frequente_em_horas]]+1,M408)</f>
        <v>3</v>
      </c>
      <c r="V408">
        <f>(Tabela2[[#This Row],[SMOKE]]+Tabela2[[#This Row],[CALC_bebe_alcool_frequentemente]])</f>
        <v>1</v>
      </c>
      <c r="W408" s="8">
        <f>(Tabela2[[#This Row],[Weight]]/(Tabela2[[#This Row],[Height]] ^2))</f>
        <v>21.468233471074381</v>
      </c>
    </row>
    <row r="409" spans="1:23" x14ac:dyDescent="0.25">
      <c r="A409" t="s">
        <v>13</v>
      </c>
      <c r="B409" s="7">
        <v>19</v>
      </c>
      <c r="C409" s="4">
        <v>1.51</v>
      </c>
      <c r="D409" s="7">
        <v>59</v>
      </c>
      <c r="E409">
        <v>1</v>
      </c>
      <c r="F409">
        <v>1</v>
      </c>
      <c r="G409" s="2">
        <v>3</v>
      </c>
      <c r="H409" s="2">
        <v>3</v>
      </c>
      <c r="I409">
        <v>2</v>
      </c>
      <c r="J409">
        <v>0</v>
      </c>
      <c r="K409" s="2">
        <v>1</v>
      </c>
      <c r="L409">
        <v>0</v>
      </c>
      <c r="M409" s="7">
        <v>1</v>
      </c>
      <c r="N409" s="7">
        <v>2</v>
      </c>
      <c r="O409">
        <v>1</v>
      </c>
      <c r="P409" t="s">
        <v>16</v>
      </c>
      <c r="Q409">
        <v>2</v>
      </c>
      <c r="R409" s="8">
        <f>(Tabela2[[#This Row],[FAF_atividade_fisica_frequente_em_horas]]+ 0.1)</f>
        <v>1.1000000000000001</v>
      </c>
      <c r="S409" s="1">
        <f>(Tabela2[[#This Row],[TUE_tempo_uso_aparelhos_em_horas]]/Tabela2[[#This Row],[FAF_Var]])</f>
        <v>1.8181818181818181</v>
      </c>
      <c r="T409">
        <f>(Tabela2[[#This Row],[CAEC_lanche_entre_refeicoes]]*Tabela2[[#This Row],[FAVC_consumo_frequente_de_alimentos_mt_caloricos]])</f>
        <v>2</v>
      </c>
      <c r="U409" s="1">
        <f>IF(OR(Tabela2[[#This Row],[MTRANS]]="Walking",Tabela2[[#This Row],[MTRANS]]="Bike"),Tabela2[[#This Row],[FAF_atividade_fisica_frequente_em_horas]]+1,M409)</f>
        <v>2</v>
      </c>
      <c r="V409">
        <f>(Tabela2[[#This Row],[SMOKE]]+Tabela2[[#This Row],[CALC_bebe_alcool_frequentemente]])</f>
        <v>1</v>
      </c>
      <c r="W409" s="8">
        <f>(Tabela2[[#This Row],[Weight]]/(Tabela2[[#This Row],[Height]] ^2))</f>
        <v>25.876058067628612</v>
      </c>
    </row>
    <row r="410" spans="1:23" x14ac:dyDescent="0.25">
      <c r="A410" t="s">
        <v>15</v>
      </c>
      <c r="B410" s="7">
        <v>20</v>
      </c>
      <c r="C410" s="4">
        <v>1.81</v>
      </c>
      <c r="D410" s="7">
        <v>79</v>
      </c>
      <c r="E410">
        <v>1</v>
      </c>
      <c r="F410">
        <v>0</v>
      </c>
      <c r="G410" s="2">
        <v>3</v>
      </c>
      <c r="H410" s="2">
        <v>1</v>
      </c>
      <c r="I410">
        <v>1</v>
      </c>
      <c r="J410">
        <v>0</v>
      </c>
      <c r="K410" s="2">
        <v>2</v>
      </c>
      <c r="L410">
        <v>0</v>
      </c>
      <c r="M410" s="7">
        <v>0</v>
      </c>
      <c r="N410" s="7">
        <v>0</v>
      </c>
      <c r="O410">
        <v>1</v>
      </c>
      <c r="P410" t="s">
        <v>14</v>
      </c>
      <c r="Q410">
        <v>1</v>
      </c>
      <c r="R410" s="8">
        <f>(Tabela2[[#This Row],[FAF_atividade_fisica_frequente_em_horas]]+ 0.1)</f>
        <v>0.1</v>
      </c>
      <c r="S410" s="1">
        <f>(Tabela2[[#This Row],[TUE_tempo_uso_aparelhos_em_horas]]/Tabela2[[#This Row],[FAF_Var]])</f>
        <v>0</v>
      </c>
      <c r="T410">
        <f>(Tabela2[[#This Row],[CAEC_lanche_entre_refeicoes]]*Tabela2[[#This Row],[FAVC_consumo_frequente_de_alimentos_mt_caloricos]])</f>
        <v>0</v>
      </c>
      <c r="U410" s="1">
        <f>IF(OR(Tabela2[[#This Row],[MTRANS]]="Walking",Tabela2[[#This Row],[MTRANS]]="Bike"),Tabela2[[#This Row],[FAF_atividade_fisica_frequente_em_horas]]+1,M410)</f>
        <v>0</v>
      </c>
      <c r="V410">
        <f>(Tabela2[[#This Row],[SMOKE]]+Tabela2[[#This Row],[CALC_bebe_alcool_frequentemente]])</f>
        <v>1</v>
      </c>
      <c r="W410" s="8">
        <f>(Tabela2[[#This Row],[Weight]]/(Tabela2[[#This Row],[Height]] ^2))</f>
        <v>24.114038033027075</v>
      </c>
    </row>
    <row r="411" spans="1:23" x14ac:dyDescent="0.25">
      <c r="A411" t="s">
        <v>13</v>
      </c>
      <c r="B411" s="7">
        <v>33</v>
      </c>
      <c r="C411" s="4">
        <v>1.55</v>
      </c>
      <c r="D411" s="7">
        <v>55</v>
      </c>
      <c r="E411">
        <v>1</v>
      </c>
      <c r="F411">
        <v>1</v>
      </c>
      <c r="G411" s="2">
        <v>3</v>
      </c>
      <c r="H411" s="2">
        <v>1</v>
      </c>
      <c r="I411">
        <v>1</v>
      </c>
      <c r="J411">
        <v>0</v>
      </c>
      <c r="K411" s="2">
        <v>3</v>
      </c>
      <c r="L411">
        <v>0</v>
      </c>
      <c r="M411" s="7">
        <v>2</v>
      </c>
      <c r="N411" s="7">
        <v>1</v>
      </c>
      <c r="O411">
        <v>1</v>
      </c>
      <c r="P411" t="s">
        <v>14</v>
      </c>
      <c r="Q411">
        <v>1</v>
      </c>
      <c r="R411" s="8">
        <f>(Tabela2[[#This Row],[FAF_atividade_fisica_frequente_em_horas]]+ 0.1)</f>
        <v>2.1</v>
      </c>
      <c r="S411" s="1">
        <f>(Tabela2[[#This Row],[TUE_tempo_uso_aparelhos_em_horas]]/Tabela2[[#This Row],[FAF_Var]])</f>
        <v>0.47619047619047616</v>
      </c>
      <c r="T411">
        <f>(Tabela2[[#This Row],[CAEC_lanche_entre_refeicoes]]*Tabela2[[#This Row],[FAVC_consumo_frequente_de_alimentos_mt_caloricos]])</f>
        <v>1</v>
      </c>
      <c r="U411" s="1">
        <f>IF(OR(Tabela2[[#This Row],[MTRANS]]="Walking",Tabela2[[#This Row],[MTRANS]]="Bike"),Tabela2[[#This Row],[FAF_atividade_fisica_frequente_em_horas]]+1,M411)</f>
        <v>2</v>
      </c>
      <c r="V411">
        <f>(Tabela2[[#This Row],[SMOKE]]+Tabela2[[#This Row],[CALC_bebe_alcool_frequentemente]])</f>
        <v>1</v>
      </c>
      <c r="W411" s="8">
        <f>(Tabela2[[#This Row],[Weight]]/(Tabela2[[#This Row],[Height]] ^2))</f>
        <v>22.892819979188342</v>
      </c>
    </row>
    <row r="412" spans="1:23" x14ac:dyDescent="0.25">
      <c r="A412" t="s">
        <v>15</v>
      </c>
      <c r="B412" s="7">
        <v>20</v>
      </c>
      <c r="C412" s="4">
        <v>1.83</v>
      </c>
      <c r="D412" s="7">
        <v>66</v>
      </c>
      <c r="E412">
        <v>0</v>
      </c>
      <c r="F412">
        <v>0</v>
      </c>
      <c r="G412" s="2">
        <v>2</v>
      </c>
      <c r="H412" s="2">
        <v>3</v>
      </c>
      <c r="I412">
        <v>1</v>
      </c>
      <c r="J412">
        <v>0</v>
      </c>
      <c r="K412" s="2">
        <v>2</v>
      </c>
      <c r="L412">
        <v>0</v>
      </c>
      <c r="M412" s="7">
        <v>1</v>
      </c>
      <c r="N412" s="7">
        <v>1</v>
      </c>
      <c r="O412">
        <v>0</v>
      </c>
      <c r="P412" t="s">
        <v>14</v>
      </c>
      <c r="Q412">
        <v>1</v>
      </c>
      <c r="R412" s="8">
        <f>(Tabela2[[#This Row],[FAF_atividade_fisica_frequente_em_horas]]+ 0.1)</f>
        <v>1.1000000000000001</v>
      </c>
      <c r="S412" s="1">
        <f>(Tabela2[[#This Row],[TUE_tempo_uso_aparelhos_em_horas]]/Tabela2[[#This Row],[FAF_Var]])</f>
        <v>0.90909090909090906</v>
      </c>
      <c r="T412">
        <f>(Tabela2[[#This Row],[CAEC_lanche_entre_refeicoes]]*Tabela2[[#This Row],[FAVC_consumo_frequente_de_alimentos_mt_caloricos]])</f>
        <v>0</v>
      </c>
      <c r="U412" s="1">
        <f>IF(OR(Tabela2[[#This Row],[MTRANS]]="Walking",Tabela2[[#This Row],[MTRANS]]="Bike"),Tabela2[[#This Row],[FAF_atividade_fisica_frequente_em_horas]]+1,M412)</f>
        <v>1</v>
      </c>
      <c r="V412">
        <f>(Tabela2[[#This Row],[SMOKE]]+Tabela2[[#This Row],[CALC_bebe_alcool_frequentemente]])</f>
        <v>0</v>
      </c>
      <c r="W412" s="8">
        <f>(Tabela2[[#This Row],[Weight]]/(Tabela2[[#This Row],[Height]] ^2))</f>
        <v>19.707963809011911</v>
      </c>
    </row>
    <row r="413" spans="1:23" x14ac:dyDescent="0.25">
      <c r="A413" t="s">
        <v>13</v>
      </c>
      <c r="B413" s="7">
        <v>20</v>
      </c>
      <c r="C413" s="4">
        <v>1.6</v>
      </c>
      <c r="D413" s="7">
        <v>65</v>
      </c>
      <c r="E413">
        <v>0</v>
      </c>
      <c r="F413">
        <v>0</v>
      </c>
      <c r="G413" s="2">
        <v>3</v>
      </c>
      <c r="H413" s="2">
        <v>3</v>
      </c>
      <c r="I413">
        <v>1</v>
      </c>
      <c r="J413">
        <v>0</v>
      </c>
      <c r="K413" s="2">
        <v>2</v>
      </c>
      <c r="L413">
        <v>1</v>
      </c>
      <c r="M413" s="7">
        <v>0</v>
      </c>
      <c r="N413" s="7">
        <v>0</v>
      </c>
      <c r="O413">
        <v>1</v>
      </c>
      <c r="P413" t="s">
        <v>14</v>
      </c>
      <c r="Q413">
        <v>2</v>
      </c>
      <c r="R413" s="8">
        <f>(Tabela2[[#This Row],[FAF_atividade_fisica_frequente_em_horas]]+ 0.1)</f>
        <v>0.1</v>
      </c>
      <c r="S413" s="1">
        <f>(Tabela2[[#This Row],[TUE_tempo_uso_aparelhos_em_horas]]/Tabela2[[#This Row],[FAF_Var]])</f>
        <v>0</v>
      </c>
      <c r="T413">
        <f>(Tabela2[[#This Row],[CAEC_lanche_entre_refeicoes]]*Tabela2[[#This Row],[FAVC_consumo_frequente_de_alimentos_mt_caloricos]])</f>
        <v>0</v>
      </c>
      <c r="U413" s="1">
        <f>IF(OR(Tabela2[[#This Row],[MTRANS]]="Walking",Tabela2[[#This Row],[MTRANS]]="Bike"),Tabela2[[#This Row],[FAF_atividade_fisica_frequente_em_horas]]+1,M413)</f>
        <v>0</v>
      </c>
      <c r="V413">
        <f>(Tabela2[[#This Row],[SMOKE]]+Tabela2[[#This Row],[CALC_bebe_alcool_frequentemente]])</f>
        <v>1</v>
      </c>
      <c r="W413" s="8">
        <f>(Tabela2[[#This Row],[Weight]]/(Tabela2[[#This Row],[Height]] ^2))</f>
        <v>25.390624999999996</v>
      </c>
    </row>
    <row r="414" spans="1:23" x14ac:dyDescent="0.25">
      <c r="A414" t="s">
        <v>15</v>
      </c>
      <c r="B414" s="7">
        <v>33</v>
      </c>
      <c r="C414" s="4">
        <v>1.85</v>
      </c>
      <c r="D414" s="7">
        <v>85</v>
      </c>
      <c r="E414">
        <v>0</v>
      </c>
      <c r="F414">
        <v>1</v>
      </c>
      <c r="G414" s="2">
        <v>2</v>
      </c>
      <c r="H414" s="2">
        <v>3</v>
      </c>
      <c r="I414">
        <v>2</v>
      </c>
      <c r="J414">
        <v>0</v>
      </c>
      <c r="K414" s="2">
        <v>2</v>
      </c>
      <c r="L414">
        <v>0</v>
      </c>
      <c r="M414" s="7">
        <v>1</v>
      </c>
      <c r="N414" s="7">
        <v>0</v>
      </c>
      <c r="O414">
        <v>1</v>
      </c>
      <c r="P414" t="s">
        <v>17</v>
      </c>
      <c r="Q414">
        <v>1</v>
      </c>
      <c r="R414" s="8">
        <f>(Tabela2[[#This Row],[FAF_atividade_fisica_frequente_em_horas]]+ 0.1)</f>
        <v>1.1000000000000001</v>
      </c>
      <c r="S414" s="1">
        <f>(Tabela2[[#This Row],[TUE_tempo_uso_aparelhos_em_horas]]/Tabela2[[#This Row],[FAF_Var]])</f>
        <v>0</v>
      </c>
      <c r="T414">
        <f>(Tabela2[[#This Row],[CAEC_lanche_entre_refeicoes]]*Tabela2[[#This Row],[FAVC_consumo_frequente_de_alimentos_mt_caloricos]])</f>
        <v>2</v>
      </c>
      <c r="U414" s="1">
        <f>IF(OR(Tabela2[[#This Row],[MTRANS]]="Walking",Tabela2[[#This Row],[MTRANS]]="Bike"),Tabela2[[#This Row],[FAF_atividade_fisica_frequente_em_horas]]+1,M414)</f>
        <v>1</v>
      </c>
      <c r="V414">
        <f>(Tabela2[[#This Row],[SMOKE]]+Tabela2[[#This Row],[CALC_bebe_alcool_frequentemente]])</f>
        <v>1</v>
      </c>
      <c r="W414" s="8">
        <f>(Tabela2[[#This Row],[Weight]]/(Tabela2[[#This Row],[Height]] ^2))</f>
        <v>24.835646457268076</v>
      </c>
    </row>
    <row r="415" spans="1:23" x14ac:dyDescent="0.25">
      <c r="A415" t="s">
        <v>15</v>
      </c>
      <c r="B415" s="7">
        <v>33</v>
      </c>
      <c r="C415" s="4">
        <v>1.75</v>
      </c>
      <c r="D415" s="7">
        <v>85</v>
      </c>
      <c r="E415">
        <v>0</v>
      </c>
      <c r="F415">
        <v>0</v>
      </c>
      <c r="G415" s="2">
        <v>2</v>
      </c>
      <c r="H415" s="2">
        <v>3</v>
      </c>
      <c r="I415">
        <v>1</v>
      </c>
      <c r="J415">
        <v>0</v>
      </c>
      <c r="K415" s="2">
        <v>2</v>
      </c>
      <c r="L415">
        <v>1</v>
      </c>
      <c r="M415" s="7">
        <v>1</v>
      </c>
      <c r="N415" s="7">
        <v>0</v>
      </c>
      <c r="O415">
        <v>1</v>
      </c>
      <c r="P415" t="s">
        <v>14</v>
      </c>
      <c r="Q415">
        <v>3</v>
      </c>
      <c r="R415" s="8">
        <f>(Tabela2[[#This Row],[FAF_atividade_fisica_frequente_em_horas]]+ 0.1)</f>
        <v>1.1000000000000001</v>
      </c>
      <c r="S415" s="1">
        <f>(Tabela2[[#This Row],[TUE_tempo_uso_aparelhos_em_horas]]/Tabela2[[#This Row],[FAF_Var]])</f>
        <v>0</v>
      </c>
      <c r="T415">
        <f>(Tabela2[[#This Row],[CAEC_lanche_entre_refeicoes]]*Tabela2[[#This Row],[FAVC_consumo_frequente_de_alimentos_mt_caloricos]])</f>
        <v>0</v>
      </c>
      <c r="U415" s="1">
        <f>IF(OR(Tabela2[[#This Row],[MTRANS]]="Walking",Tabela2[[#This Row],[MTRANS]]="Bike"),Tabela2[[#This Row],[FAF_atividade_fisica_frequente_em_horas]]+1,M415)</f>
        <v>1</v>
      </c>
      <c r="V415">
        <f>(Tabela2[[#This Row],[SMOKE]]+Tabela2[[#This Row],[CALC_bebe_alcool_frequentemente]])</f>
        <v>1</v>
      </c>
      <c r="W415" s="8">
        <f>(Tabela2[[#This Row],[Weight]]/(Tabela2[[#This Row],[Height]] ^2))</f>
        <v>27.755102040816325</v>
      </c>
    </row>
    <row r="416" spans="1:23" x14ac:dyDescent="0.25">
      <c r="A416" t="s">
        <v>15</v>
      </c>
      <c r="B416" s="7">
        <v>33</v>
      </c>
      <c r="C416" s="4">
        <v>1.83</v>
      </c>
      <c r="D416" s="7">
        <v>113</v>
      </c>
      <c r="E416">
        <v>1</v>
      </c>
      <c r="F416">
        <v>1</v>
      </c>
      <c r="G416" s="2">
        <v>2</v>
      </c>
      <c r="H416" s="2">
        <v>1</v>
      </c>
      <c r="I416">
        <v>3</v>
      </c>
      <c r="J416">
        <v>0</v>
      </c>
      <c r="K416" s="2">
        <v>2</v>
      </c>
      <c r="L416">
        <v>0</v>
      </c>
      <c r="M416" s="7">
        <v>1</v>
      </c>
      <c r="N416" s="7">
        <v>2</v>
      </c>
      <c r="O416">
        <v>2</v>
      </c>
      <c r="P416" t="s">
        <v>17</v>
      </c>
      <c r="Q416">
        <v>4</v>
      </c>
      <c r="R416" s="8">
        <f>(Tabela2[[#This Row],[FAF_atividade_fisica_frequente_em_horas]]+ 0.1)</f>
        <v>1.1000000000000001</v>
      </c>
      <c r="S416" s="1">
        <f>(Tabela2[[#This Row],[TUE_tempo_uso_aparelhos_em_horas]]/Tabela2[[#This Row],[FAF_Var]])</f>
        <v>1.8181818181818181</v>
      </c>
      <c r="T416">
        <f>(Tabela2[[#This Row],[CAEC_lanche_entre_refeicoes]]*Tabela2[[#This Row],[FAVC_consumo_frequente_de_alimentos_mt_caloricos]])</f>
        <v>3</v>
      </c>
      <c r="U416" s="1">
        <f>IF(OR(Tabela2[[#This Row],[MTRANS]]="Walking",Tabela2[[#This Row],[MTRANS]]="Bike"),Tabela2[[#This Row],[FAF_atividade_fisica_frequente_em_horas]]+1,M416)</f>
        <v>1</v>
      </c>
      <c r="V416">
        <f>(Tabela2[[#This Row],[SMOKE]]+Tabela2[[#This Row],[CALC_bebe_alcool_frequentemente]])</f>
        <v>2</v>
      </c>
      <c r="W416" s="8">
        <f>(Tabela2[[#This Row],[Weight]]/(Tabela2[[#This Row],[Height]] ^2))</f>
        <v>33.742422885126452</v>
      </c>
    </row>
    <row r="417" spans="1:23" x14ac:dyDescent="0.25">
      <c r="A417" t="s">
        <v>15</v>
      </c>
      <c r="B417" s="7">
        <v>14</v>
      </c>
      <c r="C417" s="4">
        <v>1.71</v>
      </c>
      <c r="D417" s="7">
        <v>72</v>
      </c>
      <c r="E417">
        <v>1</v>
      </c>
      <c r="F417">
        <v>1</v>
      </c>
      <c r="G417" s="2">
        <v>3</v>
      </c>
      <c r="H417" s="2">
        <v>3</v>
      </c>
      <c r="I417">
        <v>1</v>
      </c>
      <c r="J417">
        <v>0</v>
      </c>
      <c r="K417" s="2">
        <v>3</v>
      </c>
      <c r="L417">
        <v>0</v>
      </c>
      <c r="M417" s="7">
        <v>2</v>
      </c>
      <c r="N417" s="7">
        <v>1</v>
      </c>
      <c r="O417">
        <v>0</v>
      </c>
      <c r="P417" t="s">
        <v>16</v>
      </c>
      <c r="Q417">
        <v>1</v>
      </c>
      <c r="R417" s="8">
        <f>(Tabela2[[#This Row],[FAF_atividade_fisica_frequente_em_horas]]+ 0.1)</f>
        <v>2.1</v>
      </c>
      <c r="S417" s="1">
        <f>(Tabela2[[#This Row],[TUE_tempo_uso_aparelhos_em_horas]]/Tabela2[[#This Row],[FAF_Var]])</f>
        <v>0.47619047619047616</v>
      </c>
      <c r="T417">
        <f>(Tabela2[[#This Row],[CAEC_lanche_entre_refeicoes]]*Tabela2[[#This Row],[FAVC_consumo_frequente_de_alimentos_mt_caloricos]])</f>
        <v>1</v>
      </c>
      <c r="U417" s="1">
        <f>IF(OR(Tabela2[[#This Row],[MTRANS]]="Walking",Tabela2[[#This Row],[MTRANS]]="Bike"),Tabela2[[#This Row],[FAF_atividade_fisica_frequente_em_horas]]+1,M417)</f>
        <v>3</v>
      </c>
      <c r="V417">
        <f>(Tabela2[[#This Row],[SMOKE]]+Tabela2[[#This Row],[CALC_bebe_alcool_frequentemente]])</f>
        <v>0</v>
      </c>
      <c r="W417" s="8">
        <f>(Tabela2[[#This Row],[Weight]]/(Tabela2[[#This Row],[Height]] ^2))</f>
        <v>24.622960911049557</v>
      </c>
    </row>
    <row r="418" spans="1:23" x14ac:dyDescent="0.25">
      <c r="A418" t="s">
        <v>15</v>
      </c>
      <c r="B418" s="7">
        <v>34</v>
      </c>
      <c r="C418" s="4">
        <v>1.84</v>
      </c>
      <c r="D418" s="7">
        <v>88</v>
      </c>
      <c r="E418">
        <v>0</v>
      </c>
      <c r="F418">
        <v>1</v>
      </c>
      <c r="G418" s="2">
        <v>3</v>
      </c>
      <c r="H418" s="2">
        <v>3</v>
      </c>
      <c r="I418">
        <v>1</v>
      </c>
      <c r="J418">
        <v>0</v>
      </c>
      <c r="K418" s="2">
        <v>1</v>
      </c>
      <c r="L418">
        <v>1</v>
      </c>
      <c r="M418" s="7">
        <v>2</v>
      </c>
      <c r="N418" s="7">
        <v>0</v>
      </c>
      <c r="O418">
        <v>0</v>
      </c>
      <c r="P418" t="s">
        <v>17</v>
      </c>
      <c r="Q418">
        <v>2</v>
      </c>
      <c r="R418" s="8">
        <f>(Tabela2[[#This Row],[FAF_atividade_fisica_frequente_em_horas]]+ 0.1)</f>
        <v>2.1</v>
      </c>
      <c r="S418" s="1">
        <f>(Tabela2[[#This Row],[TUE_tempo_uso_aparelhos_em_horas]]/Tabela2[[#This Row],[FAF_Var]])</f>
        <v>0</v>
      </c>
      <c r="T418">
        <f>(Tabela2[[#This Row],[CAEC_lanche_entre_refeicoes]]*Tabela2[[#This Row],[FAVC_consumo_frequente_de_alimentos_mt_caloricos]])</f>
        <v>1</v>
      </c>
      <c r="U418" s="1">
        <f>IF(OR(Tabela2[[#This Row],[MTRANS]]="Walking",Tabela2[[#This Row],[MTRANS]]="Bike"),Tabela2[[#This Row],[FAF_atividade_fisica_frequente_em_horas]]+1,M418)</f>
        <v>2</v>
      </c>
      <c r="V418">
        <f>(Tabela2[[#This Row],[SMOKE]]+Tabela2[[#This Row],[CALC_bebe_alcool_frequentemente]])</f>
        <v>0</v>
      </c>
      <c r="W418" s="8">
        <f>(Tabela2[[#This Row],[Weight]]/(Tabela2[[#This Row],[Height]] ^2))</f>
        <v>25.992438563327031</v>
      </c>
    </row>
    <row r="419" spans="1:23" x14ac:dyDescent="0.25">
      <c r="A419" t="s">
        <v>15</v>
      </c>
      <c r="B419" s="7">
        <v>18</v>
      </c>
      <c r="C419" s="4">
        <v>1.77</v>
      </c>
      <c r="D419" s="7">
        <v>87</v>
      </c>
      <c r="E419">
        <v>1</v>
      </c>
      <c r="F419">
        <v>1</v>
      </c>
      <c r="G419" s="2">
        <v>3</v>
      </c>
      <c r="H419" s="2">
        <v>3</v>
      </c>
      <c r="I419">
        <v>1</v>
      </c>
      <c r="J419">
        <v>0</v>
      </c>
      <c r="K419" s="2">
        <v>2</v>
      </c>
      <c r="L419">
        <v>0</v>
      </c>
      <c r="M419" s="7">
        <v>1</v>
      </c>
      <c r="N419" s="7">
        <v>1</v>
      </c>
      <c r="O419">
        <v>2</v>
      </c>
      <c r="P419" t="s">
        <v>14</v>
      </c>
      <c r="Q419">
        <v>3</v>
      </c>
      <c r="R419" s="8">
        <f>(Tabela2[[#This Row],[FAF_atividade_fisica_frequente_em_horas]]+ 0.1)</f>
        <v>1.1000000000000001</v>
      </c>
      <c r="S419" s="1">
        <f>(Tabela2[[#This Row],[TUE_tempo_uso_aparelhos_em_horas]]/Tabela2[[#This Row],[FAF_Var]])</f>
        <v>0.90909090909090906</v>
      </c>
      <c r="T419">
        <f>(Tabela2[[#This Row],[CAEC_lanche_entre_refeicoes]]*Tabela2[[#This Row],[FAVC_consumo_frequente_de_alimentos_mt_caloricos]])</f>
        <v>1</v>
      </c>
      <c r="U419" s="1">
        <f>IF(OR(Tabela2[[#This Row],[MTRANS]]="Walking",Tabela2[[#This Row],[MTRANS]]="Bike"),Tabela2[[#This Row],[FAF_atividade_fisica_frequente_em_horas]]+1,M419)</f>
        <v>1</v>
      </c>
      <c r="V419">
        <f>(Tabela2[[#This Row],[SMOKE]]+Tabela2[[#This Row],[CALC_bebe_alcool_frequentemente]])</f>
        <v>2</v>
      </c>
      <c r="W419" s="8">
        <f>(Tabela2[[#This Row],[Weight]]/(Tabela2[[#This Row],[Height]] ^2))</f>
        <v>27.769797950780426</v>
      </c>
    </row>
    <row r="420" spans="1:23" x14ac:dyDescent="0.25">
      <c r="A420" t="s">
        <v>15</v>
      </c>
      <c r="B420" s="7">
        <v>18</v>
      </c>
      <c r="C420" s="4">
        <v>1.7</v>
      </c>
      <c r="D420" s="7">
        <v>90</v>
      </c>
      <c r="E420">
        <v>0</v>
      </c>
      <c r="F420">
        <v>1</v>
      </c>
      <c r="G420" s="2">
        <v>3</v>
      </c>
      <c r="H420" s="2">
        <v>3</v>
      </c>
      <c r="I420">
        <v>1</v>
      </c>
      <c r="J420">
        <v>0</v>
      </c>
      <c r="K420" s="2">
        <v>2</v>
      </c>
      <c r="L420">
        <v>0</v>
      </c>
      <c r="M420" s="7">
        <v>2</v>
      </c>
      <c r="N420" s="7">
        <v>0</v>
      </c>
      <c r="O420">
        <v>1</v>
      </c>
      <c r="P420" t="s">
        <v>14</v>
      </c>
      <c r="Q420">
        <v>4</v>
      </c>
      <c r="R420" s="8">
        <f>(Tabela2[[#This Row],[FAF_atividade_fisica_frequente_em_horas]]+ 0.1)</f>
        <v>2.1</v>
      </c>
      <c r="S420" s="1">
        <f>(Tabela2[[#This Row],[TUE_tempo_uso_aparelhos_em_horas]]/Tabela2[[#This Row],[FAF_Var]])</f>
        <v>0</v>
      </c>
      <c r="T420">
        <f>(Tabela2[[#This Row],[CAEC_lanche_entre_refeicoes]]*Tabela2[[#This Row],[FAVC_consumo_frequente_de_alimentos_mt_caloricos]])</f>
        <v>1</v>
      </c>
      <c r="U420" s="1">
        <f>IF(OR(Tabela2[[#This Row],[MTRANS]]="Walking",Tabela2[[#This Row],[MTRANS]]="Bike"),Tabela2[[#This Row],[FAF_atividade_fisica_frequente_em_horas]]+1,M420)</f>
        <v>2</v>
      </c>
      <c r="V420">
        <f>(Tabela2[[#This Row],[SMOKE]]+Tabela2[[#This Row],[CALC_bebe_alcool_frequentemente]])</f>
        <v>1</v>
      </c>
      <c r="W420" s="8">
        <f>(Tabela2[[#This Row],[Weight]]/(Tabela2[[#This Row],[Height]] ^2))</f>
        <v>31.141868512110729</v>
      </c>
    </row>
    <row r="421" spans="1:23" x14ac:dyDescent="0.25">
      <c r="A421" t="s">
        <v>15</v>
      </c>
      <c r="B421" s="7">
        <v>29</v>
      </c>
      <c r="C421" s="4">
        <v>1.62</v>
      </c>
      <c r="D421" s="7">
        <v>89</v>
      </c>
      <c r="E421">
        <v>1</v>
      </c>
      <c r="F421">
        <v>1</v>
      </c>
      <c r="G421" s="2">
        <v>1</v>
      </c>
      <c r="H421" s="2">
        <v>3</v>
      </c>
      <c r="I421">
        <v>1</v>
      </c>
      <c r="J421">
        <v>0</v>
      </c>
      <c r="K421" s="2">
        <v>1</v>
      </c>
      <c r="L421">
        <v>0</v>
      </c>
      <c r="M421" s="7">
        <v>0</v>
      </c>
      <c r="N421" s="7">
        <v>0</v>
      </c>
      <c r="O421">
        <v>1</v>
      </c>
      <c r="P421" t="s">
        <v>14</v>
      </c>
      <c r="Q421">
        <v>4</v>
      </c>
      <c r="R421" s="8">
        <f>(Tabela2[[#This Row],[FAF_atividade_fisica_frequente_em_horas]]+ 0.1)</f>
        <v>0.1</v>
      </c>
      <c r="S421" s="1">
        <f>(Tabela2[[#This Row],[TUE_tempo_uso_aparelhos_em_horas]]/Tabela2[[#This Row],[FAF_Var]])</f>
        <v>0</v>
      </c>
      <c r="T421">
        <f>(Tabela2[[#This Row],[CAEC_lanche_entre_refeicoes]]*Tabela2[[#This Row],[FAVC_consumo_frequente_de_alimentos_mt_caloricos]])</f>
        <v>1</v>
      </c>
      <c r="U421" s="1">
        <f>IF(OR(Tabela2[[#This Row],[MTRANS]]="Walking",Tabela2[[#This Row],[MTRANS]]="Bike"),Tabela2[[#This Row],[FAF_atividade_fisica_frequente_em_horas]]+1,M421)</f>
        <v>0</v>
      </c>
      <c r="V421">
        <f>(Tabela2[[#This Row],[SMOKE]]+Tabela2[[#This Row],[CALC_bebe_alcool_frequentemente]])</f>
        <v>1</v>
      </c>
      <c r="W421" s="8">
        <f>(Tabela2[[#This Row],[Weight]]/(Tabela2[[#This Row],[Height]] ^2))</f>
        <v>33.912513336381643</v>
      </c>
    </row>
    <row r="422" spans="1:23" x14ac:dyDescent="0.25">
      <c r="A422" t="s">
        <v>15</v>
      </c>
      <c r="B422" s="7">
        <v>18</v>
      </c>
      <c r="C422" s="4">
        <v>1.85</v>
      </c>
      <c r="D422" s="7">
        <v>60</v>
      </c>
      <c r="E422">
        <v>1</v>
      </c>
      <c r="F422">
        <v>1</v>
      </c>
      <c r="G422" s="2">
        <v>3</v>
      </c>
      <c r="H422" s="2">
        <v>4</v>
      </c>
      <c r="I422">
        <v>1</v>
      </c>
      <c r="J422">
        <v>0</v>
      </c>
      <c r="K422" s="2">
        <v>2</v>
      </c>
      <c r="L422">
        <v>1</v>
      </c>
      <c r="M422" s="7">
        <v>2</v>
      </c>
      <c r="N422" s="7">
        <v>0</v>
      </c>
      <c r="O422">
        <v>1</v>
      </c>
      <c r="P422" t="s">
        <v>17</v>
      </c>
      <c r="Q422">
        <v>0</v>
      </c>
      <c r="R422" s="8">
        <f>(Tabela2[[#This Row],[FAF_atividade_fisica_frequente_em_horas]]+ 0.1)</f>
        <v>2.1</v>
      </c>
      <c r="S422" s="1">
        <f>(Tabela2[[#This Row],[TUE_tempo_uso_aparelhos_em_horas]]/Tabela2[[#This Row],[FAF_Var]])</f>
        <v>0</v>
      </c>
      <c r="T422">
        <f>(Tabela2[[#This Row],[CAEC_lanche_entre_refeicoes]]*Tabela2[[#This Row],[FAVC_consumo_frequente_de_alimentos_mt_caloricos]])</f>
        <v>1</v>
      </c>
      <c r="U422" s="1">
        <f>IF(OR(Tabela2[[#This Row],[MTRANS]]="Walking",Tabela2[[#This Row],[MTRANS]]="Bike"),Tabela2[[#This Row],[FAF_atividade_fisica_frequente_em_horas]]+1,M422)</f>
        <v>2</v>
      </c>
      <c r="V422">
        <f>(Tabela2[[#This Row],[SMOKE]]+Tabela2[[#This Row],[CALC_bebe_alcool_frequentemente]])</f>
        <v>1</v>
      </c>
      <c r="W422" s="8">
        <f>(Tabela2[[#This Row],[Weight]]/(Tabela2[[#This Row],[Height]] ^2))</f>
        <v>17.531044558071585</v>
      </c>
    </row>
    <row r="423" spans="1:23" x14ac:dyDescent="0.25">
      <c r="A423" t="s">
        <v>15</v>
      </c>
      <c r="B423" s="7">
        <v>18</v>
      </c>
      <c r="C423" s="4">
        <v>1.84</v>
      </c>
      <c r="D423" s="7">
        <v>60</v>
      </c>
      <c r="E423">
        <v>1</v>
      </c>
      <c r="F423">
        <v>1</v>
      </c>
      <c r="G423" s="2">
        <v>3</v>
      </c>
      <c r="H423" s="2">
        <v>4</v>
      </c>
      <c r="I423">
        <v>1</v>
      </c>
      <c r="J423">
        <v>0</v>
      </c>
      <c r="K423" s="2">
        <v>2</v>
      </c>
      <c r="L423">
        <v>1</v>
      </c>
      <c r="M423" s="7">
        <v>2</v>
      </c>
      <c r="N423" s="7">
        <v>0</v>
      </c>
      <c r="O423">
        <v>1</v>
      </c>
      <c r="P423" t="s">
        <v>17</v>
      </c>
      <c r="Q423">
        <v>0</v>
      </c>
      <c r="R423" s="8">
        <f>(Tabela2[[#This Row],[FAF_atividade_fisica_frequente_em_horas]]+ 0.1)</f>
        <v>2.1</v>
      </c>
      <c r="S423" s="1">
        <f>(Tabela2[[#This Row],[TUE_tempo_uso_aparelhos_em_horas]]/Tabela2[[#This Row],[FAF_Var]])</f>
        <v>0</v>
      </c>
      <c r="T423">
        <f>(Tabela2[[#This Row],[CAEC_lanche_entre_refeicoes]]*Tabela2[[#This Row],[FAVC_consumo_frequente_de_alimentos_mt_caloricos]])</f>
        <v>1</v>
      </c>
      <c r="U423" s="1">
        <f>IF(OR(Tabela2[[#This Row],[MTRANS]]="Walking",Tabela2[[#This Row],[MTRANS]]="Bike"),Tabela2[[#This Row],[FAF_atividade_fisica_frequente_em_horas]]+1,M423)</f>
        <v>2</v>
      </c>
      <c r="V423">
        <f>(Tabela2[[#This Row],[SMOKE]]+Tabela2[[#This Row],[CALC_bebe_alcool_frequentemente]])</f>
        <v>1</v>
      </c>
      <c r="W423" s="8">
        <f>(Tabela2[[#This Row],[Weight]]/(Tabela2[[#This Row],[Height]] ^2))</f>
        <v>17.722117202268429</v>
      </c>
    </row>
    <row r="424" spans="1:23" x14ac:dyDescent="0.25">
      <c r="A424" t="s">
        <v>15</v>
      </c>
      <c r="B424" s="7">
        <v>19</v>
      </c>
      <c r="C424" s="4">
        <v>1.75</v>
      </c>
      <c r="D424" s="7">
        <v>58</v>
      </c>
      <c r="E424">
        <v>0</v>
      </c>
      <c r="F424">
        <v>1</v>
      </c>
      <c r="G424" s="2">
        <v>2</v>
      </c>
      <c r="H424" s="2">
        <v>3</v>
      </c>
      <c r="I424">
        <v>1</v>
      </c>
      <c r="J424">
        <v>0</v>
      </c>
      <c r="K424" s="2">
        <v>2</v>
      </c>
      <c r="L424">
        <v>0</v>
      </c>
      <c r="M424" s="7">
        <v>2</v>
      </c>
      <c r="N424" s="7">
        <v>0</v>
      </c>
      <c r="O424">
        <v>1</v>
      </c>
      <c r="P424" t="s">
        <v>19</v>
      </c>
      <c r="Q424">
        <v>1</v>
      </c>
      <c r="R424" s="8">
        <f>(Tabela2[[#This Row],[FAF_atividade_fisica_frequente_em_horas]]+ 0.1)</f>
        <v>2.1</v>
      </c>
      <c r="S424" s="1">
        <f>(Tabela2[[#This Row],[TUE_tempo_uso_aparelhos_em_horas]]/Tabela2[[#This Row],[FAF_Var]])</f>
        <v>0</v>
      </c>
      <c r="T424">
        <f>(Tabela2[[#This Row],[CAEC_lanche_entre_refeicoes]]*Tabela2[[#This Row],[FAVC_consumo_frequente_de_alimentos_mt_caloricos]])</f>
        <v>1</v>
      </c>
      <c r="U424" s="1">
        <f>IF(OR(Tabela2[[#This Row],[MTRANS]]="Walking",Tabela2[[#This Row],[MTRANS]]="Bike"),Tabela2[[#This Row],[FAF_atividade_fisica_frequente_em_horas]]+1,M424)</f>
        <v>3</v>
      </c>
      <c r="V424">
        <f>(Tabela2[[#This Row],[SMOKE]]+Tabela2[[#This Row],[CALC_bebe_alcool_frequentemente]])</f>
        <v>1</v>
      </c>
      <c r="W424" s="8">
        <f>(Tabela2[[#This Row],[Weight]]/(Tabela2[[#This Row],[Height]] ^2))</f>
        <v>18.938775510204081</v>
      </c>
    </row>
    <row r="425" spans="1:23" x14ac:dyDescent="0.25">
      <c r="A425" t="s">
        <v>15</v>
      </c>
      <c r="B425" s="7">
        <v>33</v>
      </c>
      <c r="C425" s="4">
        <v>1.85</v>
      </c>
      <c r="D425" s="7">
        <v>93</v>
      </c>
      <c r="E425">
        <v>1</v>
      </c>
      <c r="F425">
        <v>1</v>
      </c>
      <c r="G425" s="2">
        <v>2</v>
      </c>
      <c r="H425" s="2">
        <v>3</v>
      </c>
      <c r="I425">
        <v>1</v>
      </c>
      <c r="J425">
        <v>0</v>
      </c>
      <c r="K425" s="2">
        <v>1</v>
      </c>
      <c r="L425">
        <v>0</v>
      </c>
      <c r="M425" s="7">
        <v>1</v>
      </c>
      <c r="N425" s="7">
        <v>1</v>
      </c>
      <c r="O425">
        <v>1</v>
      </c>
      <c r="P425" t="s">
        <v>16</v>
      </c>
      <c r="Q425">
        <v>3</v>
      </c>
      <c r="R425" s="8">
        <f>(Tabela2[[#This Row],[FAF_atividade_fisica_frequente_em_horas]]+ 0.1)</f>
        <v>1.1000000000000001</v>
      </c>
      <c r="S425" s="1">
        <f>(Tabela2[[#This Row],[TUE_tempo_uso_aparelhos_em_horas]]/Tabela2[[#This Row],[FAF_Var]])</f>
        <v>0.90909090909090906</v>
      </c>
      <c r="T425">
        <f>(Tabela2[[#This Row],[CAEC_lanche_entre_refeicoes]]*Tabela2[[#This Row],[FAVC_consumo_frequente_de_alimentos_mt_caloricos]])</f>
        <v>1</v>
      </c>
      <c r="U425" s="1">
        <f>IF(OR(Tabela2[[#This Row],[MTRANS]]="Walking",Tabela2[[#This Row],[MTRANS]]="Bike"),Tabela2[[#This Row],[FAF_atividade_fisica_frequente_em_horas]]+1,M425)</f>
        <v>2</v>
      </c>
      <c r="V425">
        <f>(Tabela2[[#This Row],[SMOKE]]+Tabela2[[#This Row],[CALC_bebe_alcool_frequentemente]])</f>
        <v>1</v>
      </c>
      <c r="W425" s="8">
        <f>(Tabela2[[#This Row],[Weight]]/(Tabela2[[#This Row],[Height]] ^2))</f>
        <v>27.173119065010955</v>
      </c>
    </row>
    <row r="426" spans="1:23" x14ac:dyDescent="0.25">
      <c r="A426" t="s">
        <v>15</v>
      </c>
      <c r="B426" s="7">
        <v>33</v>
      </c>
      <c r="C426" s="4">
        <v>1.74</v>
      </c>
      <c r="D426" s="7">
        <v>76</v>
      </c>
      <c r="E426">
        <v>0</v>
      </c>
      <c r="F426">
        <v>0</v>
      </c>
      <c r="G426" s="2">
        <v>2</v>
      </c>
      <c r="H426" s="2">
        <v>3</v>
      </c>
      <c r="I426">
        <v>1</v>
      </c>
      <c r="J426">
        <v>0</v>
      </c>
      <c r="K426" s="2">
        <v>1</v>
      </c>
      <c r="L426">
        <v>0</v>
      </c>
      <c r="M426" s="7">
        <v>0</v>
      </c>
      <c r="N426" s="7">
        <v>2</v>
      </c>
      <c r="O426">
        <v>1</v>
      </c>
      <c r="P426" t="s">
        <v>16</v>
      </c>
      <c r="Q426">
        <v>2</v>
      </c>
      <c r="R426" s="8">
        <f>(Tabela2[[#This Row],[FAF_atividade_fisica_frequente_em_horas]]+ 0.1)</f>
        <v>0.1</v>
      </c>
      <c r="S426" s="1">
        <f>(Tabela2[[#This Row],[TUE_tempo_uso_aparelhos_em_horas]]/Tabela2[[#This Row],[FAF_Var]])</f>
        <v>20</v>
      </c>
      <c r="T426">
        <f>(Tabela2[[#This Row],[CAEC_lanche_entre_refeicoes]]*Tabela2[[#This Row],[FAVC_consumo_frequente_de_alimentos_mt_caloricos]])</f>
        <v>0</v>
      </c>
      <c r="U426" s="1">
        <f>IF(OR(Tabela2[[#This Row],[MTRANS]]="Walking",Tabela2[[#This Row],[MTRANS]]="Bike"),Tabela2[[#This Row],[FAF_atividade_fisica_frequente_em_horas]]+1,M426)</f>
        <v>1</v>
      </c>
      <c r="V426">
        <f>(Tabela2[[#This Row],[SMOKE]]+Tabela2[[#This Row],[CALC_bebe_alcool_frequentemente]])</f>
        <v>1</v>
      </c>
      <c r="W426" s="8">
        <f>(Tabela2[[#This Row],[Weight]]/(Tabela2[[#This Row],[Height]] ^2))</f>
        <v>25.102391333069097</v>
      </c>
    </row>
    <row r="427" spans="1:23" x14ac:dyDescent="0.25">
      <c r="A427" t="s">
        <v>13</v>
      </c>
      <c r="B427" s="7">
        <v>19</v>
      </c>
      <c r="C427" s="4">
        <v>1.61</v>
      </c>
      <c r="D427" s="7">
        <v>53.8</v>
      </c>
      <c r="E427">
        <v>1</v>
      </c>
      <c r="F427">
        <v>1</v>
      </c>
      <c r="G427" s="2">
        <v>2</v>
      </c>
      <c r="H427" s="2">
        <v>3</v>
      </c>
      <c r="I427">
        <v>3</v>
      </c>
      <c r="J427">
        <v>0</v>
      </c>
      <c r="K427" s="2">
        <v>2</v>
      </c>
      <c r="L427">
        <v>0</v>
      </c>
      <c r="M427" s="7">
        <v>2</v>
      </c>
      <c r="N427" s="7">
        <v>1</v>
      </c>
      <c r="O427">
        <v>1</v>
      </c>
      <c r="P427" t="s">
        <v>14</v>
      </c>
      <c r="Q427">
        <v>1</v>
      </c>
      <c r="R427" s="8">
        <f>(Tabela2[[#This Row],[FAF_atividade_fisica_frequente_em_horas]]+ 0.1)</f>
        <v>2.1</v>
      </c>
      <c r="S427" s="1">
        <f>(Tabela2[[#This Row],[TUE_tempo_uso_aparelhos_em_horas]]/Tabela2[[#This Row],[FAF_Var]])</f>
        <v>0.47619047619047616</v>
      </c>
      <c r="T427">
        <f>(Tabela2[[#This Row],[CAEC_lanche_entre_refeicoes]]*Tabela2[[#This Row],[FAVC_consumo_frequente_de_alimentos_mt_caloricos]])</f>
        <v>3</v>
      </c>
      <c r="U427" s="1">
        <f>IF(OR(Tabela2[[#This Row],[MTRANS]]="Walking",Tabela2[[#This Row],[MTRANS]]="Bike"),Tabela2[[#This Row],[FAF_atividade_fisica_frequente_em_horas]]+1,M427)</f>
        <v>2</v>
      </c>
      <c r="V427">
        <f>(Tabela2[[#This Row],[SMOKE]]+Tabela2[[#This Row],[CALC_bebe_alcool_frequentemente]])</f>
        <v>1</v>
      </c>
      <c r="W427" s="8">
        <f>(Tabela2[[#This Row],[Weight]]/(Tabela2[[#This Row],[Height]] ^2))</f>
        <v>20.755372092126073</v>
      </c>
    </row>
    <row r="428" spans="1:23" x14ac:dyDescent="0.25">
      <c r="A428" t="s">
        <v>15</v>
      </c>
      <c r="B428" s="7">
        <v>22</v>
      </c>
      <c r="C428" s="4">
        <v>1.75</v>
      </c>
      <c r="D428" s="7">
        <v>70</v>
      </c>
      <c r="E428">
        <v>0</v>
      </c>
      <c r="F428">
        <v>0</v>
      </c>
      <c r="G428" s="2">
        <v>2</v>
      </c>
      <c r="H428" s="2">
        <v>3</v>
      </c>
      <c r="I428">
        <v>1</v>
      </c>
      <c r="J428">
        <v>0</v>
      </c>
      <c r="K428" s="2">
        <v>3</v>
      </c>
      <c r="L428">
        <v>0</v>
      </c>
      <c r="M428" s="7">
        <v>1</v>
      </c>
      <c r="N428" s="7">
        <v>1</v>
      </c>
      <c r="O428">
        <v>0</v>
      </c>
      <c r="P428" t="s">
        <v>14</v>
      </c>
      <c r="Q428">
        <v>1</v>
      </c>
      <c r="R428" s="8">
        <f>(Tabela2[[#This Row],[FAF_atividade_fisica_frequente_em_horas]]+ 0.1)</f>
        <v>1.1000000000000001</v>
      </c>
      <c r="S428" s="1">
        <f>(Tabela2[[#This Row],[TUE_tempo_uso_aparelhos_em_horas]]/Tabela2[[#This Row],[FAF_Var]])</f>
        <v>0.90909090909090906</v>
      </c>
      <c r="T428">
        <f>(Tabela2[[#This Row],[CAEC_lanche_entre_refeicoes]]*Tabela2[[#This Row],[FAVC_consumo_frequente_de_alimentos_mt_caloricos]])</f>
        <v>0</v>
      </c>
      <c r="U428" s="1">
        <f>IF(OR(Tabela2[[#This Row],[MTRANS]]="Walking",Tabela2[[#This Row],[MTRANS]]="Bike"),Tabela2[[#This Row],[FAF_atividade_fisica_frequente_em_horas]]+1,M428)</f>
        <v>1</v>
      </c>
      <c r="V428">
        <f>(Tabela2[[#This Row],[SMOKE]]+Tabela2[[#This Row],[CALC_bebe_alcool_frequentemente]])</f>
        <v>0</v>
      </c>
      <c r="W428" s="8">
        <f>(Tabela2[[#This Row],[Weight]]/(Tabela2[[#This Row],[Height]] ^2))</f>
        <v>22.857142857142858</v>
      </c>
    </row>
    <row r="429" spans="1:23" x14ac:dyDescent="0.25">
      <c r="A429" t="s">
        <v>13</v>
      </c>
      <c r="B429" s="7">
        <v>20</v>
      </c>
      <c r="C429" s="4">
        <v>1.67</v>
      </c>
      <c r="D429" s="7">
        <v>60</v>
      </c>
      <c r="E429">
        <v>0</v>
      </c>
      <c r="F429">
        <v>1</v>
      </c>
      <c r="G429" s="2">
        <v>3</v>
      </c>
      <c r="H429" s="2">
        <v>3</v>
      </c>
      <c r="I429">
        <v>0</v>
      </c>
      <c r="J429">
        <v>0</v>
      </c>
      <c r="K429" s="2">
        <v>2</v>
      </c>
      <c r="L429">
        <v>0</v>
      </c>
      <c r="M429" s="7">
        <v>3</v>
      </c>
      <c r="N429" s="7">
        <v>0</v>
      </c>
      <c r="O429">
        <v>1</v>
      </c>
      <c r="P429" t="s">
        <v>14</v>
      </c>
      <c r="Q429">
        <v>1</v>
      </c>
      <c r="R429" s="8">
        <f>(Tabela2[[#This Row],[FAF_atividade_fisica_frequente_em_horas]]+ 0.1)</f>
        <v>3.1</v>
      </c>
      <c r="S429" s="1">
        <f>(Tabela2[[#This Row],[TUE_tempo_uso_aparelhos_em_horas]]/Tabela2[[#This Row],[FAF_Var]])</f>
        <v>0</v>
      </c>
      <c r="T429">
        <f>(Tabela2[[#This Row],[CAEC_lanche_entre_refeicoes]]*Tabela2[[#This Row],[FAVC_consumo_frequente_de_alimentos_mt_caloricos]])</f>
        <v>0</v>
      </c>
      <c r="U429" s="1">
        <f>IF(OR(Tabela2[[#This Row],[MTRANS]]="Walking",Tabela2[[#This Row],[MTRANS]]="Bike"),Tabela2[[#This Row],[FAF_atividade_fisica_frequente_em_horas]]+1,M429)</f>
        <v>3</v>
      </c>
      <c r="V429">
        <f>(Tabela2[[#This Row],[SMOKE]]+Tabela2[[#This Row],[CALC_bebe_alcool_frequentemente]])</f>
        <v>1</v>
      </c>
      <c r="W429" s="8">
        <f>(Tabela2[[#This Row],[Weight]]/(Tabela2[[#This Row],[Height]] ^2))</f>
        <v>21.513858510523864</v>
      </c>
    </row>
    <row r="430" spans="1:23" x14ac:dyDescent="0.25">
      <c r="A430" t="s">
        <v>15</v>
      </c>
      <c r="B430" s="7">
        <v>23</v>
      </c>
      <c r="C430" s="4">
        <v>1.7</v>
      </c>
      <c r="D430" s="7">
        <v>69</v>
      </c>
      <c r="E430">
        <v>0</v>
      </c>
      <c r="F430">
        <v>1</v>
      </c>
      <c r="G430" s="2">
        <v>3</v>
      </c>
      <c r="H430" s="2">
        <v>1</v>
      </c>
      <c r="I430">
        <v>2</v>
      </c>
      <c r="J430">
        <v>0</v>
      </c>
      <c r="K430" s="2">
        <v>1</v>
      </c>
      <c r="L430">
        <v>0</v>
      </c>
      <c r="M430" s="7">
        <v>2</v>
      </c>
      <c r="N430" s="7">
        <v>1</v>
      </c>
      <c r="O430">
        <v>1</v>
      </c>
      <c r="P430" t="s">
        <v>14</v>
      </c>
      <c r="Q430">
        <v>1</v>
      </c>
      <c r="R430" s="8">
        <f>(Tabela2[[#This Row],[FAF_atividade_fisica_frequente_em_horas]]+ 0.1)</f>
        <v>2.1</v>
      </c>
      <c r="S430" s="1">
        <f>(Tabela2[[#This Row],[TUE_tempo_uso_aparelhos_em_horas]]/Tabela2[[#This Row],[FAF_Var]])</f>
        <v>0.47619047619047616</v>
      </c>
      <c r="T430">
        <f>(Tabela2[[#This Row],[CAEC_lanche_entre_refeicoes]]*Tabela2[[#This Row],[FAVC_consumo_frequente_de_alimentos_mt_caloricos]])</f>
        <v>2</v>
      </c>
      <c r="U430" s="1">
        <f>IF(OR(Tabela2[[#This Row],[MTRANS]]="Walking",Tabela2[[#This Row],[MTRANS]]="Bike"),Tabela2[[#This Row],[FAF_atividade_fisica_frequente_em_horas]]+1,M430)</f>
        <v>2</v>
      </c>
      <c r="V430">
        <f>(Tabela2[[#This Row],[SMOKE]]+Tabela2[[#This Row],[CALC_bebe_alcool_frequentemente]])</f>
        <v>1</v>
      </c>
      <c r="W430" s="8">
        <f>(Tabela2[[#This Row],[Weight]]/(Tabela2[[#This Row],[Height]] ^2))</f>
        <v>23.87543252595156</v>
      </c>
    </row>
    <row r="431" spans="1:23" x14ac:dyDescent="0.25">
      <c r="A431" t="s">
        <v>15</v>
      </c>
      <c r="B431" s="7">
        <v>26</v>
      </c>
      <c r="C431" s="4">
        <v>1.9</v>
      </c>
      <c r="D431" s="7">
        <v>80</v>
      </c>
      <c r="E431">
        <v>1</v>
      </c>
      <c r="F431">
        <v>1</v>
      </c>
      <c r="G431" s="2">
        <v>2</v>
      </c>
      <c r="H431" s="2">
        <v>3</v>
      </c>
      <c r="I431">
        <v>2</v>
      </c>
      <c r="J431">
        <v>0</v>
      </c>
      <c r="K431" s="2">
        <v>1</v>
      </c>
      <c r="L431">
        <v>1</v>
      </c>
      <c r="M431" s="7">
        <v>1</v>
      </c>
      <c r="N431" s="7">
        <v>0</v>
      </c>
      <c r="O431">
        <v>1</v>
      </c>
      <c r="P431" t="s">
        <v>17</v>
      </c>
      <c r="Q431">
        <v>1</v>
      </c>
      <c r="R431" s="8">
        <f>(Tabela2[[#This Row],[FAF_atividade_fisica_frequente_em_horas]]+ 0.1)</f>
        <v>1.1000000000000001</v>
      </c>
      <c r="S431" s="1">
        <f>(Tabela2[[#This Row],[TUE_tempo_uso_aparelhos_em_horas]]/Tabela2[[#This Row],[FAF_Var]])</f>
        <v>0</v>
      </c>
      <c r="T431">
        <f>(Tabela2[[#This Row],[CAEC_lanche_entre_refeicoes]]*Tabela2[[#This Row],[FAVC_consumo_frequente_de_alimentos_mt_caloricos]])</f>
        <v>2</v>
      </c>
      <c r="U431" s="1">
        <f>IF(OR(Tabela2[[#This Row],[MTRANS]]="Walking",Tabela2[[#This Row],[MTRANS]]="Bike"),Tabela2[[#This Row],[FAF_atividade_fisica_frequente_em_horas]]+1,M431)</f>
        <v>1</v>
      </c>
      <c r="V431">
        <f>(Tabela2[[#This Row],[SMOKE]]+Tabela2[[#This Row],[CALC_bebe_alcool_frequentemente]])</f>
        <v>1</v>
      </c>
      <c r="W431" s="8">
        <f>(Tabela2[[#This Row],[Weight]]/(Tabela2[[#This Row],[Height]] ^2))</f>
        <v>22.1606648199446</v>
      </c>
    </row>
    <row r="432" spans="1:23" x14ac:dyDescent="0.25">
      <c r="A432" t="s">
        <v>15</v>
      </c>
      <c r="B432" s="7">
        <v>18</v>
      </c>
      <c r="C432" s="4">
        <v>1.65</v>
      </c>
      <c r="D432" s="7">
        <v>85</v>
      </c>
      <c r="E432">
        <v>0</v>
      </c>
      <c r="F432">
        <v>1</v>
      </c>
      <c r="G432" s="2">
        <v>2</v>
      </c>
      <c r="H432" s="2">
        <v>3</v>
      </c>
      <c r="I432">
        <v>1</v>
      </c>
      <c r="J432">
        <v>0</v>
      </c>
      <c r="K432" s="2">
        <v>1</v>
      </c>
      <c r="L432">
        <v>0</v>
      </c>
      <c r="M432" s="7">
        <v>1</v>
      </c>
      <c r="N432" s="7">
        <v>0</v>
      </c>
      <c r="O432">
        <v>1</v>
      </c>
      <c r="P432" t="s">
        <v>14</v>
      </c>
      <c r="Q432">
        <v>4</v>
      </c>
      <c r="R432" s="8">
        <f>(Tabela2[[#This Row],[FAF_atividade_fisica_frequente_em_horas]]+ 0.1)</f>
        <v>1.1000000000000001</v>
      </c>
      <c r="S432" s="1">
        <f>(Tabela2[[#This Row],[TUE_tempo_uso_aparelhos_em_horas]]/Tabela2[[#This Row],[FAF_Var]])</f>
        <v>0</v>
      </c>
      <c r="T432">
        <f>(Tabela2[[#This Row],[CAEC_lanche_entre_refeicoes]]*Tabela2[[#This Row],[FAVC_consumo_frequente_de_alimentos_mt_caloricos]])</f>
        <v>1</v>
      </c>
      <c r="U432" s="1">
        <f>IF(OR(Tabela2[[#This Row],[MTRANS]]="Walking",Tabela2[[#This Row],[MTRANS]]="Bike"),Tabela2[[#This Row],[FAF_atividade_fisica_frequente_em_horas]]+1,M432)</f>
        <v>1</v>
      </c>
      <c r="V432">
        <f>(Tabela2[[#This Row],[SMOKE]]+Tabela2[[#This Row],[CALC_bebe_alcool_frequentemente]])</f>
        <v>1</v>
      </c>
      <c r="W432" s="8">
        <f>(Tabela2[[#This Row],[Weight]]/(Tabela2[[#This Row],[Height]] ^2))</f>
        <v>31.221303948576679</v>
      </c>
    </row>
    <row r="433" spans="1:23" x14ac:dyDescent="0.25">
      <c r="A433" t="s">
        <v>13</v>
      </c>
      <c r="B433" s="7">
        <v>18</v>
      </c>
      <c r="C433" s="4">
        <v>1.6</v>
      </c>
      <c r="D433" s="7">
        <v>55</v>
      </c>
      <c r="E433">
        <v>0</v>
      </c>
      <c r="F433">
        <v>1</v>
      </c>
      <c r="G433" s="2">
        <v>2</v>
      </c>
      <c r="H433" s="2">
        <v>4</v>
      </c>
      <c r="I433">
        <v>2</v>
      </c>
      <c r="J433">
        <v>0</v>
      </c>
      <c r="K433" s="2">
        <v>2</v>
      </c>
      <c r="L433">
        <v>0</v>
      </c>
      <c r="M433" s="7">
        <v>2</v>
      </c>
      <c r="N433" s="7">
        <v>1</v>
      </c>
      <c r="O433">
        <v>1</v>
      </c>
      <c r="P433" t="s">
        <v>14</v>
      </c>
      <c r="Q433">
        <v>1</v>
      </c>
      <c r="R433" s="8">
        <f>(Tabela2[[#This Row],[FAF_atividade_fisica_frequente_em_horas]]+ 0.1)</f>
        <v>2.1</v>
      </c>
      <c r="S433" s="1">
        <f>(Tabela2[[#This Row],[TUE_tempo_uso_aparelhos_em_horas]]/Tabela2[[#This Row],[FAF_Var]])</f>
        <v>0.47619047619047616</v>
      </c>
      <c r="T433">
        <f>(Tabela2[[#This Row],[CAEC_lanche_entre_refeicoes]]*Tabela2[[#This Row],[FAVC_consumo_frequente_de_alimentos_mt_caloricos]])</f>
        <v>2</v>
      </c>
      <c r="U433" s="1">
        <f>IF(OR(Tabela2[[#This Row],[MTRANS]]="Walking",Tabela2[[#This Row],[MTRANS]]="Bike"),Tabela2[[#This Row],[FAF_atividade_fisica_frequente_em_horas]]+1,M433)</f>
        <v>2</v>
      </c>
      <c r="V433">
        <f>(Tabela2[[#This Row],[SMOKE]]+Tabela2[[#This Row],[CALC_bebe_alcool_frequentemente]])</f>
        <v>1</v>
      </c>
      <c r="W433" s="8">
        <f>(Tabela2[[#This Row],[Weight]]/(Tabela2[[#This Row],[Height]] ^2))</f>
        <v>21.484374999999996</v>
      </c>
    </row>
    <row r="434" spans="1:23" x14ac:dyDescent="0.25">
      <c r="A434" t="s">
        <v>15</v>
      </c>
      <c r="B434" s="7">
        <v>19</v>
      </c>
      <c r="C434" s="4">
        <v>1.8</v>
      </c>
      <c r="D434" s="7">
        <v>70</v>
      </c>
      <c r="E434">
        <v>0</v>
      </c>
      <c r="F434">
        <v>1</v>
      </c>
      <c r="G434" s="2">
        <v>3</v>
      </c>
      <c r="H434" s="2">
        <v>3</v>
      </c>
      <c r="I434">
        <v>2</v>
      </c>
      <c r="J434">
        <v>0</v>
      </c>
      <c r="K434" s="2">
        <v>1</v>
      </c>
      <c r="L434">
        <v>0</v>
      </c>
      <c r="M434" s="7">
        <v>2</v>
      </c>
      <c r="N434" s="7">
        <v>0</v>
      </c>
      <c r="O434">
        <v>0</v>
      </c>
      <c r="P434" t="s">
        <v>14</v>
      </c>
      <c r="Q434">
        <v>1</v>
      </c>
      <c r="R434" s="8">
        <f>(Tabela2[[#This Row],[FAF_atividade_fisica_frequente_em_horas]]+ 0.1)</f>
        <v>2.1</v>
      </c>
      <c r="S434" s="1">
        <f>(Tabela2[[#This Row],[TUE_tempo_uso_aparelhos_em_horas]]/Tabela2[[#This Row],[FAF_Var]])</f>
        <v>0</v>
      </c>
      <c r="T434">
        <f>(Tabela2[[#This Row],[CAEC_lanche_entre_refeicoes]]*Tabela2[[#This Row],[FAVC_consumo_frequente_de_alimentos_mt_caloricos]])</f>
        <v>2</v>
      </c>
      <c r="U434" s="1">
        <f>IF(OR(Tabela2[[#This Row],[MTRANS]]="Walking",Tabela2[[#This Row],[MTRANS]]="Bike"),Tabela2[[#This Row],[FAF_atividade_fisica_frequente_em_horas]]+1,M434)</f>
        <v>2</v>
      </c>
      <c r="V434">
        <f>(Tabela2[[#This Row],[SMOKE]]+Tabela2[[#This Row],[CALC_bebe_alcool_frequentemente]])</f>
        <v>0</v>
      </c>
      <c r="W434" s="8">
        <f>(Tabela2[[#This Row],[Weight]]/(Tabela2[[#This Row],[Height]] ^2))</f>
        <v>21.604938271604937</v>
      </c>
    </row>
    <row r="435" spans="1:23" x14ac:dyDescent="0.25">
      <c r="A435" t="s">
        <v>13</v>
      </c>
      <c r="B435" s="7">
        <v>18</v>
      </c>
      <c r="C435" s="4">
        <v>1.64</v>
      </c>
      <c r="D435" s="7">
        <v>59</v>
      </c>
      <c r="E435">
        <v>1</v>
      </c>
      <c r="F435">
        <v>1</v>
      </c>
      <c r="G435" s="2">
        <v>2</v>
      </c>
      <c r="H435" s="2">
        <v>3</v>
      </c>
      <c r="I435">
        <v>1</v>
      </c>
      <c r="J435">
        <v>0</v>
      </c>
      <c r="K435" s="2">
        <v>1</v>
      </c>
      <c r="L435">
        <v>0</v>
      </c>
      <c r="M435" s="7">
        <v>1</v>
      </c>
      <c r="N435" s="7">
        <v>1</v>
      </c>
      <c r="O435">
        <v>1</v>
      </c>
      <c r="P435" t="s">
        <v>14</v>
      </c>
      <c r="Q435">
        <v>1</v>
      </c>
      <c r="R435" s="8">
        <f>(Tabela2[[#This Row],[FAF_atividade_fisica_frequente_em_horas]]+ 0.1)</f>
        <v>1.1000000000000001</v>
      </c>
      <c r="S435" s="1">
        <f>(Tabela2[[#This Row],[TUE_tempo_uso_aparelhos_em_horas]]/Tabela2[[#This Row],[FAF_Var]])</f>
        <v>0.90909090909090906</v>
      </c>
      <c r="T435">
        <f>(Tabela2[[#This Row],[CAEC_lanche_entre_refeicoes]]*Tabela2[[#This Row],[FAVC_consumo_frequente_de_alimentos_mt_caloricos]])</f>
        <v>1</v>
      </c>
      <c r="U435" s="1">
        <f>IF(OR(Tabela2[[#This Row],[MTRANS]]="Walking",Tabela2[[#This Row],[MTRANS]]="Bike"),Tabela2[[#This Row],[FAF_atividade_fisica_frequente_em_horas]]+1,M435)</f>
        <v>1</v>
      </c>
      <c r="V435">
        <f>(Tabela2[[#This Row],[SMOKE]]+Tabela2[[#This Row],[CALC_bebe_alcool_frequentemente]])</f>
        <v>1</v>
      </c>
      <c r="W435" s="8">
        <f>(Tabela2[[#This Row],[Weight]]/(Tabela2[[#This Row],[Height]] ^2))</f>
        <v>21.936347412254616</v>
      </c>
    </row>
    <row r="436" spans="1:23" x14ac:dyDescent="0.25">
      <c r="A436" t="s">
        <v>15</v>
      </c>
      <c r="B436" s="7">
        <v>19</v>
      </c>
      <c r="C436" s="4">
        <v>1.89</v>
      </c>
      <c r="D436" s="7">
        <v>87</v>
      </c>
      <c r="E436">
        <v>0</v>
      </c>
      <c r="F436">
        <v>1</v>
      </c>
      <c r="G436" s="2">
        <v>2</v>
      </c>
      <c r="H436" s="2">
        <v>4</v>
      </c>
      <c r="I436">
        <v>2</v>
      </c>
      <c r="J436">
        <v>0</v>
      </c>
      <c r="K436" s="2">
        <v>2</v>
      </c>
      <c r="L436">
        <v>0</v>
      </c>
      <c r="M436" s="7">
        <v>3</v>
      </c>
      <c r="N436" s="7">
        <v>1</v>
      </c>
      <c r="O436">
        <v>2</v>
      </c>
      <c r="P436" t="s">
        <v>17</v>
      </c>
      <c r="Q436">
        <v>1</v>
      </c>
      <c r="R436" s="8">
        <f>(Tabela2[[#This Row],[FAF_atividade_fisica_frequente_em_horas]]+ 0.1)</f>
        <v>3.1</v>
      </c>
      <c r="S436" s="1">
        <f>(Tabela2[[#This Row],[TUE_tempo_uso_aparelhos_em_horas]]/Tabela2[[#This Row],[FAF_Var]])</f>
        <v>0.32258064516129031</v>
      </c>
      <c r="T436">
        <f>(Tabela2[[#This Row],[CAEC_lanche_entre_refeicoes]]*Tabela2[[#This Row],[FAVC_consumo_frequente_de_alimentos_mt_caloricos]])</f>
        <v>2</v>
      </c>
      <c r="U436" s="1">
        <f>IF(OR(Tabela2[[#This Row],[MTRANS]]="Walking",Tabela2[[#This Row],[MTRANS]]="Bike"),Tabela2[[#This Row],[FAF_atividade_fisica_frequente_em_horas]]+1,M436)</f>
        <v>3</v>
      </c>
      <c r="V436">
        <f>(Tabela2[[#This Row],[SMOKE]]+Tabela2[[#This Row],[CALC_bebe_alcool_frequentemente]])</f>
        <v>2</v>
      </c>
      <c r="W436" s="8">
        <f>(Tabela2[[#This Row],[Weight]]/(Tabela2[[#This Row],[Height]] ^2))</f>
        <v>24.355421180818006</v>
      </c>
    </row>
    <row r="437" spans="1:23" x14ac:dyDescent="0.25">
      <c r="A437" t="s">
        <v>13</v>
      </c>
      <c r="B437" s="7">
        <v>19</v>
      </c>
      <c r="C437" s="4">
        <v>1.76</v>
      </c>
      <c r="D437" s="7">
        <v>80</v>
      </c>
      <c r="E437">
        <v>1</v>
      </c>
      <c r="F437">
        <v>1</v>
      </c>
      <c r="G437" s="2">
        <v>2</v>
      </c>
      <c r="H437" s="2">
        <v>1</v>
      </c>
      <c r="I437">
        <v>1</v>
      </c>
      <c r="J437">
        <v>0</v>
      </c>
      <c r="K437" s="2">
        <v>3</v>
      </c>
      <c r="L437">
        <v>0</v>
      </c>
      <c r="M437" s="7">
        <v>3</v>
      </c>
      <c r="N437" s="7">
        <v>1</v>
      </c>
      <c r="O437">
        <v>0</v>
      </c>
      <c r="P437" t="s">
        <v>14</v>
      </c>
      <c r="Q437">
        <v>2</v>
      </c>
      <c r="R437" s="8">
        <f>(Tabela2[[#This Row],[FAF_atividade_fisica_frequente_em_horas]]+ 0.1)</f>
        <v>3.1</v>
      </c>
      <c r="S437" s="1">
        <f>(Tabela2[[#This Row],[TUE_tempo_uso_aparelhos_em_horas]]/Tabela2[[#This Row],[FAF_Var]])</f>
        <v>0.32258064516129031</v>
      </c>
      <c r="T437">
        <f>(Tabela2[[#This Row],[CAEC_lanche_entre_refeicoes]]*Tabela2[[#This Row],[FAVC_consumo_frequente_de_alimentos_mt_caloricos]])</f>
        <v>1</v>
      </c>
      <c r="U437" s="1">
        <f>IF(OR(Tabela2[[#This Row],[MTRANS]]="Walking",Tabela2[[#This Row],[MTRANS]]="Bike"),Tabela2[[#This Row],[FAF_atividade_fisica_frequente_em_horas]]+1,M437)</f>
        <v>3</v>
      </c>
      <c r="V437">
        <f>(Tabela2[[#This Row],[SMOKE]]+Tabela2[[#This Row],[CALC_bebe_alcool_frequentemente]])</f>
        <v>0</v>
      </c>
      <c r="W437" s="8">
        <f>(Tabela2[[#This Row],[Weight]]/(Tabela2[[#This Row],[Height]] ^2))</f>
        <v>25.826446280991735</v>
      </c>
    </row>
    <row r="438" spans="1:23" x14ac:dyDescent="0.25">
      <c r="A438" t="s">
        <v>13</v>
      </c>
      <c r="B438" s="7">
        <v>18</v>
      </c>
      <c r="C438" s="4">
        <v>1.56</v>
      </c>
      <c r="D438" s="7">
        <v>55</v>
      </c>
      <c r="E438">
        <v>0</v>
      </c>
      <c r="F438">
        <v>1</v>
      </c>
      <c r="G438" s="2">
        <v>2</v>
      </c>
      <c r="H438" s="2">
        <v>3</v>
      </c>
      <c r="I438">
        <v>1</v>
      </c>
      <c r="J438">
        <v>0</v>
      </c>
      <c r="K438" s="2">
        <v>1</v>
      </c>
      <c r="L438">
        <v>0</v>
      </c>
      <c r="M438" s="7">
        <v>0</v>
      </c>
      <c r="N438" s="7">
        <v>0</v>
      </c>
      <c r="O438">
        <v>2</v>
      </c>
      <c r="P438" t="s">
        <v>17</v>
      </c>
      <c r="Q438">
        <v>1</v>
      </c>
      <c r="R438" s="8">
        <f>(Tabela2[[#This Row],[FAF_atividade_fisica_frequente_em_horas]]+ 0.1)</f>
        <v>0.1</v>
      </c>
      <c r="S438" s="1">
        <f>(Tabela2[[#This Row],[TUE_tempo_uso_aparelhos_em_horas]]/Tabela2[[#This Row],[FAF_Var]])</f>
        <v>0</v>
      </c>
      <c r="T438">
        <f>(Tabela2[[#This Row],[CAEC_lanche_entre_refeicoes]]*Tabela2[[#This Row],[FAVC_consumo_frequente_de_alimentos_mt_caloricos]])</f>
        <v>1</v>
      </c>
      <c r="U438" s="1">
        <f>IF(OR(Tabela2[[#This Row],[MTRANS]]="Walking",Tabela2[[#This Row],[MTRANS]]="Bike"),Tabela2[[#This Row],[FAF_atividade_fisica_frequente_em_horas]]+1,M438)</f>
        <v>0</v>
      </c>
      <c r="V438">
        <f>(Tabela2[[#This Row],[SMOKE]]+Tabela2[[#This Row],[CALC_bebe_alcool_frequentemente]])</f>
        <v>2</v>
      </c>
      <c r="W438" s="8">
        <f>(Tabela2[[#This Row],[Weight]]/(Tabela2[[#This Row],[Height]] ^2))</f>
        <v>22.600262984878366</v>
      </c>
    </row>
    <row r="439" spans="1:23" x14ac:dyDescent="0.25">
      <c r="A439" t="s">
        <v>13</v>
      </c>
      <c r="B439" s="7">
        <v>18</v>
      </c>
      <c r="C439" s="4">
        <v>1.6</v>
      </c>
      <c r="D439" s="7">
        <v>56</v>
      </c>
      <c r="E439">
        <v>1</v>
      </c>
      <c r="F439">
        <v>1</v>
      </c>
      <c r="G439" s="2">
        <v>2</v>
      </c>
      <c r="H439" s="2">
        <v>1</v>
      </c>
      <c r="I439">
        <v>3</v>
      </c>
      <c r="J439">
        <v>0</v>
      </c>
      <c r="K439" s="2">
        <v>2</v>
      </c>
      <c r="L439">
        <v>0</v>
      </c>
      <c r="M439" s="7">
        <v>1</v>
      </c>
      <c r="N439" s="7">
        <v>0</v>
      </c>
      <c r="O439">
        <v>1</v>
      </c>
      <c r="P439" t="s">
        <v>16</v>
      </c>
      <c r="Q439">
        <v>1</v>
      </c>
      <c r="R439" s="8">
        <f>(Tabela2[[#This Row],[FAF_atividade_fisica_frequente_em_horas]]+ 0.1)</f>
        <v>1.1000000000000001</v>
      </c>
      <c r="S439" s="1">
        <f>(Tabela2[[#This Row],[TUE_tempo_uso_aparelhos_em_horas]]/Tabela2[[#This Row],[FAF_Var]])</f>
        <v>0</v>
      </c>
      <c r="T439">
        <f>(Tabela2[[#This Row],[CAEC_lanche_entre_refeicoes]]*Tabela2[[#This Row],[FAVC_consumo_frequente_de_alimentos_mt_caloricos]])</f>
        <v>3</v>
      </c>
      <c r="U439" s="1">
        <f>IF(OR(Tabela2[[#This Row],[MTRANS]]="Walking",Tabela2[[#This Row],[MTRANS]]="Bike"),Tabela2[[#This Row],[FAF_atividade_fisica_frequente_em_horas]]+1,M439)</f>
        <v>2</v>
      </c>
      <c r="V439">
        <f>(Tabela2[[#This Row],[SMOKE]]+Tabela2[[#This Row],[CALC_bebe_alcool_frequentemente]])</f>
        <v>1</v>
      </c>
      <c r="W439" s="8">
        <f>(Tabela2[[#This Row],[Weight]]/(Tabela2[[#This Row],[Height]] ^2))</f>
        <v>21.874999999999996</v>
      </c>
    </row>
    <row r="440" spans="1:23" x14ac:dyDescent="0.25">
      <c r="A440" t="s">
        <v>13</v>
      </c>
      <c r="B440" s="7">
        <v>19</v>
      </c>
      <c r="C440" s="4">
        <v>1.67</v>
      </c>
      <c r="D440" s="7">
        <v>64</v>
      </c>
      <c r="E440">
        <v>0</v>
      </c>
      <c r="F440">
        <v>1</v>
      </c>
      <c r="G440" s="2">
        <v>3</v>
      </c>
      <c r="H440" s="2">
        <v>3</v>
      </c>
      <c r="I440">
        <v>1</v>
      </c>
      <c r="J440">
        <v>0</v>
      </c>
      <c r="K440" s="2">
        <v>2</v>
      </c>
      <c r="L440">
        <v>0</v>
      </c>
      <c r="M440" s="7">
        <v>2</v>
      </c>
      <c r="N440" s="7">
        <v>1</v>
      </c>
      <c r="O440">
        <v>1</v>
      </c>
      <c r="P440" t="s">
        <v>17</v>
      </c>
      <c r="Q440">
        <v>1</v>
      </c>
      <c r="R440" s="8">
        <f>(Tabela2[[#This Row],[FAF_atividade_fisica_frequente_em_horas]]+ 0.1)</f>
        <v>2.1</v>
      </c>
      <c r="S440" s="1">
        <f>(Tabela2[[#This Row],[TUE_tempo_uso_aparelhos_em_horas]]/Tabela2[[#This Row],[FAF_Var]])</f>
        <v>0.47619047619047616</v>
      </c>
      <c r="T440">
        <f>(Tabela2[[#This Row],[CAEC_lanche_entre_refeicoes]]*Tabela2[[#This Row],[FAVC_consumo_frequente_de_alimentos_mt_caloricos]])</f>
        <v>1</v>
      </c>
      <c r="U440" s="1">
        <f>IF(OR(Tabela2[[#This Row],[MTRANS]]="Walking",Tabela2[[#This Row],[MTRANS]]="Bike"),Tabela2[[#This Row],[FAF_atividade_fisica_frequente_em_horas]]+1,M440)</f>
        <v>2</v>
      </c>
      <c r="V440">
        <f>(Tabela2[[#This Row],[SMOKE]]+Tabela2[[#This Row],[CALC_bebe_alcool_frequentemente]])</f>
        <v>1</v>
      </c>
      <c r="W440" s="8">
        <f>(Tabela2[[#This Row],[Weight]]/(Tabela2[[#This Row],[Height]] ^2))</f>
        <v>22.948115744558788</v>
      </c>
    </row>
    <row r="441" spans="1:23" x14ac:dyDescent="0.25">
      <c r="A441" t="s">
        <v>13</v>
      </c>
      <c r="B441" s="7">
        <v>19</v>
      </c>
      <c r="C441" s="4">
        <v>1.6</v>
      </c>
      <c r="D441" s="7">
        <v>60</v>
      </c>
      <c r="E441">
        <v>0</v>
      </c>
      <c r="F441">
        <v>1</v>
      </c>
      <c r="G441" s="2">
        <v>2</v>
      </c>
      <c r="H441" s="2">
        <v>3</v>
      </c>
      <c r="I441">
        <v>2</v>
      </c>
      <c r="J441">
        <v>0</v>
      </c>
      <c r="K441" s="2">
        <v>2</v>
      </c>
      <c r="L441">
        <v>0</v>
      </c>
      <c r="M441" s="7">
        <v>0</v>
      </c>
      <c r="N441" s="7">
        <v>1</v>
      </c>
      <c r="O441">
        <v>1</v>
      </c>
      <c r="P441" t="s">
        <v>14</v>
      </c>
      <c r="Q441">
        <v>1</v>
      </c>
      <c r="R441" s="8">
        <f>(Tabela2[[#This Row],[FAF_atividade_fisica_frequente_em_horas]]+ 0.1)</f>
        <v>0.1</v>
      </c>
      <c r="S441" s="1">
        <f>(Tabela2[[#This Row],[TUE_tempo_uso_aparelhos_em_horas]]/Tabela2[[#This Row],[FAF_Var]])</f>
        <v>10</v>
      </c>
      <c r="T441">
        <f>(Tabela2[[#This Row],[CAEC_lanche_entre_refeicoes]]*Tabela2[[#This Row],[FAVC_consumo_frequente_de_alimentos_mt_caloricos]])</f>
        <v>2</v>
      </c>
      <c r="U441" s="1">
        <f>IF(OR(Tabela2[[#This Row],[MTRANS]]="Walking",Tabela2[[#This Row],[MTRANS]]="Bike"),Tabela2[[#This Row],[FAF_atividade_fisica_frequente_em_horas]]+1,M441)</f>
        <v>0</v>
      </c>
      <c r="V441">
        <f>(Tabela2[[#This Row],[SMOKE]]+Tabela2[[#This Row],[CALC_bebe_alcool_frequentemente]])</f>
        <v>1</v>
      </c>
      <c r="W441" s="8">
        <f>(Tabela2[[#This Row],[Weight]]/(Tabela2[[#This Row],[Height]] ^2))</f>
        <v>23.437499999999996</v>
      </c>
    </row>
    <row r="442" spans="1:23" x14ac:dyDescent="0.25">
      <c r="A442" t="s">
        <v>13</v>
      </c>
      <c r="B442" s="7">
        <v>18</v>
      </c>
      <c r="C442" s="4">
        <v>1.55</v>
      </c>
      <c r="D442" s="7">
        <v>56</v>
      </c>
      <c r="E442">
        <v>0</v>
      </c>
      <c r="F442">
        <v>1</v>
      </c>
      <c r="G442" s="2">
        <v>2</v>
      </c>
      <c r="H442" s="2">
        <v>3</v>
      </c>
      <c r="I442">
        <v>1</v>
      </c>
      <c r="J442">
        <v>0</v>
      </c>
      <c r="K442" s="2">
        <v>1</v>
      </c>
      <c r="L442">
        <v>0</v>
      </c>
      <c r="M442" s="7">
        <v>0</v>
      </c>
      <c r="N442" s="7">
        <v>0</v>
      </c>
      <c r="O442">
        <v>0</v>
      </c>
      <c r="P442" t="s">
        <v>17</v>
      </c>
      <c r="Q442">
        <v>1</v>
      </c>
      <c r="R442" s="8">
        <f>(Tabela2[[#This Row],[FAF_atividade_fisica_frequente_em_horas]]+ 0.1)</f>
        <v>0.1</v>
      </c>
      <c r="S442" s="1">
        <f>(Tabela2[[#This Row],[TUE_tempo_uso_aparelhos_em_horas]]/Tabela2[[#This Row],[FAF_Var]])</f>
        <v>0</v>
      </c>
      <c r="T442">
        <f>(Tabela2[[#This Row],[CAEC_lanche_entre_refeicoes]]*Tabela2[[#This Row],[FAVC_consumo_frequente_de_alimentos_mt_caloricos]])</f>
        <v>1</v>
      </c>
      <c r="U442" s="1">
        <f>IF(OR(Tabela2[[#This Row],[MTRANS]]="Walking",Tabela2[[#This Row],[MTRANS]]="Bike"),Tabela2[[#This Row],[FAF_atividade_fisica_frequente_em_horas]]+1,M442)</f>
        <v>0</v>
      </c>
      <c r="V442">
        <f>(Tabela2[[#This Row],[SMOKE]]+Tabela2[[#This Row],[CALC_bebe_alcool_frequentemente]])</f>
        <v>0</v>
      </c>
      <c r="W442" s="8">
        <f>(Tabela2[[#This Row],[Weight]]/(Tabela2[[#This Row],[Height]] ^2))</f>
        <v>23.309053069719038</v>
      </c>
    </row>
    <row r="443" spans="1:23" x14ac:dyDescent="0.25">
      <c r="A443" t="s">
        <v>13</v>
      </c>
      <c r="B443" s="7">
        <v>18</v>
      </c>
      <c r="C443" s="4">
        <v>1.55</v>
      </c>
      <c r="D443" s="7">
        <v>50</v>
      </c>
      <c r="E443">
        <v>1</v>
      </c>
      <c r="F443">
        <v>1</v>
      </c>
      <c r="G443" s="2">
        <v>3</v>
      </c>
      <c r="H443" s="2">
        <v>3</v>
      </c>
      <c r="I443">
        <v>2</v>
      </c>
      <c r="J443">
        <v>0</v>
      </c>
      <c r="K443" s="2">
        <v>1</v>
      </c>
      <c r="L443">
        <v>0</v>
      </c>
      <c r="M443" s="7">
        <v>1</v>
      </c>
      <c r="N443" s="7">
        <v>2</v>
      </c>
      <c r="O443">
        <v>0</v>
      </c>
      <c r="P443" t="s">
        <v>14</v>
      </c>
      <c r="Q443">
        <v>1</v>
      </c>
      <c r="R443" s="8">
        <f>(Tabela2[[#This Row],[FAF_atividade_fisica_frequente_em_horas]]+ 0.1)</f>
        <v>1.1000000000000001</v>
      </c>
      <c r="S443" s="1">
        <f>(Tabela2[[#This Row],[TUE_tempo_uso_aparelhos_em_horas]]/Tabela2[[#This Row],[FAF_Var]])</f>
        <v>1.8181818181818181</v>
      </c>
      <c r="T443">
        <f>(Tabela2[[#This Row],[CAEC_lanche_entre_refeicoes]]*Tabela2[[#This Row],[FAVC_consumo_frequente_de_alimentos_mt_caloricos]])</f>
        <v>2</v>
      </c>
      <c r="U443" s="1">
        <f>IF(OR(Tabela2[[#This Row],[MTRANS]]="Walking",Tabela2[[#This Row],[MTRANS]]="Bike"),Tabela2[[#This Row],[FAF_atividade_fisica_frequente_em_horas]]+1,M443)</f>
        <v>1</v>
      </c>
      <c r="V443">
        <f>(Tabela2[[#This Row],[SMOKE]]+Tabela2[[#This Row],[CALC_bebe_alcool_frequentemente]])</f>
        <v>0</v>
      </c>
      <c r="W443" s="8">
        <f>(Tabela2[[#This Row],[Weight]]/(Tabela2[[#This Row],[Height]] ^2))</f>
        <v>20.811654526534856</v>
      </c>
    </row>
    <row r="444" spans="1:23" x14ac:dyDescent="0.25">
      <c r="A444" t="s">
        <v>15</v>
      </c>
      <c r="B444" s="7">
        <v>26</v>
      </c>
      <c r="C444" s="4">
        <v>1.72</v>
      </c>
      <c r="D444" s="7">
        <v>65</v>
      </c>
      <c r="E444">
        <v>1</v>
      </c>
      <c r="F444">
        <v>1</v>
      </c>
      <c r="G444" s="2">
        <v>2</v>
      </c>
      <c r="H444" s="2">
        <v>3</v>
      </c>
      <c r="I444">
        <v>1</v>
      </c>
      <c r="J444">
        <v>0</v>
      </c>
      <c r="K444" s="2">
        <v>2</v>
      </c>
      <c r="L444">
        <v>0</v>
      </c>
      <c r="M444" s="7">
        <v>0</v>
      </c>
      <c r="N444" s="7">
        <v>1</v>
      </c>
      <c r="O444">
        <v>1</v>
      </c>
      <c r="P444" t="s">
        <v>16</v>
      </c>
      <c r="Q444">
        <v>1</v>
      </c>
      <c r="R444" s="8">
        <f>(Tabela2[[#This Row],[FAF_atividade_fisica_frequente_em_horas]]+ 0.1)</f>
        <v>0.1</v>
      </c>
      <c r="S444" s="1">
        <f>(Tabela2[[#This Row],[TUE_tempo_uso_aparelhos_em_horas]]/Tabela2[[#This Row],[FAF_Var]])</f>
        <v>10</v>
      </c>
      <c r="T444">
        <f>(Tabela2[[#This Row],[CAEC_lanche_entre_refeicoes]]*Tabela2[[#This Row],[FAVC_consumo_frequente_de_alimentos_mt_caloricos]])</f>
        <v>1</v>
      </c>
      <c r="U444" s="1">
        <f>IF(OR(Tabela2[[#This Row],[MTRANS]]="Walking",Tabela2[[#This Row],[MTRANS]]="Bike"),Tabela2[[#This Row],[FAF_atividade_fisica_frequente_em_horas]]+1,M444)</f>
        <v>1</v>
      </c>
      <c r="V444">
        <f>(Tabela2[[#This Row],[SMOKE]]+Tabela2[[#This Row],[CALC_bebe_alcool_frequentemente]])</f>
        <v>1</v>
      </c>
      <c r="W444" s="8">
        <f>(Tabela2[[#This Row],[Weight]]/(Tabela2[[#This Row],[Height]] ^2))</f>
        <v>21.971335857220122</v>
      </c>
    </row>
    <row r="445" spans="1:23" x14ac:dyDescent="0.25">
      <c r="A445" t="s">
        <v>15</v>
      </c>
      <c r="B445" s="7">
        <v>18</v>
      </c>
      <c r="C445" s="4">
        <v>1.72</v>
      </c>
      <c r="D445" s="7">
        <v>53</v>
      </c>
      <c r="E445">
        <v>1</v>
      </c>
      <c r="F445">
        <v>1</v>
      </c>
      <c r="G445" s="2">
        <v>2</v>
      </c>
      <c r="H445" s="2">
        <v>3</v>
      </c>
      <c r="I445">
        <v>1</v>
      </c>
      <c r="J445">
        <v>0</v>
      </c>
      <c r="K445" s="2">
        <v>2</v>
      </c>
      <c r="L445">
        <v>0</v>
      </c>
      <c r="M445" s="7">
        <v>0</v>
      </c>
      <c r="N445" s="7">
        <v>2</v>
      </c>
      <c r="O445">
        <v>1</v>
      </c>
      <c r="P445" t="s">
        <v>14</v>
      </c>
      <c r="Q445">
        <v>0</v>
      </c>
      <c r="R445" s="8">
        <f>(Tabela2[[#This Row],[FAF_atividade_fisica_frequente_em_horas]]+ 0.1)</f>
        <v>0.1</v>
      </c>
      <c r="S445" s="1">
        <f>(Tabela2[[#This Row],[TUE_tempo_uso_aparelhos_em_horas]]/Tabela2[[#This Row],[FAF_Var]])</f>
        <v>20</v>
      </c>
      <c r="T445">
        <f>(Tabela2[[#This Row],[CAEC_lanche_entre_refeicoes]]*Tabela2[[#This Row],[FAVC_consumo_frequente_de_alimentos_mt_caloricos]])</f>
        <v>1</v>
      </c>
      <c r="U445" s="1">
        <f>IF(OR(Tabela2[[#This Row],[MTRANS]]="Walking",Tabela2[[#This Row],[MTRANS]]="Bike"),Tabela2[[#This Row],[FAF_atividade_fisica_frequente_em_horas]]+1,M445)</f>
        <v>0</v>
      </c>
      <c r="V445">
        <f>(Tabela2[[#This Row],[SMOKE]]+Tabela2[[#This Row],[CALC_bebe_alcool_frequentemente]])</f>
        <v>1</v>
      </c>
      <c r="W445" s="8">
        <f>(Tabela2[[#This Row],[Weight]]/(Tabela2[[#This Row],[Height]] ^2))</f>
        <v>17.915089237425637</v>
      </c>
    </row>
    <row r="446" spans="1:23" x14ac:dyDescent="0.25">
      <c r="A446" t="s">
        <v>15</v>
      </c>
      <c r="B446" s="7">
        <v>19</v>
      </c>
      <c r="C446" s="4">
        <v>1.7</v>
      </c>
      <c r="D446" s="7">
        <v>60</v>
      </c>
      <c r="E446">
        <v>1</v>
      </c>
      <c r="F446">
        <v>1</v>
      </c>
      <c r="G446" s="2">
        <v>2</v>
      </c>
      <c r="H446" s="2">
        <v>1</v>
      </c>
      <c r="I446">
        <v>1</v>
      </c>
      <c r="J446">
        <v>0</v>
      </c>
      <c r="K446" s="2">
        <v>2</v>
      </c>
      <c r="L446">
        <v>0</v>
      </c>
      <c r="M446" s="7">
        <v>2</v>
      </c>
      <c r="N446" s="7">
        <v>0</v>
      </c>
      <c r="O446">
        <v>1</v>
      </c>
      <c r="P446" t="s">
        <v>14</v>
      </c>
      <c r="Q446">
        <v>1</v>
      </c>
      <c r="R446" s="8">
        <f>(Tabela2[[#This Row],[FAF_atividade_fisica_frequente_em_horas]]+ 0.1)</f>
        <v>2.1</v>
      </c>
      <c r="S446" s="1">
        <f>(Tabela2[[#This Row],[TUE_tempo_uso_aparelhos_em_horas]]/Tabela2[[#This Row],[FAF_Var]])</f>
        <v>0</v>
      </c>
      <c r="T446">
        <f>(Tabela2[[#This Row],[CAEC_lanche_entre_refeicoes]]*Tabela2[[#This Row],[FAVC_consumo_frequente_de_alimentos_mt_caloricos]])</f>
        <v>1</v>
      </c>
      <c r="U446" s="1">
        <f>IF(OR(Tabela2[[#This Row],[MTRANS]]="Walking",Tabela2[[#This Row],[MTRANS]]="Bike"),Tabela2[[#This Row],[FAF_atividade_fisica_frequente_em_horas]]+1,M446)</f>
        <v>2</v>
      </c>
      <c r="V446">
        <f>(Tabela2[[#This Row],[SMOKE]]+Tabela2[[#This Row],[CALC_bebe_alcool_frequentemente]])</f>
        <v>1</v>
      </c>
      <c r="W446" s="8">
        <f>(Tabela2[[#This Row],[Weight]]/(Tabela2[[#This Row],[Height]] ^2))</f>
        <v>20.761245674740486</v>
      </c>
    </row>
    <row r="447" spans="1:23" x14ac:dyDescent="0.25">
      <c r="A447" t="s">
        <v>13</v>
      </c>
      <c r="B447" s="7">
        <v>19</v>
      </c>
      <c r="C447" s="4">
        <v>1.51</v>
      </c>
      <c r="D447" s="7">
        <v>45</v>
      </c>
      <c r="E447">
        <v>0</v>
      </c>
      <c r="F447">
        <v>1</v>
      </c>
      <c r="G447" s="2">
        <v>2</v>
      </c>
      <c r="H447" s="2">
        <v>4</v>
      </c>
      <c r="I447">
        <v>1</v>
      </c>
      <c r="J447">
        <v>0</v>
      </c>
      <c r="K447" s="2">
        <v>1</v>
      </c>
      <c r="L447">
        <v>0</v>
      </c>
      <c r="M447" s="7">
        <v>3</v>
      </c>
      <c r="N447" s="7">
        <v>0</v>
      </c>
      <c r="O447">
        <v>1</v>
      </c>
      <c r="P447" t="s">
        <v>14</v>
      </c>
      <c r="Q447">
        <v>1</v>
      </c>
      <c r="R447" s="8">
        <f>(Tabela2[[#This Row],[FAF_atividade_fisica_frequente_em_horas]]+ 0.1)</f>
        <v>3.1</v>
      </c>
      <c r="S447" s="1">
        <f>(Tabela2[[#This Row],[TUE_tempo_uso_aparelhos_em_horas]]/Tabela2[[#This Row],[FAF_Var]])</f>
        <v>0</v>
      </c>
      <c r="T447">
        <f>(Tabela2[[#This Row],[CAEC_lanche_entre_refeicoes]]*Tabela2[[#This Row],[FAVC_consumo_frequente_de_alimentos_mt_caloricos]])</f>
        <v>1</v>
      </c>
      <c r="U447" s="1">
        <f>IF(OR(Tabela2[[#This Row],[MTRANS]]="Walking",Tabela2[[#This Row],[MTRANS]]="Bike"),Tabela2[[#This Row],[FAF_atividade_fisica_frequente_em_horas]]+1,M447)</f>
        <v>3</v>
      </c>
      <c r="V447">
        <f>(Tabela2[[#This Row],[SMOKE]]+Tabela2[[#This Row],[CALC_bebe_alcool_frequentemente]])</f>
        <v>1</v>
      </c>
      <c r="W447" s="8">
        <f>(Tabela2[[#This Row],[Weight]]/(Tabela2[[#This Row],[Height]] ^2))</f>
        <v>19.735976492259113</v>
      </c>
    </row>
    <row r="448" spans="1:23" x14ac:dyDescent="0.25">
      <c r="A448" t="s">
        <v>15</v>
      </c>
      <c r="B448" s="7">
        <v>19</v>
      </c>
      <c r="C448" s="4">
        <v>1.83</v>
      </c>
      <c r="D448" s="7">
        <v>82</v>
      </c>
      <c r="E448">
        <v>1</v>
      </c>
      <c r="F448">
        <v>1</v>
      </c>
      <c r="G448" s="2">
        <v>3</v>
      </c>
      <c r="H448" s="2">
        <v>3</v>
      </c>
      <c r="I448">
        <v>2</v>
      </c>
      <c r="J448">
        <v>0</v>
      </c>
      <c r="K448" s="2">
        <v>2</v>
      </c>
      <c r="L448">
        <v>0</v>
      </c>
      <c r="M448" s="7">
        <v>2</v>
      </c>
      <c r="N448" s="7">
        <v>0</v>
      </c>
      <c r="O448">
        <v>1</v>
      </c>
      <c r="P448" t="s">
        <v>14</v>
      </c>
      <c r="Q448">
        <v>1</v>
      </c>
      <c r="R448" s="8">
        <f>(Tabela2[[#This Row],[FAF_atividade_fisica_frequente_em_horas]]+ 0.1)</f>
        <v>2.1</v>
      </c>
      <c r="S448" s="1">
        <f>(Tabela2[[#This Row],[TUE_tempo_uso_aparelhos_em_horas]]/Tabela2[[#This Row],[FAF_Var]])</f>
        <v>0</v>
      </c>
      <c r="T448">
        <f>(Tabela2[[#This Row],[CAEC_lanche_entre_refeicoes]]*Tabela2[[#This Row],[FAVC_consumo_frequente_de_alimentos_mt_caloricos]])</f>
        <v>2</v>
      </c>
      <c r="U448" s="1">
        <f>IF(OR(Tabela2[[#This Row],[MTRANS]]="Walking",Tabela2[[#This Row],[MTRANS]]="Bike"),Tabela2[[#This Row],[FAF_atividade_fisica_frequente_em_horas]]+1,M448)</f>
        <v>2</v>
      </c>
      <c r="V448">
        <f>(Tabela2[[#This Row],[SMOKE]]+Tabela2[[#This Row],[CALC_bebe_alcool_frequentemente]])</f>
        <v>1</v>
      </c>
      <c r="W448" s="8">
        <f>(Tabela2[[#This Row],[Weight]]/(Tabela2[[#This Row],[Height]] ^2))</f>
        <v>24.485652005136011</v>
      </c>
    </row>
    <row r="449" spans="1:23" x14ac:dyDescent="0.25">
      <c r="A449" t="s">
        <v>15</v>
      </c>
      <c r="B449" s="7">
        <v>19</v>
      </c>
      <c r="C449" s="4">
        <v>1.8</v>
      </c>
      <c r="D449" s="7">
        <v>87</v>
      </c>
      <c r="E449">
        <v>1</v>
      </c>
      <c r="F449">
        <v>1</v>
      </c>
      <c r="G449" s="2">
        <v>2</v>
      </c>
      <c r="H449" s="2">
        <v>4</v>
      </c>
      <c r="I449">
        <v>1</v>
      </c>
      <c r="J449">
        <v>0</v>
      </c>
      <c r="K449" s="2">
        <v>2</v>
      </c>
      <c r="L449">
        <v>0</v>
      </c>
      <c r="M449" s="7">
        <v>2</v>
      </c>
      <c r="N449" s="7">
        <v>1</v>
      </c>
      <c r="O449">
        <v>1</v>
      </c>
      <c r="P449" t="s">
        <v>14</v>
      </c>
      <c r="Q449">
        <v>2</v>
      </c>
      <c r="R449" s="8">
        <f>(Tabela2[[#This Row],[FAF_atividade_fisica_frequente_em_horas]]+ 0.1)</f>
        <v>2.1</v>
      </c>
      <c r="S449" s="1">
        <f>(Tabela2[[#This Row],[TUE_tempo_uso_aparelhos_em_horas]]/Tabela2[[#This Row],[FAF_Var]])</f>
        <v>0.47619047619047616</v>
      </c>
      <c r="T449">
        <f>(Tabela2[[#This Row],[CAEC_lanche_entre_refeicoes]]*Tabela2[[#This Row],[FAVC_consumo_frequente_de_alimentos_mt_caloricos]])</f>
        <v>1</v>
      </c>
      <c r="U449" s="1">
        <f>IF(OR(Tabela2[[#This Row],[MTRANS]]="Walking",Tabela2[[#This Row],[MTRANS]]="Bike"),Tabela2[[#This Row],[FAF_atividade_fisica_frequente_em_horas]]+1,M449)</f>
        <v>2</v>
      </c>
      <c r="V449">
        <f>(Tabela2[[#This Row],[SMOKE]]+Tabela2[[#This Row],[CALC_bebe_alcool_frequentemente]])</f>
        <v>1</v>
      </c>
      <c r="W449" s="8">
        <f>(Tabela2[[#This Row],[Weight]]/(Tabela2[[#This Row],[Height]] ^2))</f>
        <v>26.851851851851851</v>
      </c>
    </row>
    <row r="450" spans="1:23" x14ac:dyDescent="0.25">
      <c r="A450" t="s">
        <v>13</v>
      </c>
      <c r="B450" s="7">
        <v>24</v>
      </c>
      <c r="C450" s="4">
        <v>1.6</v>
      </c>
      <c r="D450" s="7">
        <v>100.5</v>
      </c>
      <c r="E450">
        <v>1</v>
      </c>
      <c r="F450">
        <v>1</v>
      </c>
      <c r="G450" s="2">
        <v>3</v>
      </c>
      <c r="H450" s="2">
        <v>1</v>
      </c>
      <c r="I450">
        <v>1</v>
      </c>
      <c r="J450">
        <v>0</v>
      </c>
      <c r="K450" s="2">
        <v>1</v>
      </c>
      <c r="L450">
        <v>0</v>
      </c>
      <c r="M450" s="7">
        <v>0</v>
      </c>
      <c r="N450" s="7">
        <v>2</v>
      </c>
      <c r="O450">
        <v>1</v>
      </c>
      <c r="P450" t="s">
        <v>14</v>
      </c>
      <c r="Q450">
        <v>5</v>
      </c>
      <c r="R450" s="8">
        <f>(Tabela2[[#This Row],[FAF_atividade_fisica_frequente_em_horas]]+ 0.1)</f>
        <v>0.1</v>
      </c>
      <c r="S450" s="1">
        <f>(Tabela2[[#This Row],[TUE_tempo_uso_aparelhos_em_horas]]/Tabela2[[#This Row],[FAF_Var]])</f>
        <v>20</v>
      </c>
      <c r="T450">
        <f>(Tabela2[[#This Row],[CAEC_lanche_entre_refeicoes]]*Tabela2[[#This Row],[FAVC_consumo_frequente_de_alimentos_mt_caloricos]])</f>
        <v>1</v>
      </c>
      <c r="U450" s="1">
        <f>IF(OR(Tabela2[[#This Row],[MTRANS]]="Walking",Tabela2[[#This Row],[MTRANS]]="Bike"),Tabela2[[#This Row],[FAF_atividade_fisica_frequente_em_horas]]+1,M450)</f>
        <v>0</v>
      </c>
      <c r="V450">
        <f>(Tabela2[[#This Row],[SMOKE]]+Tabela2[[#This Row],[CALC_bebe_alcool_frequentemente]])</f>
        <v>1</v>
      </c>
      <c r="W450" s="8">
        <f>(Tabela2[[#This Row],[Weight]]/(Tabela2[[#This Row],[Height]] ^2))</f>
        <v>39.257812499999993</v>
      </c>
    </row>
    <row r="451" spans="1:23" x14ac:dyDescent="0.25">
      <c r="A451" t="s">
        <v>13</v>
      </c>
      <c r="B451" s="7">
        <v>18</v>
      </c>
      <c r="C451" s="4">
        <v>1.63</v>
      </c>
      <c r="D451" s="7">
        <v>63</v>
      </c>
      <c r="E451">
        <v>1</v>
      </c>
      <c r="F451">
        <v>1</v>
      </c>
      <c r="G451" s="2">
        <v>1</v>
      </c>
      <c r="H451" s="2">
        <v>3</v>
      </c>
      <c r="I451">
        <v>1</v>
      </c>
      <c r="J451">
        <v>0</v>
      </c>
      <c r="K451" s="2">
        <v>2</v>
      </c>
      <c r="L451">
        <v>0</v>
      </c>
      <c r="M451" s="7">
        <v>2</v>
      </c>
      <c r="N451" s="7">
        <v>2</v>
      </c>
      <c r="O451">
        <v>1</v>
      </c>
      <c r="P451" t="s">
        <v>14</v>
      </c>
      <c r="Q451">
        <v>1</v>
      </c>
      <c r="R451" s="8">
        <f>(Tabela2[[#This Row],[FAF_atividade_fisica_frequente_em_horas]]+ 0.1)</f>
        <v>2.1</v>
      </c>
      <c r="S451" s="1">
        <f>(Tabela2[[#This Row],[TUE_tempo_uso_aparelhos_em_horas]]/Tabela2[[#This Row],[FAF_Var]])</f>
        <v>0.95238095238095233</v>
      </c>
      <c r="T451">
        <f>(Tabela2[[#This Row],[CAEC_lanche_entre_refeicoes]]*Tabela2[[#This Row],[FAVC_consumo_frequente_de_alimentos_mt_caloricos]])</f>
        <v>1</v>
      </c>
      <c r="U451" s="1">
        <f>IF(OR(Tabela2[[#This Row],[MTRANS]]="Walking",Tabela2[[#This Row],[MTRANS]]="Bike"),Tabela2[[#This Row],[FAF_atividade_fisica_frequente_em_horas]]+1,M451)</f>
        <v>2</v>
      </c>
      <c r="V451">
        <f>(Tabela2[[#This Row],[SMOKE]]+Tabela2[[#This Row],[CALC_bebe_alcool_frequentemente]])</f>
        <v>1</v>
      </c>
      <c r="W451" s="8">
        <f>(Tabela2[[#This Row],[Weight]]/(Tabela2[[#This Row],[Height]] ^2))</f>
        <v>23.711844630960897</v>
      </c>
    </row>
    <row r="452" spans="1:23" x14ac:dyDescent="0.25">
      <c r="A452" t="s">
        <v>15</v>
      </c>
      <c r="B452" s="7">
        <v>19</v>
      </c>
      <c r="C452" s="4">
        <v>1.71</v>
      </c>
      <c r="D452" s="7">
        <v>71</v>
      </c>
      <c r="E452">
        <v>0</v>
      </c>
      <c r="F452">
        <v>1</v>
      </c>
      <c r="G452" s="2">
        <v>3</v>
      </c>
      <c r="H452" s="2">
        <v>3</v>
      </c>
      <c r="I452">
        <v>1</v>
      </c>
      <c r="J452">
        <v>0</v>
      </c>
      <c r="K452" s="2">
        <v>2</v>
      </c>
      <c r="L452">
        <v>0</v>
      </c>
      <c r="M452" s="7">
        <v>1</v>
      </c>
      <c r="N452" s="7">
        <v>1</v>
      </c>
      <c r="O452">
        <v>1</v>
      </c>
      <c r="P452" t="s">
        <v>14</v>
      </c>
      <c r="Q452">
        <v>1</v>
      </c>
      <c r="R452" s="8">
        <f>(Tabela2[[#This Row],[FAF_atividade_fisica_frequente_em_horas]]+ 0.1)</f>
        <v>1.1000000000000001</v>
      </c>
      <c r="S452" s="1">
        <f>(Tabela2[[#This Row],[TUE_tempo_uso_aparelhos_em_horas]]/Tabela2[[#This Row],[FAF_Var]])</f>
        <v>0.90909090909090906</v>
      </c>
      <c r="T452">
        <f>(Tabela2[[#This Row],[CAEC_lanche_entre_refeicoes]]*Tabela2[[#This Row],[FAVC_consumo_frequente_de_alimentos_mt_caloricos]])</f>
        <v>1</v>
      </c>
      <c r="U452" s="1">
        <f>IF(OR(Tabela2[[#This Row],[MTRANS]]="Walking",Tabela2[[#This Row],[MTRANS]]="Bike"),Tabela2[[#This Row],[FAF_atividade_fisica_frequente_em_horas]]+1,M452)</f>
        <v>1</v>
      </c>
      <c r="V452">
        <f>(Tabela2[[#This Row],[SMOKE]]+Tabela2[[#This Row],[CALC_bebe_alcool_frequentemente]])</f>
        <v>1</v>
      </c>
      <c r="W452" s="8">
        <f>(Tabela2[[#This Row],[Weight]]/(Tabela2[[#This Row],[Height]] ^2))</f>
        <v>24.280975342840534</v>
      </c>
    </row>
    <row r="453" spans="1:23" x14ac:dyDescent="0.25">
      <c r="A453" t="s">
        <v>15</v>
      </c>
      <c r="B453" s="7">
        <v>19</v>
      </c>
      <c r="C453" s="4">
        <v>1.7</v>
      </c>
      <c r="D453" s="7">
        <v>65</v>
      </c>
      <c r="E453">
        <v>1</v>
      </c>
      <c r="F453">
        <v>0</v>
      </c>
      <c r="G453" s="2">
        <v>2</v>
      </c>
      <c r="H453" s="2">
        <v>3</v>
      </c>
      <c r="I453">
        <v>2</v>
      </c>
      <c r="J453">
        <v>0</v>
      </c>
      <c r="K453" s="2">
        <v>2</v>
      </c>
      <c r="L453">
        <v>0</v>
      </c>
      <c r="M453" s="7">
        <v>1</v>
      </c>
      <c r="N453" s="7">
        <v>0</v>
      </c>
      <c r="O453">
        <v>0</v>
      </c>
      <c r="P453" t="s">
        <v>14</v>
      </c>
      <c r="Q453">
        <v>1</v>
      </c>
      <c r="R453" s="8">
        <f>(Tabela2[[#This Row],[FAF_atividade_fisica_frequente_em_horas]]+ 0.1)</f>
        <v>1.1000000000000001</v>
      </c>
      <c r="S453" s="1">
        <f>(Tabela2[[#This Row],[TUE_tempo_uso_aparelhos_em_horas]]/Tabela2[[#This Row],[FAF_Var]])</f>
        <v>0</v>
      </c>
      <c r="T453">
        <f>(Tabela2[[#This Row],[CAEC_lanche_entre_refeicoes]]*Tabela2[[#This Row],[FAVC_consumo_frequente_de_alimentos_mt_caloricos]])</f>
        <v>0</v>
      </c>
      <c r="U453" s="1">
        <f>IF(OR(Tabela2[[#This Row],[MTRANS]]="Walking",Tabela2[[#This Row],[MTRANS]]="Bike"),Tabela2[[#This Row],[FAF_atividade_fisica_frequente_em_horas]]+1,M453)</f>
        <v>1</v>
      </c>
      <c r="V453">
        <f>(Tabela2[[#This Row],[SMOKE]]+Tabela2[[#This Row],[CALC_bebe_alcool_frequentemente]])</f>
        <v>0</v>
      </c>
      <c r="W453" s="8">
        <f>(Tabela2[[#This Row],[Weight]]/(Tabela2[[#This Row],[Height]] ^2))</f>
        <v>22.491349480968861</v>
      </c>
    </row>
    <row r="454" spans="1:23" x14ac:dyDescent="0.25">
      <c r="A454" t="s">
        <v>15</v>
      </c>
      <c r="B454" s="7">
        <v>23</v>
      </c>
      <c r="C454" s="4">
        <v>1.75</v>
      </c>
      <c r="D454" s="7">
        <v>69</v>
      </c>
      <c r="E454">
        <v>0</v>
      </c>
      <c r="F454">
        <v>0</v>
      </c>
      <c r="G454" s="2">
        <v>3</v>
      </c>
      <c r="H454" s="2">
        <v>3</v>
      </c>
      <c r="I454">
        <v>0</v>
      </c>
      <c r="J454">
        <v>0</v>
      </c>
      <c r="K454" s="2">
        <v>2</v>
      </c>
      <c r="L454">
        <v>0</v>
      </c>
      <c r="M454" s="7">
        <v>2</v>
      </c>
      <c r="N454" s="7">
        <v>1</v>
      </c>
      <c r="O454">
        <v>1</v>
      </c>
      <c r="P454" t="s">
        <v>17</v>
      </c>
      <c r="Q454">
        <v>1</v>
      </c>
      <c r="R454" s="8">
        <f>(Tabela2[[#This Row],[FAF_atividade_fisica_frequente_em_horas]]+ 0.1)</f>
        <v>2.1</v>
      </c>
      <c r="S454" s="1">
        <f>(Tabela2[[#This Row],[TUE_tempo_uso_aparelhos_em_horas]]/Tabela2[[#This Row],[FAF_Var]])</f>
        <v>0.47619047619047616</v>
      </c>
      <c r="T454">
        <f>(Tabela2[[#This Row],[CAEC_lanche_entre_refeicoes]]*Tabela2[[#This Row],[FAVC_consumo_frequente_de_alimentos_mt_caloricos]])</f>
        <v>0</v>
      </c>
      <c r="U454" s="1">
        <f>IF(OR(Tabela2[[#This Row],[MTRANS]]="Walking",Tabela2[[#This Row],[MTRANS]]="Bike"),Tabela2[[#This Row],[FAF_atividade_fisica_frequente_em_horas]]+1,M454)</f>
        <v>2</v>
      </c>
      <c r="V454">
        <f>(Tabela2[[#This Row],[SMOKE]]+Tabela2[[#This Row],[CALC_bebe_alcool_frequentemente]])</f>
        <v>1</v>
      </c>
      <c r="W454" s="8">
        <f>(Tabela2[[#This Row],[Weight]]/(Tabela2[[#This Row],[Height]] ^2))</f>
        <v>22.530612244897959</v>
      </c>
    </row>
    <row r="455" spans="1:23" x14ac:dyDescent="0.25">
      <c r="A455" t="s">
        <v>13</v>
      </c>
      <c r="B455" s="7">
        <v>18</v>
      </c>
      <c r="C455" s="4">
        <v>1.62</v>
      </c>
      <c r="D455" s="7">
        <v>50</v>
      </c>
      <c r="E455">
        <v>0</v>
      </c>
      <c r="F455">
        <v>1</v>
      </c>
      <c r="G455" s="2">
        <v>3</v>
      </c>
      <c r="H455" s="2">
        <v>3</v>
      </c>
      <c r="I455">
        <v>1</v>
      </c>
      <c r="J455">
        <v>0</v>
      </c>
      <c r="K455" s="2">
        <v>1</v>
      </c>
      <c r="L455">
        <v>0</v>
      </c>
      <c r="M455" s="7">
        <v>0</v>
      </c>
      <c r="N455" s="7">
        <v>0</v>
      </c>
      <c r="O455">
        <v>1</v>
      </c>
      <c r="P455" t="s">
        <v>17</v>
      </c>
      <c r="Q455">
        <v>1</v>
      </c>
      <c r="R455" s="8">
        <f>(Tabela2[[#This Row],[FAF_atividade_fisica_frequente_em_horas]]+ 0.1)</f>
        <v>0.1</v>
      </c>
      <c r="S455" s="1">
        <f>(Tabela2[[#This Row],[TUE_tempo_uso_aparelhos_em_horas]]/Tabela2[[#This Row],[FAF_Var]])</f>
        <v>0</v>
      </c>
      <c r="T455">
        <f>(Tabela2[[#This Row],[CAEC_lanche_entre_refeicoes]]*Tabela2[[#This Row],[FAVC_consumo_frequente_de_alimentos_mt_caloricos]])</f>
        <v>1</v>
      </c>
      <c r="U455" s="1">
        <f>IF(OR(Tabela2[[#This Row],[MTRANS]]="Walking",Tabela2[[#This Row],[MTRANS]]="Bike"),Tabela2[[#This Row],[FAF_atividade_fisica_frequente_em_horas]]+1,M455)</f>
        <v>0</v>
      </c>
      <c r="V455">
        <f>(Tabela2[[#This Row],[SMOKE]]+Tabela2[[#This Row],[CALC_bebe_alcool_frequentemente]])</f>
        <v>1</v>
      </c>
      <c r="W455" s="8">
        <f>(Tabela2[[#This Row],[Weight]]/(Tabela2[[#This Row],[Height]] ^2))</f>
        <v>19.051973784484069</v>
      </c>
    </row>
    <row r="456" spans="1:23" x14ac:dyDescent="0.25">
      <c r="A456" t="s">
        <v>13</v>
      </c>
      <c r="B456" s="7">
        <v>20</v>
      </c>
      <c r="C456" s="4">
        <v>1.68</v>
      </c>
      <c r="D456" s="7">
        <v>68</v>
      </c>
      <c r="E456">
        <v>0</v>
      </c>
      <c r="F456">
        <v>1</v>
      </c>
      <c r="G456" s="2">
        <v>3</v>
      </c>
      <c r="H456" s="2">
        <v>1</v>
      </c>
      <c r="I456">
        <v>1</v>
      </c>
      <c r="J456">
        <v>0</v>
      </c>
      <c r="K456" s="2">
        <v>1</v>
      </c>
      <c r="L456">
        <v>0</v>
      </c>
      <c r="M456" s="7">
        <v>1</v>
      </c>
      <c r="N456" s="7">
        <v>0</v>
      </c>
      <c r="O456">
        <v>0</v>
      </c>
      <c r="P456" t="s">
        <v>14</v>
      </c>
      <c r="Q456">
        <v>1</v>
      </c>
      <c r="R456" s="8">
        <f>(Tabela2[[#This Row],[FAF_atividade_fisica_frequente_em_horas]]+ 0.1)</f>
        <v>1.1000000000000001</v>
      </c>
      <c r="S456" s="1">
        <f>(Tabela2[[#This Row],[TUE_tempo_uso_aparelhos_em_horas]]/Tabela2[[#This Row],[FAF_Var]])</f>
        <v>0</v>
      </c>
      <c r="T456">
        <f>(Tabela2[[#This Row],[CAEC_lanche_entre_refeicoes]]*Tabela2[[#This Row],[FAVC_consumo_frequente_de_alimentos_mt_caloricos]])</f>
        <v>1</v>
      </c>
      <c r="U456" s="1">
        <f>IF(OR(Tabela2[[#This Row],[MTRANS]]="Walking",Tabela2[[#This Row],[MTRANS]]="Bike"),Tabela2[[#This Row],[FAF_atividade_fisica_frequente_em_horas]]+1,M456)</f>
        <v>1</v>
      </c>
      <c r="V456">
        <f>(Tabela2[[#This Row],[SMOKE]]+Tabela2[[#This Row],[CALC_bebe_alcool_frequentemente]])</f>
        <v>0</v>
      </c>
      <c r="W456" s="8">
        <f>(Tabela2[[#This Row],[Weight]]/(Tabela2[[#This Row],[Height]] ^2))</f>
        <v>24.092970521541954</v>
      </c>
    </row>
    <row r="457" spans="1:23" x14ac:dyDescent="0.25">
      <c r="A457" t="s">
        <v>15</v>
      </c>
      <c r="B457" s="7">
        <v>18</v>
      </c>
      <c r="C457" s="4">
        <v>1.85</v>
      </c>
      <c r="D457" s="7">
        <v>66</v>
      </c>
      <c r="E457">
        <v>0</v>
      </c>
      <c r="F457">
        <v>1</v>
      </c>
      <c r="G457" s="2">
        <v>2</v>
      </c>
      <c r="H457" s="2">
        <v>3</v>
      </c>
      <c r="I457">
        <v>2</v>
      </c>
      <c r="J457">
        <v>0</v>
      </c>
      <c r="K457" s="2">
        <v>1</v>
      </c>
      <c r="L457">
        <v>0</v>
      </c>
      <c r="M457" s="7">
        <v>1</v>
      </c>
      <c r="N457" s="7">
        <v>1</v>
      </c>
      <c r="O457">
        <v>1</v>
      </c>
      <c r="P457" t="s">
        <v>14</v>
      </c>
      <c r="Q457">
        <v>1</v>
      </c>
      <c r="R457" s="8">
        <f>(Tabela2[[#This Row],[FAF_atividade_fisica_frequente_em_horas]]+ 0.1)</f>
        <v>1.1000000000000001</v>
      </c>
      <c r="S457" s="1">
        <f>(Tabela2[[#This Row],[TUE_tempo_uso_aparelhos_em_horas]]/Tabela2[[#This Row],[FAF_Var]])</f>
        <v>0.90909090909090906</v>
      </c>
      <c r="T457">
        <f>(Tabela2[[#This Row],[CAEC_lanche_entre_refeicoes]]*Tabela2[[#This Row],[FAVC_consumo_frequente_de_alimentos_mt_caloricos]])</f>
        <v>2</v>
      </c>
      <c r="U457" s="1">
        <f>IF(OR(Tabela2[[#This Row],[MTRANS]]="Walking",Tabela2[[#This Row],[MTRANS]]="Bike"),Tabela2[[#This Row],[FAF_atividade_fisica_frequente_em_horas]]+1,M457)</f>
        <v>1</v>
      </c>
      <c r="V457">
        <f>(Tabela2[[#This Row],[SMOKE]]+Tabela2[[#This Row],[CALC_bebe_alcool_frequentemente]])</f>
        <v>1</v>
      </c>
      <c r="W457" s="8">
        <f>(Tabela2[[#This Row],[Weight]]/(Tabela2[[#This Row],[Height]] ^2))</f>
        <v>19.284149013878743</v>
      </c>
    </row>
    <row r="458" spans="1:23" x14ac:dyDescent="0.25">
      <c r="A458" t="s">
        <v>13</v>
      </c>
      <c r="B458" s="7">
        <v>33</v>
      </c>
      <c r="C458" s="4">
        <v>1.59</v>
      </c>
      <c r="D458" s="7">
        <v>60</v>
      </c>
      <c r="E458">
        <v>0</v>
      </c>
      <c r="F458">
        <v>1</v>
      </c>
      <c r="G458" s="2">
        <v>3</v>
      </c>
      <c r="H458" s="2">
        <v>1</v>
      </c>
      <c r="I458">
        <v>2</v>
      </c>
      <c r="J458">
        <v>0</v>
      </c>
      <c r="K458" s="2">
        <v>2</v>
      </c>
      <c r="L458">
        <v>0</v>
      </c>
      <c r="M458" s="7">
        <v>0</v>
      </c>
      <c r="N458" s="7">
        <v>0</v>
      </c>
      <c r="O458">
        <v>0</v>
      </c>
      <c r="P458" t="s">
        <v>14</v>
      </c>
      <c r="Q458">
        <v>1</v>
      </c>
      <c r="R458" s="8">
        <f>(Tabela2[[#This Row],[FAF_atividade_fisica_frequente_em_horas]]+ 0.1)</f>
        <v>0.1</v>
      </c>
      <c r="S458" s="1">
        <f>(Tabela2[[#This Row],[TUE_tempo_uso_aparelhos_em_horas]]/Tabela2[[#This Row],[FAF_Var]])</f>
        <v>0</v>
      </c>
      <c r="T458">
        <f>(Tabela2[[#This Row],[CAEC_lanche_entre_refeicoes]]*Tabela2[[#This Row],[FAVC_consumo_frequente_de_alimentos_mt_caloricos]])</f>
        <v>2</v>
      </c>
      <c r="U458" s="1">
        <f>IF(OR(Tabela2[[#This Row],[MTRANS]]="Walking",Tabela2[[#This Row],[MTRANS]]="Bike"),Tabela2[[#This Row],[FAF_atividade_fisica_frequente_em_horas]]+1,M458)</f>
        <v>0</v>
      </c>
      <c r="V458">
        <f>(Tabela2[[#This Row],[SMOKE]]+Tabela2[[#This Row],[CALC_bebe_alcool_frequentemente]])</f>
        <v>0</v>
      </c>
      <c r="W458" s="8">
        <f>(Tabela2[[#This Row],[Weight]]/(Tabela2[[#This Row],[Height]] ^2))</f>
        <v>23.733238400379729</v>
      </c>
    </row>
    <row r="459" spans="1:23" x14ac:dyDescent="0.25">
      <c r="A459" t="s">
        <v>13</v>
      </c>
      <c r="B459" s="7">
        <v>19</v>
      </c>
      <c r="C459" s="4">
        <v>1.5</v>
      </c>
      <c r="D459" s="7">
        <v>45</v>
      </c>
      <c r="E459">
        <v>0</v>
      </c>
      <c r="F459">
        <v>1</v>
      </c>
      <c r="G459" s="2">
        <v>2</v>
      </c>
      <c r="H459" s="2">
        <v>3</v>
      </c>
      <c r="I459">
        <v>1</v>
      </c>
      <c r="J459">
        <v>0</v>
      </c>
      <c r="K459" s="2">
        <v>1</v>
      </c>
      <c r="L459">
        <v>0</v>
      </c>
      <c r="M459" s="7">
        <v>0</v>
      </c>
      <c r="N459" s="7">
        <v>0</v>
      </c>
      <c r="O459">
        <v>1</v>
      </c>
      <c r="P459" t="s">
        <v>14</v>
      </c>
      <c r="Q459">
        <v>1</v>
      </c>
      <c r="R459" s="8">
        <f>(Tabela2[[#This Row],[FAF_atividade_fisica_frequente_em_horas]]+ 0.1)</f>
        <v>0.1</v>
      </c>
      <c r="S459" s="1">
        <f>(Tabela2[[#This Row],[TUE_tempo_uso_aparelhos_em_horas]]/Tabela2[[#This Row],[FAF_Var]])</f>
        <v>0</v>
      </c>
      <c r="T459">
        <f>(Tabela2[[#This Row],[CAEC_lanche_entre_refeicoes]]*Tabela2[[#This Row],[FAVC_consumo_frequente_de_alimentos_mt_caloricos]])</f>
        <v>1</v>
      </c>
      <c r="U459" s="1">
        <f>IF(OR(Tabela2[[#This Row],[MTRANS]]="Walking",Tabela2[[#This Row],[MTRANS]]="Bike"),Tabela2[[#This Row],[FAF_atividade_fisica_frequente_em_horas]]+1,M459)</f>
        <v>0</v>
      </c>
      <c r="V459">
        <f>(Tabela2[[#This Row],[SMOKE]]+Tabela2[[#This Row],[CALC_bebe_alcool_frequentemente]])</f>
        <v>1</v>
      </c>
      <c r="W459" s="8">
        <f>(Tabela2[[#This Row],[Weight]]/(Tabela2[[#This Row],[Height]] ^2))</f>
        <v>20</v>
      </c>
    </row>
    <row r="460" spans="1:23" x14ac:dyDescent="0.25">
      <c r="A460" t="s">
        <v>15</v>
      </c>
      <c r="B460" s="7">
        <v>19</v>
      </c>
      <c r="C460" s="4">
        <v>1.69</v>
      </c>
      <c r="D460" s="7">
        <v>60</v>
      </c>
      <c r="E460">
        <v>0</v>
      </c>
      <c r="F460">
        <v>1</v>
      </c>
      <c r="G460" s="2">
        <v>2</v>
      </c>
      <c r="H460" s="2">
        <v>3</v>
      </c>
      <c r="I460">
        <v>3</v>
      </c>
      <c r="J460">
        <v>0</v>
      </c>
      <c r="K460" s="2">
        <v>1</v>
      </c>
      <c r="L460">
        <v>0</v>
      </c>
      <c r="M460" s="7">
        <v>1</v>
      </c>
      <c r="N460" s="7">
        <v>1</v>
      </c>
      <c r="O460">
        <v>1</v>
      </c>
      <c r="P460" t="s">
        <v>14</v>
      </c>
      <c r="Q460">
        <v>1</v>
      </c>
      <c r="R460" s="8">
        <f>(Tabela2[[#This Row],[FAF_atividade_fisica_frequente_em_horas]]+ 0.1)</f>
        <v>1.1000000000000001</v>
      </c>
      <c r="S460" s="1">
        <f>(Tabela2[[#This Row],[TUE_tempo_uso_aparelhos_em_horas]]/Tabela2[[#This Row],[FAF_Var]])</f>
        <v>0.90909090909090906</v>
      </c>
      <c r="T460">
        <f>(Tabela2[[#This Row],[CAEC_lanche_entre_refeicoes]]*Tabela2[[#This Row],[FAVC_consumo_frequente_de_alimentos_mt_caloricos]])</f>
        <v>3</v>
      </c>
      <c r="U460" s="1">
        <f>IF(OR(Tabela2[[#This Row],[MTRANS]]="Walking",Tabela2[[#This Row],[MTRANS]]="Bike"),Tabela2[[#This Row],[FAF_atividade_fisica_frequente_em_horas]]+1,M460)</f>
        <v>1</v>
      </c>
      <c r="V460">
        <f>(Tabela2[[#This Row],[SMOKE]]+Tabela2[[#This Row],[CALC_bebe_alcool_frequentemente]])</f>
        <v>1</v>
      </c>
      <c r="W460" s="8">
        <f>(Tabela2[[#This Row],[Weight]]/(Tabela2[[#This Row],[Height]] ^2))</f>
        <v>21.007667798746546</v>
      </c>
    </row>
    <row r="461" spans="1:23" x14ac:dyDescent="0.25">
      <c r="A461" t="s">
        <v>15</v>
      </c>
      <c r="B461" s="7">
        <v>19</v>
      </c>
      <c r="C461" s="4">
        <v>1.76</v>
      </c>
      <c r="D461" s="7">
        <v>79</v>
      </c>
      <c r="E461">
        <v>1</v>
      </c>
      <c r="F461">
        <v>1</v>
      </c>
      <c r="G461" s="2">
        <v>2</v>
      </c>
      <c r="H461" s="2">
        <v>3</v>
      </c>
      <c r="I461">
        <v>2</v>
      </c>
      <c r="J461">
        <v>0</v>
      </c>
      <c r="K461" s="2">
        <v>3</v>
      </c>
      <c r="L461">
        <v>0</v>
      </c>
      <c r="M461" s="7">
        <v>1</v>
      </c>
      <c r="N461" s="7">
        <v>2</v>
      </c>
      <c r="O461">
        <v>2</v>
      </c>
      <c r="P461" t="s">
        <v>14</v>
      </c>
      <c r="Q461">
        <v>2</v>
      </c>
      <c r="R461" s="8">
        <f>(Tabela2[[#This Row],[FAF_atividade_fisica_frequente_em_horas]]+ 0.1)</f>
        <v>1.1000000000000001</v>
      </c>
      <c r="S461" s="1">
        <f>(Tabela2[[#This Row],[TUE_tempo_uso_aparelhos_em_horas]]/Tabela2[[#This Row],[FAF_Var]])</f>
        <v>1.8181818181818181</v>
      </c>
      <c r="T461">
        <f>(Tabela2[[#This Row],[CAEC_lanche_entre_refeicoes]]*Tabela2[[#This Row],[FAVC_consumo_frequente_de_alimentos_mt_caloricos]])</f>
        <v>2</v>
      </c>
      <c r="U461" s="1">
        <f>IF(OR(Tabela2[[#This Row],[MTRANS]]="Walking",Tabela2[[#This Row],[MTRANS]]="Bike"),Tabela2[[#This Row],[FAF_atividade_fisica_frequente_em_horas]]+1,M461)</f>
        <v>1</v>
      </c>
      <c r="V461">
        <f>(Tabela2[[#This Row],[SMOKE]]+Tabela2[[#This Row],[CALC_bebe_alcool_frequentemente]])</f>
        <v>2</v>
      </c>
      <c r="W461" s="8">
        <f>(Tabela2[[#This Row],[Weight]]/(Tabela2[[#This Row],[Height]] ^2))</f>
        <v>25.50361570247934</v>
      </c>
    </row>
    <row r="462" spans="1:23" x14ac:dyDescent="0.25">
      <c r="A462" t="s">
        <v>13</v>
      </c>
      <c r="B462" s="7">
        <v>18</v>
      </c>
      <c r="C462" s="4">
        <v>1.62</v>
      </c>
      <c r="D462" s="7">
        <v>55</v>
      </c>
      <c r="E462">
        <v>1</v>
      </c>
      <c r="F462">
        <v>1</v>
      </c>
      <c r="G462" s="2">
        <v>2</v>
      </c>
      <c r="H462" s="2">
        <v>3</v>
      </c>
      <c r="I462">
        <v>2</v>
      </c>
      <c r="J462">
        <v>0</v>
      </c>
      <c r="K462" s="2">
        <v>1</v>
      </c>
      <c r="L462">
        <v>0</v>
      </c>
      <c r="M462" s="7">
        <v>1</v>
      </c>
      <c r="N462" s="7">
        <v>1</v>
      </c>
      <c r="O462">
        <v>0</v>
      </c>
      <c r="P462" t="s">
        <v>14</v>
      </c>
      <c r="Q462">
        <v>1</v>
      </c>
      <c r="R462" s="8">
        <f>(Tabela2[[#This Row],[FAF_atividade_fisica_frequente_em_horas]]+ 0.1)</f>
        <v>1.1000000000000001</v>
      </c>
      <c r="S462" s="1">
        <f>(Tabela2[[#This Row],[TUE_tempo_uso_aparelhos_em_horas]]/Tabela2[[#This Row],[FAF_Var]])</f>
        <v>0.90909090909090906</v>
      </c>
      <c r="T462">
        <f>(Tabela2[[#This Row],[CAEC_lanche_entre_refeicoes]]*Tabela2[[#This Row],[FAVC_consumo_frequente_de_alimentos_mt_caloricos]])</f>
        <v>2</v>
      </c>
      <c r="U462" s="1">
        <f>IF(OR(Tabela2[[#This Row],[MTRANS]]="Walking",Tabela2[[#This Row],[MTRANS]]="Bike"),Tabela2[[#This Row],[FAF_atividade_fisica_frequente_em_horas]]+1,M462)</f>
        <v>1</v>
      </c>
      <c r="V462">
        <f>(Tabela2[[#This Row],[SMOKE]]+Tabela2[[#This Row],[CALC_bebe_alcool_frequentemente]])</f>
        <v>0</v>
      </c>
      <c r="W462" s="8">
        <f>(Tabela2[[#This Row],[Weight]]/(Tabela2[[#This Row],[Height]] ^2))</f>
        <v>20.957171162932475</v>
      </c>
    </row>
    <row r="463" spans="1:23" x14ac:dyDescent="0.25">
      <c r="A463" t="s">
        <v>15</v>
      </c>
      <c r="B463" s="7">
        <v>21</v>
      </c>
      <c r="C463" s="4">
        <v>1.71</v>
      </c>
      <c r="D463" s="7">
        <v>100</v>
      </c>
      <c r="E463">
        <v>1</v>
      </c>
      <c r="F463">
        <v>1</v>
      </c>
      <c r="G463" s="2">
        <v>2</v>
      </c>
      <c r="H463" s="2">
        <v>1</v>
      </c>
      <c r="I463">
        <v>1</v>
      </c>
      <c r="J463">
        <v>0</v>
      </c>
      <c r="K463" s="2">
        <v>2</v>
      </c>
      <c r="L463">
        <v>0</v>
      </c>
      <c r="M463" s="7">
        <v>0</v>
      </c>
      <c r="N463" s="7">
        <v>2</v>
      </c>
      <c r="O463">
        <v>0</v>
      </c>
      <c r="P463" t="s">
        <v>14</v>
      </c>
      <c r="Q463">
        <v>4</v>
      </c>
      <c r="R463" s="8">
        <f>(Tabela2[[#This Row],[FAF_atividade_fisica_frequente_em_horas]]+ 0.1)</f>
        <v>0.1</v>
      </c>
      <c r="S463" s="1">
        <f>(Tabela2[[#This Row],[TUE_tempo_uso_aparelhos_em_horas]]/Tabela2[[#This Row],[FAF_Var]])</f>
        <v>20</v>
      </c>
      <c r="T463">
        <f>(Tabela2[[#This Row],[CAEC_lanche_entre_refeicoes]]*Tabela2[[#This Row],[FAVC_consumo_frequente_de_alimentos_mt_caloricos]])</f>
        <v>1</v>
      </c>
      <c r="U463" s="1">
        <f>IF(OR(Tabela2[[#This Row],[MTRANS]]="Walking",Tabela2[[#This Row],[MTRANS]]="Bike"),Tabela2[[#This Row],[FAF_atividade_fisica_frequente_em_horas]]+1,M463)</f>
        <v>0</v>
      </c>
      <c r="V463">
        <f>(Tabela2[[#This Row],[SMOKE]]+Tabela2[[#This Row],[CALC_bebe_alcool_frequentemente]])</f>
        <v>0</v>
      </c>
      <c r="W463" s="8">
        <f>(Tabela2[[#This Row],[Weight]]/(Tabela2[[#This Row],[Height]] ^2))</f>
        <v>34.198556820902162</v>
      </c>
    </row>
    <row r="464" spans="1:23" x14ac:dyDescent="0.25">
      <c r="A464" t="s">
        <v>15</v>
      </c>
      <c r="B464" s="7">
        <v>27</v>
      </c>
      <c r="C464" s="4">
        <v>1.72</v>
      </c>
      <c r="D464" s="7">
        <v>88</v>
      </c>
      <c r="E464">
        <v>1</v>
      </c>
      <c r="F464">
        <v>1</v>
      </c>
      <c r="G464" s="2">
        <v>2</v>
      </c>
      <c r="H464" s="2">
        <v>1</v>
      </c>
      <c r="I464">
        <v>3</v>
      </c>
      <c r="J464">
        <v>0</v>
      </c>
      <c r="K464" s="2">
        <v>2</v>
      </c>
      <c r="L464">
        <v>0</v>
      </c>
      <c r="M464" s="7">
        <v>0</v>
      </c>
      <c r="N464" s="7">
        <v>0</v>
      </c>
      <c r="O464">
        <v>1</v>
      </c>
      <c r="P464" t="s">
        <v>17</v>
      </c>
      <c r="Q464">
        <v>3</v>
      </c>
      <c r="R464" s="8">
        <f>(Tabela2[[#This Row],[FAF_atividade_fisica_frequente_em_horas]]+ 0.1)</f>
        <v>0.1</v>
      </c>
      <c r="S464" s="1">
        <f>(Tabela2[[#This Row],[TUE_tempo_uso_aparelhos_em_horas]]/Tabela2[[#This Row],[FAF_Var]])</f>
        <v>0</v>
      </c>
      <c r="T464">
        <f>(Tabela2[[#This Row],[CAEC_lanche_entre_refeicoes]]*Tabela2[[#This Row],[FAVC_consumo_frequente_de_alimentos_mt_caloricos]])</f>
        <v>3</v>
      </c>
      <c r="U464" s="1">
        <f>IF(OR(Tabela2[[#This Row],[MTRANS]]="Walking",Tabela2[[#This Row],[MTRANS]]="Bike"),Tabela2[[#This Row],[FAF_atividade_fisica_frequente_em_horas]]+1,M464)</f>
        <v>0</v>
      </c>
      <c r="V464">
        <f>(Tabela2[[#This Row],[SMOKE]]+Tabela2[[#This Row],[CALC_bebe_alcool_frequentemente]])</f>
        <v>1</v>
      </c>
      <c r="W464" s="8">
        <f>(Tabela2[[#This Row],[Weight]]/(Tabela2[[#This Row],[Height]] ^2))</f>
        <v>29.745808545159548</v>
      </c>
    </row>
    <row r="465" spans="1:23" x14ac:dyDescent="0.25">
      <c r="A465" t="s">
        <v>15</v>
      </c>
      <c r="B465" s="7">
        <v>17</v>
      </c>
      <c r="C465" s="4">
        <v>1.8</v>
      </c>
      <c r="D465" s="7">
        <v>68</v>
      </c>
      <c r="E465">
        <v>1</v>
      </c>
      <c r="F465">
        <v>0</v>
      </c>
      <c r="G465" s="2">
        <v>2</v>
      </c>
      <c r="H465" s="2">
        <v>3</v>
      </c>
      <c r="I465">
        <v>1</v>
      </c>
      <c r="J465">
        <v>0</v>
      </c>
      <c r="K465" s="2">
        <v>1</v>
      </c>
      <c r="L465">
        <v>0</v>
      </c>
      <c r="M465" s="7">
        <v>2</v>
      </c>
      <c r="N465" s="7">
        <v>1</v>
      </c>
      <c r="O465">
        <v>1</v>
      </c>
      <c r="P465" t="s">
        <v>14</v>
      </c>
      <c r="Q465">
        <v>1</v>
      </c>
      <c r="R465" s="8">
        <f>(Tabela2[[#This Row],[FAF_atividade_fisica_frequente_em_horas]]+ 0.1)</f>
        <v>2.1</v>
      </c>
      <c r="S465" s="1">
        <f>(Tabela2[[#This Row],[TUE_tempo_uso_aparelhos_em_horas]]/Tabela2[[#This Row],[FAF_Var]])</f>
        <v>0.47619047619047616</v>
      </c>
      <c r="T465">
        <f>(Tabela2[[#This Row],[CAEC_lanche_entre_refeicoes]]*Tabela2[[#This Row],[FAVC_consumo_frequente_de_alimentos_mt_caloricos]])</f>
        <v>0</v>
      </c>
      <c r="U465" s="1">
        <f>IF(OR(Tabela2[[#This Row],[MTRANS]]="Walking",Tabela2[[#This Row],[MTRANS]]="Bike"),Tabela2[[#This Row],[FAF_atividade_fisica_frequente_em_horas]]+1,M465)</f>
        <v>2</v>
      </c>
      <c r="V465">
        <f>(Tabela2[[#This Row],[SMOKE]]+Tabela2[[#This Row],[CALC_bebe_alcool_frequentemente]])</f>
        <v>1</v>
      </c>
      <c r="W465" s="8">
        <f>(Tabela2[[#This Row],[Weight]]/(Tabela2[[#This Row],[Height]] ^2))</f>
        <v>20.987654320987652</v>
      </c>
    </row>
    <row r="466" spans="1:23" x14ac:dyDescent="0.25">
      <c r="A466" t="s">
        <v>15</v>
      </c>
      <c r="B466" s="7">
        <v>18</v>
      </c>
      <c r="C466" s="4">
        <v>1.93</v>
      </c>
      <c r="D466" s="7">
        <v>86</v>
      </c>
      <c r="E466">
        <v>0</v>
      </c>
      <c r="F466">
        <v>0</v>
      </c>
      <c r="G466" s="2">
        <v>3</v>
      </c>
      <c r="H466" s="2">
        <v>4</v>
      </c>
      <c r="I466">
        <v>3</v>
      </c>
      <c r="J466">
        <v>0</v>
      </c>
      <c r="K466" s="2">
        <v>2</v>
      </c>
      <c r="L466">
        <v>0</v>
      </c>
      <c r="M466" s="7">
        <v>2</v>
      </c>
      <c r="N466" s="7">
        <v>0</v>
      </c>
      <c r="O466">
        <v>1</v>
      </c>
      <c r="P466" t="s">
        <v>16</v>
      </c>
      <c r="Q466">
        <v>1</v>
      </c>
      <c r="R466" s="8">
        <f>(Tabela2[[#This Row],[FAF_atividade_fisica_frequente_em_horas]]+ 0.1)</f>
        <v>2.1</v>
      </c>
      <c r="S466" s="1">
        <f>(Tabela2[[#This Row],[TUE_tempo_uso_aparelhos_em_horas]]/Tabela2[[#This Row],[FAF_Var]])</f>
        <v>0</v>
      </c>
      <c r="T466">
        <f>(Tabela2[[#This Row],[CAEC_lanche_entre_refeicoes]]*Tabela2[[#This Row],[FAVC_consumo_frequente_de_alimentos_mt_caloricos]])</f>
        <v>0</v>
      </c>
      <c r="U466" s="1">
        <f>IF(OR(Tabela2[[#This Row],[MTRANS]]="Walking",Tabela2[[#This Row],[MTRANS]]="Bike"),Tabela2[[#This Row],[FAF_atividade_fisica_frequente_em_horas]]+1,M466)</f>
        <v>3</v>
      </c>
      <c r="V466">
        <f>(Tabela2[[#This Row],[SMOKE]]+Tabela2[[#This Row],[CALC_bebe_alcool_frequentemente]])</f>
        <v>1</v>
      </c>
      <c r="W466" s="8">
        <f>(Tabela2[[#This Row],[Weight]]/(Tabela2[[#This Row],[Height]] ^2))</f>
        <v>23.087868130688072</v>
      </c>
    </row>
    <row r="467" spans="1:23" x14ac:dyDescent="0.25">
      <c r="A467" t="s">
        <v>13</v>
      </c>
      <c r="B467" s="7">
        <v>18</v>
      </c>
      <c r="C467" s="4">
        <v>1.6</v>
      </c>
      <c r="D467" s="7">
        <v>51</v>
      </c>
      <c r="E467">
        <v>1</v>
      </c>
      <c r="F467">
        <v>1</v>
      </c>
      <c r="G467" s="2">
        <v>2</v>
      </c>
      <c r="H467" s="2">
        <v>3</v>
      </c>
      <c r="I467">
        <v>2</v>
      </c>
      <c r="J467">
        <v>0</v>
      </c>
      <c r="K467" s="2">
        <v>1</v>
      </c>
      <c r="L467">
        <v>0</v>
      </c>
      <c r="M467" s="7">
        <v>1</v>
      </c>
      <c r="N467" s="7">
        <v>1</v>
      </c>
      <c r="O467">
        <v>1</v>
      </c>
      <c r="P467" t="s">
        <v>14</v>
      </c>
      <c r="Q467">
        <v>1</v>
      </c>
      <c r="R467" s="8">
        <f>(Tabela2[[#This Row],[FAF_atividade_fisica_frequente_em_horas]]+ 0.1)</f>
        <v>1.1000000000000001</v>
      </c>
      <c r="S467" s="1">
        <f>(Tabela2[[#This Row],[TUE_tempo_uso_aparelhos_em_horas]]/Tabela2[[#This Row],[FAF_Var]])</f>
        <v>0.90909090909090906</v>
      </c>
      <c r="T467">
        <f>(Tabela2[[#This Row],[CAEC_lanche_entre_refeicoes]]*Tabela2[[#This Row],[FAVC_consumo_frequente_de_alimentos_mt_caloricos]])</f>
        <v>2</v>
      </c>
      <c r="U467" s="1">
        <f>IF(OR(Tabela2[[#This Row],[MTRANS]]="Walking",Tabela2[[#This Row],[MTRANS]]="Bike"),Tabela2[[#This Row],[FAF_atividade_fisica_frequente_em_horas]]+1,M467)</f>
        <v>1</v>
      </c>
      <c r="V467">
        <f>(Tabela2[[#This Row],[SMOKE]]+Tabela2[[#This Row],[CALC_bebe_alcool_frequentemente]])</f>
        <v>1</v>
      </c>
      <c r="W467" s="8">
        <f>(Tabela2[[#This Row],[Weight]]/(Tabela2[[#This Row],[Height]] ^2))</f>
        <v>19.921874999999996</v>
      </c>
    </row>
    <row r="468" spans="1:23" x14ac:dyDescent="0.25">
      <c r="A468" t="s">
        <v>15</v>
      </c>
      <c r="B468" s="7">
        <v>22</v>
      </c>
      <c r="C468" s="4">
        <v>1.74</v>
      </c>
      <c r="D468" s="7">
        <v>75</v>
      </c>
      <c r="E468">
        <v>1</v>
      </c>
      <c r="F468">
        <v>1</v>
      </c>
      <c r="G468" s="2">
        <v>3</v>
      </c>
      <c r="H468" s="2">
        <v>3</v>
      </c>
      <c r="I468">
        <v>2</v>
      </c>
      <c r="J468">
        <v>0</v>
      </c>
      <c r="K468" s="2">
        <v>1</v>
      </c>
      <c r="L468">
        <v>0</v>
      </c>
      <c r="M468" s="7">
        <v>1</v>
      </c>
      <c r="N468" s="7">
        <v>0</v>
      </c>
      <c r="O468">
        <v>0</v>
      </c>
      <c r="P468" t="s">
        <v>17</v>
      </c>
      <c r="Q468">
        <v>1</v>
      </c>
      <c r="R468" s="8">
        <f>(Tabela2[[#This Row],[FAF_atividade_fisica_frequente_em_horas]]+ 0.1)</f>
        <v>1.1000000000000001</v>
      </c>
      <c r="S468" s="1">
        <f>(Tabela2[[#This Row],[TUE_tempo_uso_aparelhos_em_horas]]/Tabela2[[#This Row],[FAF_Var]])</f>
        <v>0</v>
      </c>
      <c r="T468">
        <f>(Tabela2[[#This Row],[CAEC_lanche_entre_refeicoes]]*Tabela2[[#This Row],[FAVC_consumo_frequente_de_alimentos_mt_caloricos]])</f>
        <v>2</v>
      </c>
      <c r="U468" s="1">
        <f>IF(OR(Tabela2[[#This Row],[MTRANS]]="Walking",Tabela2[[#This Row],[MTRANS]]="Bike"),Tabela2[[#This Row],[FAF_atividade_fisica_frequente_em_horas]]+1,M468)</f>
        <v>1</v>
      </c>
      <c r="V468">
        <f>(Tabela2[[#This Row],[SMOKE]]+Tabela2[[#This Row],[CALC_bebe_alcool_frequentemente]])</f>
        <v>0</v>
      </c>
      <c r="W468" s="8">
        <f>(Tabela2[[#This Row],[Weight]]/(Tabela2[[#This Row],[Height]] ^2))</f>
        <v>24.772096710265558</v>
      </c>
    </row>
    <row r="469" spans="1:23" x14ac:dyDescent="0.25">
      <c r="A469" t="s">
        <v>15</v>
      </c>
      <c r="B469" s="7">
        <v>22</v>
      </c>
      <c r="C469" s="4">
        <v>1.74</v>
      </c>
      <c r="D469" s="7">
        <v>75</v>
      </c>
      <c r="E469">
        <v>1</v>
      </c>
      <c r="F469">
        <v>1</v>
      </c>
      <c r="G469" s="2">
        <v>3</v>
      </c>
      <c r="H469" s="2">
        <v>3</v>
      </c>
      <c r="I469">
        <v>2</v>
      </c>
      <c r="J469">
        <v>0</v>
      </c>
      <c r="K469" s="2">
        <v>1</v>
      </c>
      <c r="L469">
        <v>0</v>
      </c>
      <c r="M469" s="7">
        <v>1</v>
      </c>
      <c r="N469" s="7">
        <v>0</v>
      </c>
      <c r="O469">
        <v>0</v>
      </c>
      <c r="P469" t="s">
        <v>17</v>
      </c>
      <c r="Q469">
        <v>1</v>
      </c>
      <c r="R469" s="8">
        <f>(Tabela2[[#This Row],[FAF_atividade_fisica_frequente_em_horas]]+ 0.1)</f>
        <v>1.1000000000000001</v>
      </c>
      <c r="S469" s="1">
        <f>(Tabela2[[#This Row],[TUE_tempo_uso_aparelhos_em_horas]]/Tabela2[[#This Row],[FAF_Var]])</f>
        <v>0</v>
      </c>
      <c r="T469">
        <f>(Tabela2[[#This Row],[CAEC_lanche_entre_refeicoes]]*Tabela2[[#This Row],[FAVC_consumo_frequente_de_alimentos_mt_caloricos]])</f>
        <v>2</v>
      </c>
      <c r="U469" s="1">
        <f>IF(OR(Tabela2[[#This Row],[MTRANS]]="Walking",Tabela2[[#This Row],[MTRANS]]="Bike"),Tabela2[[#This Row],[FAF_atividade_fisica_frequente_em_horas]]+1,M469)</f>
        <v>1</v>
      </c>
      <c r="V469">
        <f>(Tabela2[[#This Row],[SMOKE]]+Tabela2[[#This Row],[CALC_bebe_alcool_frequentemente]])</f>
        <v>0</v>
      </c>
      <c r="W469" s="8">
        <f>(Tabela2[[#This Row],[Weight]]/(Tabela2[[#This Row],[Height]] ^2))</f>
        <v>24.772096710265558</v>
      </c>
    </row>
    <row r="470" spans="1:23" x14ac:dyDescent="0.25">
      <c r="A470" t="s">
        <v>13</v>
      </c>
      <c r="B470" s="7">
        <v>20</v>
      </c>
      <c r="C470" s="4">
        <v>1.62</v>
      </c>
      <c r="D470" s="7">
        <v>45</v>
      </c>
      <c r="E470">
        <v>0</v>
      </c>
      <c r="F470">
        <v>1</v>
      </c>
      <c r="G470" s="2">
        <v>3</v>
      </c>
      <c r="H470" s="2">
        <v>3</v>
      </c>
      <c r="I470">
        <v>2</v>
      </c>
      <c r="J470">
        <v>0</v>
      </c>
      <c r="K470" s="2">
        <v>1</v>
      </c>
      <c r="L470">
        <v>0</v>
      </c>
      <c r="M470" s="7">
        <v>1</v>
      </c>
      <c r="N470" s="7">
        <v>0</v>
      </c>
      <c r="O470">
        <v>1</v>
      </c>
      <c r="P470" t="s">
        <v>14</v>
      </c>
      <c r="Q470">
        <v>0</v>
      </c>
      <c r="R470" s="8">
        <f>(Tabela2[[#This Row],[FAF_atividade_fisica_frequente_em_horas]]+ 0.1)</f>
        <v>1.1000000000000001</v>
      </c>
      <c r="S470" s="1">
        <f>(Tabela2[[#This Row],[TUE_tempo_uso_aparelhos_em_horas]]/Tabela2[[#This Row],[FAF_Var]])</f>
        <v>0</v>
      </c>
      <c r="T470">
        <f>(Tabela2[[#This Row],[CAEC_lanche_entre_refeicoes]]*Tabela2[[#This Row],[FAVC_consumo_frequente_de_alimentos_mt_caloricos]])</f>
        <v>2</v>
      </c>
      <c r="U470" s="1">
        <f>IF(OR(Tabela2[[#This Row],[MTRANS]]="Walking",Tabela2[[#This Row],[MTRANS]]="Bike"),Tabela2[[#This Row],[FAF_atividade_fisica_frequente_em_horas]]+1,M470)</f>
        <v>1</v>
      </c>
      <c r="V470">
        <f>(Tabela2[[#This Row],[SMOKE]]+Tabela2[[#This Row],[CALC_bebe_alcool_frequentemente]])</f>
        <v>1</v>
      </c>
      <c r="W470" s="8">
        <f>(Tabela2[[#This Row],[Weight]]/(Tabela2[[#This Row],[Height]] ^2))</f>
        <v>17.146776406035663</v>
      </c>
    </row>
    <row r="471" spans="1:23" x14ac:dyDescent="0.25">
      <c r="A471" t="s">
        <v>13</v>
      </c>
      <c r="B471" s="7">
        <v>19</v>
      </c>
      <c r="C471" s="4">
        <v>1.54</v>
      </c>
      <c r="D471" s="7">
        <v>42</v>
      </c>
      <c r="E471">
        <v>0</v>
      </c>
      <c r="F471">
        <v>1</v>
      </c>
      <c r="G471" s="2">
        <v>3</v>
      </c>
      <c r="H471" s="2">
        <v>1</v>
      </c>
      <c r="I471">
        <v>1</v>
      </c>
      <c r="J471">
        <v>0</v>
      </c>
      <c r="K471" s="2">
        <v>2</v>
      </c>
      <c r="L471">
        <v>0</v>
      </c>
      <c r="M471" s="7">
        <v>0</v>
      </c>
      <c r="N471" s="7">
        <v>1</v>
      </c>
      <c r="O471">
        <v>0</v>
      </c>
      <c r="P471" t="s">
        <v>14</v>
      </c>
      <c r="Q471">
        <v>0</v>
      </c>
      <c r="R471" s="8">
        <f>(Tabela2[[#This Row],[FAF_atividade_fisica_frequente_em_horas]]+ 0.1)</f>
        <v>0.1</v>
      </c>
      <c r="S471" s="1">
        <f>(Tabela2[[#This Row],[TUE_tempo_uso_aparelhos_em_horas]]/Tabela2[[#This Row],[FAF_Var]])</f>
        <v>10</v>
      </c>
      <c r="T471">
        <f>(Tabela2[[#This Row],[CAEC_lanche_entre_refeicoes]]*Tabela2[[#This Row],[FAVC_consumo_frequente_de_alimentos_mt_caloricos]])</f>
        <v>1</v>
      </c>
      <c r="U471" s="1">
        <f>IF(OR(Tabela2[[#This Row],[MTRANS]]="Walking",Tabela2[[#This Row],[MTRANS]]="Bike"),Tabela2[[#This Row],[FAF_atividade_fisica_frequente_em_horas]]+1,M471)</f>
        <v>0</v>
      </c>
      <c r="V471">
        <f>(Tabela2[[#This Row],[SMOKE]]+Tabela2[[#This Row],[CALC_bebe_alcool_frequentemente]])</f>
        <v>0</v>
      </c>
      <c r="W471" s="8">
        <f>(Tabela2[[#This Row],[Weight]]/(Tabela2[[#This Row],[Height]] ^2))</f>
        <v>17.709563164108619</v>
      </c>
    </row>
    <row r="472" spans="1:23" x14ac:dyDescent="0.25">
      <c r="A472" t="s">
        <v>13</v>
      </c>
      <c r="B472" s="7">
        <v>20</v>
      </c>
      <c r="C472" s="4">
        <v>1.56</v>
      </c>
      <c r="D472" s="7">
        <v>51.5</v>
      </c>
      <c r="E472">
        <v>0</v>
      </c>
      <c r="F472">
        <v>1</v>
      </c>
      <c r="G472" s="2">
        <v>2</v>
      </c>
      <c r="H472" s="2">
        <v>3</v>
      </c>
      <c r="I472">
        <v>2</v>
      </c>
      <c r="J472">
        <v>0</v>
      </c>
      <c r="K472" s="2">
        <v>2</v>
      </c>
      <c r="L472">
        <v>0</v>
      </c>
      <c r="M472" s="7">
        <v>3</v>
      </c>
      <c r="N472" s="7">
        <v>0</v>
      </c>
      <c r="O472">
        <v>1</v>
      </c>
      <c r="P472" t="s">
        <v>14</v>
      </c>
      <c r="Q472">
        <v>1</v>
      </c>
      <c r="R472" s="8">
        <f>(Tabela2[[#This Row],[FAF_atividade_fisica_frequente_em_horas]]+ 0.1)</f>
        <v>3.1</v>
      </c>
      <c r="S472" s="1">
        <f>(Tabela2[[#This Row],[TUE_tempo_uso_aparelhos_em_horas]]/Tabela2[[#This Row],[FAF_Var]])</f>
        <v>0</v>
      </c>
      <c r="T472">
        <f>(Tabela2[[#This Row],[CAEC_lanche_entre_refeicoes]]*Tabela2[[#This Row],[FAVC_consumo_frequente_de_alimentos_mt_caloricos]])</f>
        <v>2</v>
      </c>
      <c r="U472" s="1">
        <f>IF(OR(Tabela2[[#This Row],[MTRANS]]="Walking",Tabela2[[#This Row],[MTRANS]]="Bike"),Tabela2[[#This Row],[FAF_atividade_fisica_frequente_em_horas]]+1,M472)</f>
        <v>3</v>
      </c>
      <c r="V472">
        <f>(Tabela2[[#This Row],[SMOKE]]+Tabela2[[#This Row],[CALC_bebe_alcool_frequentemente]])</f>
        <v>1</v>
      </c>
      <c r="W472" s="8">
        <f>(Tabela2[[#This Row],[Weight]]/(Tabela2[[#This Row],[Height]] ^2))</f>
        <v>21.1620644312952</v>
      </c>
    </row>
    <row r="473" spans="1:23" x14ac:dyDescent="0.25">
      <c r="A473" t="s">
        <v>13</v>
      </c>
      <c r="B473" s="7">
        <v>18</v>
      </c>
      <c r="C473" s="4">
        <v>1.6</v>
      </c>
      <c r="D473" s="7">
        <v>83</v>
      </c>
      <c r="E473">
        <v>1</v>
      </c>
      <c r="F473">
        <v>1</v>
      </c>
      <c r="G473" s="2">
        <v>2</v>
      </c>
      <c r="H473" s="2">
        <v>3</v>
      </c>
      <c r="I473">
        <v>1</v>
      </c>
      <c r="J473">
        <v>0</v>
      </c>
      <c r="K473" s="2">
        <v>2</v>
      </c>
      <c r="L473">
        <v>1</v>
      </c>
      <c r="M473" s="7">
        <v>1</v>
      </c>
      <c r="N473" s="7">
        <v>0</v>
      </c>
      <c r="O473">
        <v>0</v>
      </c>
      <c r="P473" t="s">
        <v>14</v>
      </c>
      <c r="Q473">
        <v>4</v>
      </c>
      <c r="R473" s="8">
        <f>(Tabela2[[#This Row],[FAF_atividade_fisica_frequente_em_horas]]+ 0.1)</f>
        <v>1.1000000000000001</v>
      </c>
      <c r="S473" s="1">
        <f>(Tabela2[[#This Row],[TUE_tempo_uso_aparelhos_em_horas]]/Tabela2[[#This Row],[FAF_Var]])</f>
        <v>0</v>
      </c>
      <c r="T473">
        <f>(Tabela2[[#This Row],[CAEC_lanche_entre_refeicoes]]*Tabela2[[#This Row],[FAVC_consumo_frequente_de_alimentos_mt_caloricos]])</f>
        <v>1</v>
      </c>
      <c r="U473" s="1">
        <f>IF(OR(Tabela2[[#This Row],[MTRANS]]="Walking",Tabela2[[#This Row],[MTRANS]]="Bike"),Tabela2[[#This Row],[FAF_atividade_fisica_frequente_em_horas]]+1,M473)</f>
        <v>1</v>
      </c>
      <c r="V473">
        <f>(Tabela2[[#This Row],[SMOKE]]+Tabela2[[#This Row],[CALC_bebe_alcool_frequentemente]])</f>
        <v>0</v>
      </c>
      <c r="W473" s="8">
        <f>(Tabela2[[#This Row],[Weight]]/(Tabela2[[#This Row],[Height]] ^2))</f>
        <v>32.421874999999993</v>
      </c>
    </row>
    <row r="474" spans="1:23" x14ac:dyDescent="0.25">
      <c r="A474" t="s">
        <v>13</v>
      </c>
      <c r="B474" s="7">
        <v>18</v>
      </c>
      <c r="C474" s="4">
        <v>1.54</v>
      </c>
      <c r="D474" s="7">
        <v>71</v>
      </c>
      <c r="E474">
        <v>0</v>
      </c>
      <c r="F474">
        <v>0</v>
      </c>
      <c r="G474" s="2">
        <v>3</v>
      </c>
      <c r="H474" s="2">
        <v>4</v>
      </c>
      <c r="I474">
        <v>2</v>
      </c>
      <c r="J474">
        <v>0</v>
      </c>
      <c r="K474" s="2">
        <v>2</v>
      </c>
      <c r="L474">
        <v>0</v>
      </c>
      <c r="M474" s="7">
        <v>1</v>
      </c>
      <c r="N474" s="7">
        <v>1</v>
      </c>
      <c r="O474">
        <v>0</v>
      </c>
      <c r="P474" t="s">
        <v>14</v>
      </c>
      <c r="Q474">
        <v>3</v>
      </c>
      <c r="R474" s="8">
        <f>(Tabela2[[#This Row],[FAF_atividade_fisica_frequente_em_horas]]+ 0.1)</f>
        <v>1.1000000000000001</v>
      </c>
      <c r="S474" s="1">
        <f>(Tabela2[[#This Row],[TUE_tempo_uso_aparelhos_em_horas]]/Tabela2[[#This Row],[FAF_Var]])</f>
        <v>0.90909090909090906</v>
      </c>
      <c r="T474">
        <f>(Tabela2[[#This Row],[CAEC_lanche_entre_refeicoes]]*Tabela2[[#This Row],[FAVC_consumo_frequente_de_alimentos_mt_caloricos]])</f>
        <v>0</v>
      </c>
      <c r="U474" s="1">
        <f>IF(OR(Tabela2[[#This Row],[MTRANS]]="Walking",Tabela2[[#This Row],[MTRANS]]="Bike"),Tabela2[[#This Row],[FAF_atividade_fisica_frequente_em_horas]]+1,M474)</f>
        <v>1</v>
      </c>
      <c r="V474">
        <f>(Tabela2[[#This Row],[SMOKE]]+Tabela2[[#This Row],[CALC_bebe_alcool_frequentemente]])</f>
        <v>0</v>
      </c>
      <c r="W474" s="8">
        <f>(Tabela2[[#This Row],[Weight]]/(Tabela2[[#This Row],[Height]] ^2))</f>
        <v>29.937594872659808</v>
      </c>
    </row>
    <row r="475" spans="1:23" x14ac:dyDescent="0.25">
      <c r="A475" t="s">
        <v>13</v>
      </c>
      <c r="B475" s="7">
        <v>18</v>
      </c>
      <c r="C475" s="4">
        <v>1.63</v>
      </c>
      <c r="D475" s="7">
        <v>51</v>
      </c>
      <c r="E475">
        <v>1</v>
      </c>
      <c r="F475">
        <v>1</v>
      </c>
      <c r="G475" s="2">
        <v>1</v>
      </c>
      <c r="H475" s="2">
        <v>3</v>
      </c>
      <c r="I475">
        <v>2</v>
      </c>
      <c r="J475">
        <v>0</v>
      </c>
      <c r="K475" s="2">
        <v>1</v>
      </c>
      <c r="L475">
        <v>0</v>
      </c>
      <c r="M475" s="7">
        <v>1</v>
      </c>
      <c r="N475" s="7">
        <v>0</v>
      </c>
      <c r="O475">
        <v>1</v>
      </c>
      <c r="P475" t="s">
        <v>14</v>
      </c>
      <c r="Q475">
        <v>1</v>
      </c>
      <c r="R475" s="8">
        <f>(Tabela2[[#This Row],[FAF_atividade_fisica_frequente_em_horas]]+ 0.1)</f>
        <v>1.1000000000000001</v>
      </c>
      <c r="S475" s="1">
        <f>(Tabela2[[#This Row],[TUE_tempo_uso_aparelhos_em_horas]]/Tabela2[[#This Row],[FAF_Var]])</f>
        <v>0</v>
      </c>
      <c r="T475">
        <f>(Tabela2[[#This Row],[CAEC_lanche_entre_refeicoes]]*Tabela2[[#This Row],[FAVC_consumo_frequente_de_alimentos_mt_caloricos]])</f>
        <v>2</v>
      </c>
      <c r="U475" s="1">
        <f>IF(OR(Tabela2[[#This Row],[MTRANS]]="Walking",Tabela2[[#This Row],[MTRANS]]="Bike"),Tabela2[[#This Row],[FAF_atividade_fisica_frequente_em_horas]]+1,M475)</f>
        <v>1</v>
      </c>
      <c r="V475">
        <f>(Tabela2[[#This Row],[SMOKE]]+Tabela2[[#This Row],[CALC_bebe_alcool_frequentemente]])</f>
        <v>1</v>
      </c>
      <c r="W475" s="8">
        <f>(Tabela2[[#This Row],[Weight]]/(Tabela2[[#This Row],[Height]] ^2))</f>
        <v>19.195302796492154</v>
      </c>
    </row>
    <row r="476" spans="1:23" x14ac:dyDescent="0.25">
      <c r="A476" t="s">
        <v>15</v>
      </c>
      <c r="B476" s="7">
        <v>19</v>
      </c>
      <c r="C476" s="4">
        <v>1.78</v>
      </c>
      <c r="D476" s="7">
        <v>64</v>
      </c>
      <c r="E476">
        <v>0</v>
      </c>
      <c r="F476">
        <v>1</v>
      </c>
      <c r="G476" s="2">
        <v>2</v>
      </c>
      <c r="H476" s="2">
        <v>3</v>
      </c>
      <c r="I476">
        <v>1</v>
      </c>
      <c r="J476">
        <v>0</v>
      </c>
      <c r="K476" s="2">
        <v>1</v>
      </c>
      <c r="L476">
        <v>0</v>
      </c>
      <c r="M476" s="7">
        <v>1</v>
      </c>
      <c r="N476" s="7">
        <v>0</v>
      </c>
      <c r="O476">
        <v>0</v>
      </c>
      <c r="P476" t="s">
        <v>14</v>
      </c>
      <c r="Q476">
        <v>1</v>
      </c>
      <c r="R476" s="8">
        <f>(Tabela2[[#This Row],[FAF_atividade_fisica_frequente_em_horas]]+ 0.1)</f>
        <v>1.1000000000000001</v>
      </c>
      <c r="S476" s="1">
        <f>(Tabela2[[#This Row],[TUE_tempo_uso_aparelhos_em_horas]]/Tabela2[[#This Row],[FAF_Var]])</f>
        <v>0</v>
      </c>
      <c r="T476">
        <f>(Tabela2[[#This Row],[CAEC_lanche_entre_refeicoes]]*Tabela2[[#This Row],[FAVC_consumo_frequente_de_alimentos_mt_caloricos]])</f>
        <v>1</v>
      </c>
      <c r="U476" s="1">
        <f>IF(OR(Tabela2[[#This Row],[MTRANS]]="Walking",Tabela2[[#This Row],[MTRANS]]="Bike"),Tabela2[[#This Row],[FAF_atividade_fisica_frequente_em_horas]]+1,M476)</f>
        <v>1</v>
      </c>
      <c r="V476">
        <f>(Tabela2[[#This Row],[SMOKE]]+Tabela2[[#This Row],[CALC_bebe_alcool_frequentemente]])</f>
        <v>0</v>
      </c>
      <c r="W476" s="8">
        <f>(Tabela2[[#This Row],[Weight]]/(Tabela2[[#This Row],[Height]] ^2))</f>
        <v>20.199469763918696</v>
      </c>
    </row>
    <row r="477" spans="1:23" x14ac:dyDescent="0.25">
      <c r="A477" t="s">
        <v>13</v>
      </c>
      <c r="B477" s="7">
        <v>18</v>
      </c>
      <c r="C477" s="4">
        <v>1.62</v>
      </c>
      <c r="D477" s="7">
        <v>68</v>
      </c>
      <c r="E477">
        <v>0</v>
      </c>
      <c r="F477">
        <v>0</v>
      </c>
      <c r="G477" s="2">
        <v>2</v>
      </c>
      <c r="H477" s="2">
        <v>1</v>
      </c>
      <c r="I477">
        <v>1</v>
      </c>
      <c r="J477">
        <v>0</v>
      </c>
      <c r="K477" s="2">
        <v>1</v>
      </c>
      <c r="L477">
        <v>0</v>
      </c>
      <c r="M477" s="7">
        <v>0</v>
      </c>
      <c r="N477" s="7">
        <v>2</v>
      </c>
      <c r="O477">
        <v>0</v>
      </c>
      <c r="P477" t="s">
        <v>14</v>
      </c>
      <c r="Q477">
        <v>2</v>
      </c>
      <c r="R477" s="8">
        <f>(Tabela2[[#This Row],[FAF_atividade_fisica_frequente_em_horas]]+ 0.1)</f>
        <v>0.1</v>
      </c>
      <c r="S477" s="1">
        <f>(Tabela2[[#This Row],[TUE_tempo_uso_aparelhos_em_horas]]/Tabela2[[#This Row],[FAF_Var]])</f>
        <v>20</v>
      </c>
      <c r="T477">
        <f>(Tabela2[[#This Row],[CAEC_lanche_entre_refeicoes]]*Tabela2[[#This Row],[FAVC_consumo_frequente_de_alimentos_mt_caloricos]])</f>
        <v>0</v>
      </c>
      <c r="U477" s="1">
        <f>IF(OR(Tabela2[[#This Row],[MTRANS]]="Walking",Tabela2[[#This Row],[MTRANS]]="Bike"),Tabela2[[#This Row],[FAF_atividade_fisica_frequente_em_horas]]+1,M477)</f>
        <v>0</v>
      </c>
      <c r="V477">
        <f>(Tabela2[[#This Row],[SMOKE]]+Tabela2[[#This Row],[CALC_bebe_alcool_frequentemente]])</f>
        <v>0</v>
      </c>
      <c r="W477" s="8">
        <f>(Tabela2[[#This Row],[Weight]]/(Tabela2[[#This Row],[Height]] ^2))</f>
        <v>25.910684346898332</v>
      </c>
    </row>
    <row r="478" spans="1:23" x14ac:dyDescent="0.25">
      <c r="A478" t="s">
        <v>13</v>
      </c>
      <c r="B478" s="7">
        <v>18</v>
      </c>
      <c r="C478" s="4">
        <v>1.71</v>
      </c>
      <c r="D478" s="7">
        <v>75</v>
      </c>
      <c r="E478">
        <v>1</v>
      </c>
      <c r="F478">
        <v>1</v>
      </c>
      <c r="G478" s="2">
        <v>3</v>
      </c>
      <c r="H478" s="2">
        <v>3</v>
      </c>
      <c r="I478">
        <v>1</v>
      </c>
      <c r="J478">
        <v>0</v>
      </c>
      <c r="K478" s="2">
        <v>2</v>
      </c>
      <c r="L478">
        <v>0</v>
      </c>
      <c r="M478" s="7">
        <v>1</v>
      </c>
      <c r="N478" s="7">
        <v>0</v>
      </c>
      <c r="O478">
        <v>0</v>
      </c>
      <c r="P478" t="s">
        <v>14</v>
      </c>
      <c r="Q478">
        <v>2</v>
      </c>
      <c r="R478" s="8">
        <f>(Tabela2[[#This Row],[FAF_atividade_fisica_frequente_em_horas]]+ 0.1)</f>
        <v>1.1000000000000001</v>
      </c>
      <c r="S478" s="1">
        <f>(Tabela2[[#This Row],[TUE_tempo_uso_aparelhos_em_horas]]/Tabela2[[#This Row],[FAF_Var]])</f>
        <v>0</v>
      </c>
      <c r="T478">
        <f>(Tabela2[[#This Row],[CAEC_lanche_entre_refeicoes]]*Tabela2[[#This Row],[FAVC_consumo_frequente_de_alimentos_mt_caloricos]])</f>
        <v>1</v>
      </c>
      <c r="U478" s="1">
        <f>IF(OR(Tabela2[[#This Row],[MTRANS]]="Walking",Tabela2[[#This Row],[MTRANS]]="Bike"),Tabela2[[#This Row],[FAF_atividade_fisica_frequente_em_horas]]+1,M478)</f>
        <v>1</v>
      </c>
      <c r="V478">
        <f>(Tabela2[[#This Row],[SMOKE]]+Tabela2[[#This Row],[CALC_bebe_alcool_frequentemente]])</f>
        <v>0</v>
      </c>
      <c r="W478" s="8">
        <f>(Tabela2[[#This Row],[Weight]]/(Tabela2[[#This Row],[Height]] ^2))</f>
        <v>25.64891761567662</v>
      </c>
    </row>
    <row r="479" spans="1:23" x14ac:dyDescent="0.25">
      <c r="A479" t="s">
        <v>13</v>
      </c>
      <c r="B479" s="7">
        <v>18</v>
      </c>
      <c r="C479" s="4">
        <v>1.64</v>
      </c>
      <c r="D479" s="7">
        <v>56</v>
      </c>
      <c r="E479">
        <v>1</v>
      </c>
      <c r="F479">
        <v>1</v>
      </c>
      <c r="G479" s="2">
        <v>3</v>
      </c>
      <c r="H479" s="2">
        <v>3</v>
      </c>
      <c r="I479">
        <v>2</v>
      </c>
      <c r="J479">
        <v>0</v>
      </c>
      <c r="K479" s="2">
        <v>1</v>
      </c>
      <c r="L479">
        <v>1</v>
      </c>
      <c r="M479" s="7">
        <v>1</v>
      </c>
      <c r="N479" s="7">
        <v>1</v>
      </c>
      <c r="O479">
        <v>0</v>
      </c>
      <c r="P479" t="s">
        <v>14</v>
      </c>
      <c r="Q479">
        <v>1</v>
      </c>
      <c r="R479" s="8">
        <f>(Tabela2[[#This Row],[FAF_atividade_fisica_frequente_em_horas]]+ 0.1)</f>
        <v>1.1000000000000001</v>
      </c>
      <c r="S479" s="1">
        <f>(Tabela2[[#This Row],[TUE_tempo_uso_aparelhos_em_horas]]/Tabela2[[#This Row],[FAF_Var]])</f>
        <v>0.90909090909090906</v>
      </c>
      <c r="T479">
        <f>(Tabela2[[#This Row],[CAEC_lanche_entre_refeicoes]]*Tabela2[[#This Row],[FAVC_consumo_frequente_de_alimentos_mt_caloricos]])</f>
        <v>2</v>
      </c>
      <c r="U479" s="1">
        <f>IF(OR(Tabela2[[#This Row],[MTRANS]]="Walking",Tabela2[[#This Row],[MTRANS]]="Bike"),Tabela2[[#This Row],[FAF_atividade_fisica_frequente_em_horas]]+1,M479)</f>
        <v>1</v>
      </c>
      <c r="V479">
        <f>(Tabela2[[#This Row],[SMOKE]]+Tabela2[[#This Row],[CALC_bebe_alcool_frequentemente]])</f>
        <v>0</v>
      </c>
      <c r="W479" s="8">
        <f>(Tabela2[[#This Row],[Weight]]/(Tabela2[[#This Row],[Height]] ^2))</f>
        <v>20.820939916716245</v>
      </c>
    </row>
    <row r="480" spans="1:23" x14ac:dyDescent="0.25">
      <c r="A480" t="s">
        <v>15</v>
      </c>
      <c r="B480" s="7">
        <v>19</v>
      </c>
      <c r="C480" s="4">
        <v>1.69</v>
      </c>
      <c r="D480" s="7">
        <v>65</v>
      </c>
      <c r="E480">
        <v>0</v>
      </c>
      <c r="F480">
        <v>1</v>
      </c>
      <c r="G480" s="2">
        <v>2</v>
      </c>
      <c r="H480" s="2">
        <v>3</v>
      </c>
      <c r="I480">
        <v>2</v>
      </c>
      <c r="J480">
        <v>0</v>
      </c>
      <c r="K480" s="2">
        <v>1</v>
      </c>
      <c r="L480">
        <v>0</v>
      </c>
      <c r="M480" s="7">
        <v>1</v>
      </c>
      <c r="N480" s="7">
        <v>1</v>
      </c>
      <c r="O480">
        <v>1</v>
      </c>
      <c r="P480" t="s">
        <v>14</v>
      </c>
      <c r="Q480">
        <v>1</v>
      </c>
      <c r="R480" s="8">
        <f>(Tabela2[[#This Row],[FAF_atividade_fisica_frequente_em_horas]]+ 0.1)</f>
        <v>1.1000000000000001</v>
      </c>
      <c r="S480" s="1">
        <f>(Tabela2[[#This Row],[TUE_tempo_uso_aparelhos_em_horas]]/Tabela2[[#This Row],[FAF_Var]])</f>
        <v>0.90909090909090906</v>
      </c>
      <c r="T480">
        <f>(Tabela2[[#This Row],[CAEC_lanche_entre_refeicoes]]*Tabela2[[#This Row],[FAVC_consumo_frequente_de_alimentos_mt_caloricos]])</f>
        <v>2</v>
      </c>
      <c r="U480" s="1">
        <f>IF(OR(Tabela2[[#This Row],[MTRANS]]="Walking",Tabela2[[#This Row],[MTRANS]]="Bike"),Tabela2[[#This Row],[FAF_atividade_fisica_frequente_em_horas]]+1,M480)</f>
        <v>1</v>
      </c>
      <c r="V480">
        <f>(Tabela2[[#This Row],[SMOKE]]+Tabela2[[#This Row],[CALC_bebe_alcool_frequentemente]])</f>
        <v>1</v>
      </c>
      <c r="W480" s="8">
        <f>(Tabela2[[#This Row],[Weight]]/(Tabela2[[#This Row],[Height]] ^2))</f>
        <v>22.758306781975424</v>
      </c>
    </row>
    <row r="481" spans="1:23" x14ac:dyDescent="0.25">
      <c r="A481" t="s">
        <v>13</v>
      </c>
      <c r="B481" s="7">
        <v>17</v>
      </c>
      <c r="C481" s="4">
        <v>1.58</v>
      </c>
      <c r="D481" s="7">
        <v>50</v>
      </c>
      <c r="E481">
        <v>0</v>
      </c>
      <c r="F481">
        <v>1</v>
      </c>
      <c r="G481" s="2">
        <v>1</v>
      </c>
      <c r="H481" s="2">
        <v>4</v>
      </c>
      <c r="I481">
        <v>2</v>
      </c>
      <c r="J481">
        <v>0</v>
      </c>
      <c r="K481" s="2">
        <v>2</v>
      </c>
      <c r="L481">
        <v>0</v>
      </c>
      <c r="M481" s="7">
        <v>1</v>
      </c>
      <c r="N481" s="7">
        <v>2</v>
      </c>
      <c r="O481">
        <v>1</v>
      </c>
      <c r="P481" t="s">
        <v>14</v>
      </c>
      <c r="Q481">
        <v>1</v>
      </c>
      <c r="R481" s="8">
        <f>(Tabela2[[#This Row],[FAF_atividade_fisica_frequente_em_horas]]+ 0.1)</f>
        <v>1.1000000000000001</v>
      </c>
      <c r="S481" s="1">
        <f>(Tabela2[[#This Row],[TUE_tempo_uso_aparelhos_em_horas]]/Tabela2[[#This Row],[FAF_Var]])</f>
        <v>1.8181818181818181</v>
      </c>
      <c r="T481">
        <f>(Tabela2[[#This Row],[CAEC_lanche_entre_refeicoes]]*Tabela2[[#This Row],[FAVC_consumo_frequente_de_alimentos_mt_caloricos]])</f>
        <v>2</v>
      </c>
      <c r="U481" s="1">
        <f>IF(OR(Tabela2[[#This Row],[MTRANS]]="Walking",Tabela2[[#This Row],[MTRANS]]="Bike"),Tabela2[[#This Row],[FAF_atividade_fisica_frequente_em_horas]]+1,M481)</f>
        <v>1</v>
      </c>
      <c r="V481">
        <f>(Tabela2[[#This Row],[SMOKE]]+Tabela2[[#This Row],[CALC_bebe_alcool_frequentemente]])</f>
        <v>1</v>
      </c>
      <c r="W481" s="8">
        <f>(Tabela2[[#This Row],[Weight]]/(Tabela2[[#This Row],[Height]] ^2))</f>
        <v>20.028841531805796</v>
      </c>
    </row>
    <row r="482" spans="1:23" x14ac:dyDescent="0.25">
      <c r="A482" t="s">
        <v>13</v>
      </c>
      <c r="B482" s="7">
        <v>18</v>
      </c>
      <c r="C482" s="4">
        <v>1.57</v>
      </c>
      <c r="D482" s="7">
        <v>50</v>
      </c>
      <c r="E482">
        <v>0</v>
      </c>
      <c r="F482">
        <v>1</v>
      </c>
      <c r="G482" s="2">
        <v>2</v>
      </c>
      <c r="H482" s="2">
        <v>3</v>
      </c>
      <c r="I482">
        <v>1</v>
      </c>
      <c r="J482">
        <v>0</v>
      </c>
      <c r="K482" s="2">
        <v>1</v>
      </c>
      <c r="L482">
        <v>0</v>
      </c>
      <c r="M482" s="7">
        <v>0</v>
      </c>
      <c r="N482" s="7">
        <v>1</v>
      </c>
      <c r="O482">
        <v>1</v>
      </c>
      <c r="P482" t="s">
        <v>14</v>
      </c>
      <c r="Q482">
        <v>1</v>
      </c>
      <c r="R482" s="8">
        <f>(Tabela2[[#This Row],[FAF_atividade_fisica_frequente_em_horas]]+ 0.1)</f>
        <v>0.1</v>
      </c>
      <c r="S482" s="1">
        <f>(Tabela2[[#This Row],[TUE_tempo_uso_aparelhos_em_horas]]/Tabela2[[#This Row],[FAF_Var]])</f>
        <v>10</v>
      </c>
      <c r="T482">
        <f>(Tabela2[[#This Row],[CAEC_lanche_entre_refeicoes]]*Tabela2[[#This Row],[FAVC_consumo_frequente_de_alimentos_mt_caloricos]])</f>
        <v>1</v>
      </c>
      <c r="U482" s="1">
        <f>IF(OR(Tabela2[[#This Row],[MTRANS]]="Walking",Tabela2[[#This Row],[MTRANS]]="Bike"),Tabela2[[#This Row],[FAF_atividade_fisica_frequente_em_horas]]+1,M482)</f>
        <v>0</v>
      </c>
      <c r="V482">
        <f>(Tabela2[[#This Row],[SMOKE]]+Tabela2[[#This Row],[CALC_bebe_alcool_frequentemente]])</f>
        <v>1</v>
      </c>
      <c r="W482" s="8">
        <f>(Tabela2[[#This Row],[Weight]]/(Tabela2[[#This Row],[Height]] ^2))</f>
        <v>20.28479857195018</v>
      </c>
    </row>
    <row r="483" spans="1:23" x14ac:dyDescent="0.25">
      <c r="A483" t="s">
        <v>15</v>
      </c>
      <c r="B483" s="7">
        <v>18</v>
      </c>
      <c r="C483" s="4">
        <v>1.74</v>
      </c>
      <c r="D483" s="7">
        <v>64</v>
      </c>
      <c r="E483">
        <v>1</v>
      </c>
      <c r="F483">
        <v>1</v>
      </c>
      <c r="G483" s="2">
        <v>3</v>
      </c>
      <c r="H483" s="2">
        <v>4</v>
      </c>
      <c r="I483">
        <v>1</v>
      </c>
      <c r="J483">
        <v>0</v>
      </c>
      <c r="K483" s="2">
        <v>1</v>
      </c>
      <c r="L483">
        <v>1</v>
      </c>
      <c r="M483" s="7">
        <v>2</v>
      </c>
      <c r="N483" s="7">
        <v>0</v>
      </c>
      <c r="O483">
        <v>1</v>
      </c>
      <c r="P483" t="s">
        <v>14</v>
      </c>
      <c r="Q483">
        <v>1</v>
      </c>
      <c r="R483" s="8">
        <f>(Tabela2[[#This Row],[FAF_atividade_fisica_frequente_em_horas]]+ 0.1)</f>
        <v>2.1</v>
      </c>
      <c r="S483" s="1">
        <f>(Tabela2[[#This Row],[TUE_tempo_uso_aparelhos_em_horas]]/Tabela2[[#This Row],[FAF_Var]])</f>
        <v>0</v>
      </c>
      <c r="T483">
        <f>(Tabela2[[#This Row],[CAEC_lanche_entre_refeicoes]]*Tabela2[[#This Row],[FAVC_consumo_frequente_de_alimentos_mt_caloricos]])</f>
        <v>1</v>
      </c>
      <c r="U483" s="1">
        <f>IF(OR(Tabela2[[#This Row],[MTRANS]]="Walking",Tabela2[[#This Row],[MTRANS]]="Bike"),Tabela2[[#This Row],[FAF_atividade_fisica_frequente_em_horas]]+1,M483)</f>
        <v>2</v>
      </c>
      <c r="V483">
        <f>(Tabela2[[#This Row],[SMOKE]]+Tabela2[[#This Row],[CALC_bebe_alcool_frequentemente]])</f>
        <v>1</v>
      </c>
      <c r="W483" s="8">
        <f>(Tabela2[[#This Row],[Weight]]/(Tabela2[[#This Row],[Height]] ^2))</f>
        <v>21.138855859426609</v>
      </c>
    </row>
    <row r="484" spans="1:23" x14ac:dyDescent="0.25">
      <c r="A484" t="s">
        <v>13</v>
      </c>
      <c r="B484" s="7">
        <v>20</v>
      </c>
      <c r="C484" s="4">
        <v>1.58</v>
      </c>
      <c r="D484" s="7">
        <v>53.5</v>
      </c>
      <c r="E484">
        <v>1</v>
      </c>
      <c r="F484">
        <v>1</v>
      </c>
      <c r="G484" s="2">
        <v>2</v>
      </c>
      <c r="H484" s="2">
        <v>1</v>
      </c>
      <c r="I484">
        <v>2</v>
      </c>
      <c r="J484">
        <v>0</v>
      </c>
      <c r="K484" s="2">
        <v>2</v>
      </c>
      <c r="L484">
        <v>0</v>
      </c>
      <c r="M484" s="7">
        <v>1</v>
      </c>
      <c r="N484" s="7">
        <v>1</v>
      </c>
      <c r="O484">
        <v>1</v>
      </c>
      <c r="P484" t="s">
        <v>14</v>
      </c>
      <c r="Q484">
        <v>1</v>
      </c>
      <c r="R484" s="8">
        <f>(Tabela2[[#This Row],[FAF_atividade_fisica_frequente_em_horas]]+ 0.1)</f>
        <v>1.1000000000000001</v>
      </c>
      <c r="S484" s="1">
        <f>(Tabela2[[#This Row],[TUE_tempo_uso_aparelhos_em_horas]]/Tabela2[[#This Row],[FAF_Var]])</f>
        <v>0.90909090909090906</v>
      </c>
      <c r="T484">
        <f>(Tabela2[[#This Row],[CAEC_lanche_entre_refeicoes]]*Tabela2[[#This Row],[FAVC_consumo_frequente_de_alimentos_mt_caloricos]])</f>
        <v>2</v>
      </c>
      <c r="U484" s="1">
        <f>IF(OR(Tabela2[[#This Row],[MTRANS]]="Walking",Tabela2[[#This Row],[MTRANS]]="Bike"),Tabela2[[#This Row],[FAF_atividade_fisica_frequente_em_horas]]+1,M484)</f>
        <v>1</v>
      </c>
      <c r="V484">
        <f>(Tabela2[[#This Row],[SMOKE]]+Tabela2[[#This Row],[CALC_bebe_alcool_frequentemente]])</f>
        <v>1</v>
      </c>
      <c r="W484" s="8">
        <f>(Tabela2[[#This Row],[Weight]]/(Tabela2[[#This Row],[Height]] ^2))</f>
        <v>21.430860439032202</v>
      </c>
    </row>
    <row r="485" spans="1:23" x14ac:dyDescent="0.25">
      <c r="A485" t="s">
        <v>13</v>
      </c>
      <c r="B485" s="7">
        <v>18</v>
      </c>
      <c r="C485" s="4">
        <v>1.5</v>
      </c>
      <c r="D485" s="7">
        <v>58</v>
      </c>
      <c r="E485">
        <v>0</v>
      </c>
      <c r="F485">
        <v>1</v>
      </c>
      <c r="G485" s="2">
        <v>2</v>
      </c>
      <c r="H485" s="2">
        <v>3</v>
      </c>
      <c r="I485">
        <v>1</v>
      </c>
      <c r="J485">
        <v>0</v>
      </c>
      <c r="K485" s="2">
        <v>1</v>
      </c>
      <c r="L485">
        <v>0</v>
      </c>
      <c r="M485" s="7">
        <v>0</v>
      </c>
      <c r="N485" s="7">
        <v>0</v>
      </c>
      <c r="O485">
        <v>0</v>
      </c>
      <c r="P485" t="s">
        <v>14</v>
      </c>
      <c r="Q485">
        <v>2</v>
      </c>
      <c r="R485" s="8">
        <f>(Tabela2[[#This Row],[FAF_atividade_fisica_frequente_em_horas]]+ 0.1)</f>
        <v>0.1</v>
      </c>
      <c r="S485" s="1">
        <f>(Tabela2[[#This Row],[TUE_tempo_uso_aparelhos_em_horas]]/Tabela2[[#This Row],[FAF_Var]])</f>
        <v>0</v>
      </c>
      <c r="T485">
        <f>(Tabela2[[#This Row],[CAEC_lanche_entre_refeicoes]]*Tabela2[[#This Row],[FAVC_consumo_frequente_de_alimentos_mt_caloricos]])</f>
        <v>1</v>
      </c>
      <c r="U485" s="1">
        <f>IF(OR(Tabela2[[#This Row],[MTRANS]]="Walking",Tabela2[[#This Row],[MTRANS]]="Bike"),Tabela2[[#This Row],[FAF_atividade_fisica_frequente_em_horas]]+1,M485)</f>
        <v>0</v>
      </c>
      <c r="V485">
        <f>(Tabela2[[#This Row],[SMOKE]]+Tabela2[[#This Row],[CALC_bebe_alcool_frequentemente]])</f>
        <v>0</v>
      </c>
      <c r="W485" s="8">
        <f>(Tabela2[[#This Row],[Weight]]/(Tabela2[[#This Row],[Height]] ^2))</f>
        <v>25.777777777777779</v>
      </c>
    </row>
    <row r="486" spans="1:23" x14ac:dyDescent="0.25">
      <c r="A486" t="s">
        <v>13</v>
      </c>
      <c r="B486" s="7">
        <v>36</v>
      </c>
      <c r="C486" s="4">
        <v>1.65</v>
      </c>
      <c r="D486" s="7">
        <v>80</v>
      </c>
      <c r="E486">
        <v>1</v>
      </c>
      <c r="F486">
        <v>1</v>
      </c>
      <c r="G486" s="2">
        <v>2</v>
      </c>
      <c r="H486" s="2">
        <v>3</v>
      </c>
      <c r="I486">
        <v>1</v>
      </c>
      <c r="J486">
        <v>0</v>
      </c>
      <c r="K486" s="2">
        <v>1</v>
      </c>
      <c r="L486">
        <v>0</v>
      </c>
      <c r="M486" s="7">
        <v>0</v>
      </c>
      <c r="N486" s="7">
        <v>2</v>
      </c>
      <c r="O486">
        <v>0</v>
      </c>
      <c r="P486" t="s">
        <v>17</v>
      </c>
      <c r="Q486">
        <v>3</v>
      </c>
      <c r="R486" s="8">
        <f>(Tabela2[[#This Row],[FAF_atividade_fisica_frequente_em_horas]]+ 0.1)</f>
        <v>0.1</v>
      </c>
      <c r="S486" s="1">
        <f>(Tabela2[[#This Row],[TUE_tempo_uso_aparelhos_em_horas]]/Tabela2[[#This Row],[FAF_Var]])</f>
        <v>20</v>
      </c>
      <c r="T486">
        <f>(Tabela2[[#This Row],[CAEC_lanche_entre_refeicoes]]*Tabela2[[#This Row],[FAVC_consumo_frequente_de_alimentos_mt_caloricos]])</f>
        <v>1</v>
      </c>
      <c r="U486" s="1">
        <f>IF(OR(Tabela2[[#This Row],[MTRANS]]="Walking",Tabela2[[#This Row],[MTRANS]]="Bike"),Tabela2[[#This Row],[FAF_atividade_fisica_frequente_em_horas]]+1,M486)</f>
        <v>0</v>
      </c>
      <c r="V486">
        <f>(Tabela2[[#This Row],[SMOKE]]+Tabela2[[#This Row],[CALC_bebe_alcool_frequentemente]])</f>
        <v>0</v>
      </c>
      <c r="W486" s="8">
        <f>(Tabela2[[#This Row],[Weight]]/(Tabela2[[#This Row],[Height]] ^2))</f>
        <v>29.384756657483933</v>
      </c>
    </row>
    <row r="487" spans="1:23" x14ac:dyDescent="0.25">
      <c r="A487" t="s">
        <v>15</v>
      </c>
      <c r="B487" s="7">
        <v>21</v>
      </c>
      <c r="C487" s="4">
        <v>1.8</v>
      </c>
      <c r="D487" s="7">
        <v>73</v>
      </c>
      <c r="E487">
        <v>1</v>
      </c>
      <c r="F487">
        <v>1</v>
      </c>
      <c r="G487" s="2">
        <v>1</v>
      </c>
      <c r="H487" s="2">
        <v>3</v>
      </c>
      <c r="I487">
        <v>3</v>
      </c>
      <c r="J487">
        <v>0</v>
      </c>
      <c r="K487" s="2">
        <v>2</v>
      </c>
      <c r="L487">
        <v>0</v>
      </c>
      <c r="M487" s="7">
        <v>3</v>
      </c>
      <c r="N487" s="7">
        <v>1</v>
      </c>
      <c r="O487">
        <v>1</v>
      </c>
      <c r="P487" t="s">
        <v>14</v>
      </c>
      <c r="Q487">
        <v>1</v>
      </c>
      <c r="R487" s="8">
        <f>(Tabela2[[#This Row],[FAF_atividade_fisica_frequente_em_horas]]+ 0.1)</f>
        <v>3.1</v>
      </c>
      <c r="S487" s="1">
        <f>(Tabela2[[#This Row],[TUE_tempo_uso_aparelhos_em_horas]]/Tabela2[[#This Row],[FAF_Var]])</f>
        <v>0.32258064516129031</v>
      </c>
      <c r="T487">
        <f>(Tabela2[[#This Row],[CAEC_lanche_entre_refeicoes]]*Tabela2[[#This Row],[FAVC_consumo_frequente_de_alimentos_mt_caloricos]])</f>
        <v>3</v>
      </c>
      <c r="U487" s="1">
        <f>IF(OR(Tabela2[[#This Row],[MTRANS]]="Walking",Tabela2[[#This Row],[MTRANS]]="Bike"),Tabela2[[#This Row],[FAF_atividade_fisica_frequente_em_horas]]+1,M487)</f>
        <v>3</v>
      </c>
      <c r="V487">
        <f>(Tabela2[[#This Row],[SMOKE]]+Tabela2[[#This Row],[CALC_bebe_alcool_frequentemente]])</f>
        <v>1</v>
      </c>
      <c r="W487" s="8">
        <f>(Tabela2[[#This Row],[Weight]]/(Tabela2[[#This Row],[Height]] ^2))</f>
        <v>22.530864197530864</v>
      </c>
    </row>
    <row r="488" spans="1:23" x14ac:dyDescent="0.25">
      <c r="A488" t="s">
        <v>15</v>
      </c>
      <c r="B488" s="7">
        <v>23</v>
      </c>
      <c r="C488" s="4">
        <v>1.75</v>
      </c>
      <c r="D488" s="7">
        <v>75</v>
      </c>
      <c r="E488">
        <v>0</v>
      </c>
      <c r="F488">
        <v>1</v>
      </c>
      <c r="G488" s="2">
        <v>2</v>
      </c>
      <c r="H488" s="2">
        <v>3</v>
      </c>
      <c r="I488">
        <v>1</v>
      </c>
      <c r="J488">
        <v>0</v>
      </c>
      <c r="K488" s="2">
        <v>2</v>
      </c>
      <c r="L488">
        <v>0</v>
      </c>
      <c r="M488" s="7">
        <v>1</v>
      </c>
      <c r="N488" s="7">
        <v>0</v>
      </c>
      <c r="O488">
        <v>2</v>
      </c>
      <c r="P488" t="s">
        <v>14</v>
      </c>
      <c r="Q488">
        <v>1</v>
      </c>
      <c r="R488" s="8">
        <f>(Tabela2[[#This Row],[FAF_atividade_fisica_frequente_em_horas]]+ 0.1)</f>
        <v>1.1000000000000001</v>
      </c>
      <c r="S488" s="1">
        <f>(Tabela2[[#This Row],[TUE_tempo_uso_aparelhos_em_horas]]/Tabela2[[#This Row],[FAF_Var]])</f>
        <v>0</v>
      </c>
      <c r="T488">
        <f>(Tabela2[[#This Row],[CAEC_lanche_entre_refeicoes]]*Tabela2[[#This Row],[FAVC_consumo_frequente_de_alimentos_mt_caloricos]])</f>
        <v>1</v>
      </c>
      <c r="U488" s="1">
        <f>IF(OR(Tabela2[[#This Row],[MTRANS]]="Walking",Tabela2[[#This Row],[MTRANS]]="Bike"),Tabela2[[#This Row],[FAF_atividade_fisica_frequente_em_horas]]+1,M488)</f>
        <v>1</v>
      </c>
      <c r="V488">
        <f>(Tabela2[[#This Row],[SMOKE]]+Tabela2[[#This Row],[CALC_bebe_alcool_frequentemente]])</f>
        <v>2</v>
      </c>
      <c r="W488" s="8">
        <f>(Tabela2[[#This Row],[Weight]]/(Tabela2[[#This Row],[Height]] ^2))</f>
        <v>24.489795918367346</v>
      </c>
    </row>
    <row r="489" spans="1:23" x14ac:dyDescent="0.25">
      <c r="A489" t="s">
        <v>15</v>
      </c>
      <c r="B489" s="7">
        <v>20</v>
      </c>
      <c r="C489" s="4">
        <v>1.84</v>
      </c>
      <c r="D489" s="7">
        <v>104</v>
      </c>
      <c r="E489">
        <v>1</v>
      </c>
      <c r="F489">
        <v>0</v>
      </c>
      <c r="G489" s="2">
        <v>2</v>
      </c>
      <c r="H489" s="2">
        <v>3</v>
      </c>
      <c r="I489">
        <v>1</v>
      </c>
      <c r="J489">
        <v>0</v>
      </c>
      <c r="K489" s="2">
        <v>3</v>
      </c>
      <c r="L489">
        <v>0</v>
      </c>
      <c r="M489" s="7">
        <v>3</v>
      </c>
      <c r="N489" s="7">
        <v>0</v>
      </c>
      <c r="O489">
        <v>0</v>
      </c>
      <c r="P489" t="s">
        <v>18</v>
      </c>
      <c r="Q489">
        <v>4</v>
      </c>
      <c r="R489" s="8">
        <f>(Tabela2[[#This Row],[FAF_atividade_fisica_frequente_em_horas]]+ 0.1)</f>
        <v>3.1</v>
      </c>
      <c r="S489" s="1">
        <f>(Tabela2[[#This Row],[TUE_tempo_uso_aparelhos_em_horas]]/Tabela2[[#This Row],[FAF_Var]])</f>
        <v>0</v>
      </c>
      <c r="T489">
        <f>(Tabela2[[#This Row],[CAEC_lanche_entre_refeicoes]]*Tabela2[[#This Row],[FAVC_consumo_frequente_de_alimentos_mt_caloricos]])</f>
        <v>0</v>
      </c>
      <c r="U489" s="1">
        <f>IF(OR(Tabela2[[#This Row],[MTRANS]]="Walking",Tabela2[[#This Row],[MTRANS]]="Bike"),Tabela2[[#This Row],[FAF_atividade_fisica_frequente_em_horas]]+1,M489)</f>
        <v>3</v>
      </c>
      <c r="V489">
        <f>(Tabela2[[#This Row],[SMOKE]]+Tabela2[[#This Row],[CALC_bebe_alcool_frequentemente]])</f>
        <v>0</v>
      </c>
      <c r="W489" s="8">
        <f>(Tabela2[[#This Row],[Weight]]/(Tabela2[[#This Row],[Height]] ^2))</f>
        <v>30.718336483931946</v>
      </c>
    </row>
    <row r="490" spans="1:23" x14ac:dyDescent="0.25">
      <c r="A490" t="s">
        <v>15</v>
      </c>
      <c r="B490" s="7">
        <v>21</v>
      </c>
      <c r="C490" s="4">
        <v>1.88</v>
      </c>
      <c r="D490" s="7">
        <v>84</v>
      </c>
      <c r="E490">
        <v>1</v>
      </c>
      <c r="F490">
        <v>1</v>
      </c>
      <c r="G490" s="2">
        <v>3</v>
      </c>
      <c r="H490" s="2">
        <v>3</v>
      </c>
      <c r="I490">
        <v>1</v>
      </c>
      <c r="J490">
        <v>0</v>
      </c>
      <c r="K490" s="2">
        <v>3</v>
      </c>
      <c r="L490">
        <v>0</v>
      </c>
      <c r="M490" s="7">
        <v>2</v>
      </c>
      <c r="N490" s="7">
        <v>1</v>
      </c>
      <c r="O490">
        <v>1</v>
      </c>
      <c r="P490" t="s">
        <v>16</v>
      </c>
      <c r="Q490">
        <v>1</v>
      </c>
      <c r="R490" s="8">
        <f>(Tabela2[[#This Row],[FAF_atividade_fisica_frequente_em_horas]]+ 0.1)</f>
        <v>2.1</v>
      </c>
      <c r="S490" s="1">
        <f>(Tabela2[[#This Row],[TUE_tempo_uso_aparelhos_em_horas]]/Tabela2[[#This Row],[FAF_Var]])</f>
        <v>0.47619047619047616</v>
      </c>
      <c r="T490">
        <f>(Tabela2[[#This Row],[CAEC_lanche_entre_refeicoes]]*Tabela2[[#This Row],[FAVC_consumo_frequente_de_alimentos_mt_caloricos]])</f>
        <v>1</v>
      </c>
      <c r="U490" s="1">
        <f>IF(OR(Tabela2[[#This Row],[MTRANS]]="Walking",Tabela2[[#This Row],[MTRANS]]="Bike"),Tabela2[[#This Row],[FAF_atividade_fisica_frequente_em_horas]]+1,M490)</f>
        <v>3</v>
      </c>
      <c r="V490">
        <f>(Tabela2[[#This Row],[SMOKE]]+Tabela2[[#This Row],[CALC_bebe_alcool_frequentemente]])</f>
        <v>1</v>
      </c>
      <c r="W490" s="8">
        <f>(Tabela2[[#This Row],[Weight]]/(Tabela2[[#This Row],[Height]] ^2))</f>
        <v>23.766410140334994</v>
      </c>
    </row>
    <row r="491" spans="1:23" x14ac:dyDescent="0.25">
      <c r="A491" t="s">
        <v>13</v>
      </c>
      <c r="B491" s="7">
        <v>19</v>
      </c>
      <c r="C491" s="4">
        <v>1.56</v>
      </c>
      <c r="D491" s="7">
        <v>50</v>
      </c>
      <c r="E491">
        <v>0</v>
      </c>
      <c r="F491">
        <v>1</v>
      </c>
      <c r="G491" s="2">
        <v>2</v>
      </c>
      <c r="H491" s="2">
        <v>1</v>
      </c>
      <c r="I491">
        <v>1</v>
      </c>
      <c r="J491">
        <v>0</v>
      </c>
      <c r="K491" s="2">
        <v>1</v>
      </c>
      <c r="L491">
        <v>0</v>
      </c>
      <c r="M491" s="7">
        <v>0</v>
      </c>
      <c r="N491" s="7">
        <v>2</v>
      </c>
      <c r="O491">
        <v>0</v>
      </c>
      <c r="P491" t="s">
        <v>14</v>
      </c>
      <c r="Q491">
        <v>1</v>
      </c>
      <c r="R491" s="8">
        <f>(Tabela2[[#This Row],[FAF_atividade_fisica_frequente_em_horas]]+ 0.1)</f>
        <v>0.1</v>
      </c>
      <c r="S491" s="1">
        <f>(Tabela2[[#This Row],[TUE_tempo_uso_aparelhos_em_horas]]/Tabela2[[#This Row],[FAF_Var]])</f>
        <v>20</v>
      </c>
      <c r="T491">
        <f>(Tabela2[[#This Row],[CAEC_lanche_entre_refeicoes]]*Tabela2[[#This Row],[FAVC_consumo_frequente_de_alimentos_mt_caloricos]])</f>
        <v>1</v>
      </c>
      <c r="U491" s="1">
        <f>IF(OR(Tabela2[[#This Row],[MTRANS]]="Walking",Tabela2[[#This Row],[MTRANS]]="Bike"),Tabela2[[#This Row],[FAF_atividade_fisica_frequente_em_horas]]+1,M491)</f>
        <v>0</v>
      </c>
      <c r="V491">
        <f>(Tabela2[[#This Row],[SMOKE]]+Tabela2[[#This Row],[CALC_bebe_alcool_frequentemente]])</f>
        <v>0</v>
      </c>
      <c r="W491" s="8">
        <f>(Tabela2[[#This Row],[Weight]]/(Tabela2[[#This Row],[Height]] ^2))</f>
        <v>20.5456936226167</v>
      </c>
    </row>
    <row r="492" spans="1:23" x14ac:dyDescent="0.25">
      <c r="A492" t="s">
        <v>15</v>
      </c>
      <c r="B492" s="7">
        <v>24</v>
      </c>
      <c r="C492" s="4">
        <v>1.75</v>
      </c>
      <c r="D492" s="7">
        <v>84</v>
      </c>
      <c r="E492">
        <v>0</v>
      </c>
      <c r="F492">
        <v>1</v>
      </c>
      <c r="G492" s="2">
        <v>3</v>
      </c>
      <c r="H492" s="2">
        <v>3</v>
      </c>
      <c r="I492">
        <v>0</v>
      </c>
      <c r="J492">
        <v>0</v>
      </c>
      <c r="K492" s="2">
        <v>2</v>
      </c>
      <c r="L492">
        <v>1</v>
      </c>
      <c r="M492" s="7">
        <v>1</v>
      </c>
      <c r="N492" s="7">
        <v>0</v>
      </c>
      <c r="O492">
        <v>1</v>
      </c>
      <c r="P492" t="s">
        <v>14</v>
      </c>
      <c r="Q492">
        <v>3</v>
      </c>
      <c r="R492" s="8">
        <f>(Tabela2[[#This Row],[FAF_atividade_fisica_frequente_em_horas]]+ 0.1)</f>
        <v>1.1000000000000001</v>
      </c>
      <c r="S492" s="1">
        <f>(Tabela2[[#This Row],[TUE_tempo_uso_aparelhos_em_horas]]/Tabela2[[#This Row],[FAF_Var]])</f>
        <v>0</v>
      </c>
      <c r="T492">
        <f>(Tabela2[[#This Row],[CAEC_lanche_entre_refeicoes]]*Tabela2[[#This Row],[FAVC_consumo_frequente_de_alimentos_mt_caloricos]])</f>
        <v>0</v>
      </c>
      <c r="U492" s="1">
        <f>IF(OR(Tabela2[[#This Row],[MTRANS]]="Walking",Tabela2[[#This Row],[MTRANS]]="Bike"),Tabela2[[#This Row],[FAF_atividade_fisica_frequente_em_horas]]+1,M492)</f>
        <v>1</v>
      </c>
      <c r="V492">
        <f>(Tabela2[[#This Row],[SMOKE]]+Tabela2[[#This Row],[CALC_bebe_alcool_frequentemente]])</f>
        <v>1</v>
      </c>
      <c r="W492" s="8">
        <f>(Tabela2[[#This Row],[Weight]]/(Tabela2[[#This Row],[Height]] ^2))</f>
        <v>27.428571428571427</v>
      </c>
    </row>
    <row r="493" spans="1:23" x14ac:dyDescent="0.25">
      <c r="A493" t="s">
        <v>15</v>
      </c>
      <c r="B493" s="7">
        <v>25</v>
      </c>
      <c r="C493" s="4">
        <v>1.66</v>
      </c>
      <c r="D493" s="7">
        <v>68</v>
      </c>
      <c r="E493">
        <v>0</v>
      </c>
      <c r="F493">
        <v>1</v>
      </c>
      <c r="G493" s="2">
        <v>2</v>
      </c>
      <c r="H493" s="2">
        <v>3</v>
      </c>
      <c r="I493">
        <v>1</v>
      </c>
      <c r="J493">
        <v>1</v>
      </c>
      <c r="K493" s="2">
        <v>1</v>
      </c>
      <c r="L493">
        <v>0</v>
      </c>
      <c r="M493" s="7">
        <v>1</v>
      </c>
      <c r="N493" s="7">
        <v>1</v>
      </c>
      <c r="O493">
        <v>1</v>
      </c>
      <c r="P493" t="s">
        <v>14</v>
      </c>
      <c r="Q493">
        <v>1</v>
      </c>
      <c r="R493" s="8">
        <f>(Tabela2[[#This Row],[FAF_atividade_fisica_frequente_em_horas]]+ 0.1)</f>
        <v>1.1000000000000001</v>
      </c>
      <c r="S493" s="1">
        <f>(Tabela2[[#This Row],[TUE_tempo_uso_aparelhos_em_horas]]/Tabela2[[#This Row],[FAF_Var]])</f>
        <v>0.90909090909090906</v>
      </c>
      <c r="T493">
        <f>(Tabela2[[#This Row],[CAEC_lanche_entre_refeicoes]]*Tabela2[[#This Row],[FAVC_consumo_frequente_de_alimentos_mt_caloricos]])</f>
        <v>1</v>
      </c>
      <c r="U493" s="1">
        <f>IF(OR(Tabela2[[#This Row],[MTRANS]]="Walking",Tabela2[[#This Row],[MTRANS]]="Bike"),Tabela2[[#This Row],[FAF_atividade_fisica_frequente_em_horas]]+1,M493)</f>
        <v>1</v>
      </c>
      <c r="V493">
        <f>(Tabela2[[#This Row],[SMOKE]]+Tabela2[[#This Row],[CALC_bebe_alcool_frequentemente]])</f>
        <v>2</v>
      </c>
      <c r="W493" s="8">
        <f>(Tabela2[[#This Row],[Weight]]/(Tabela2[[#This Row],[Height]] ^2))</f>
        <v>24.677021338365513</v>
      </c>
    </row>
    <row r="494" spans="1:23" x14ac:dyDescent="0.25">
      <c r="A494" t="s">
        <v>15</v>
      </c>
      <c r="B494" s="7">
        <v>45</v>
      </c>
      <c r="C494" s="4">
        <v>1.7</v>
      </c>
      <c r="D494" s="7">
        <v>86</v>
      </c>
      <c r="E494">
        <v>0</v>
      </c>
      <c r="F494">
        <v>1</v>
      </c>
      <c r="G494" s="2">
        <v>3</v>
      </c>
      <c r="H494" s="2">
        <v>3</v>
      </c>
      <c r="I494">
        <v>2</v>
      </c>
      <c r="J494">
        <v>0</v>
      </c>
      <c r="K494" s="2">
        <v>1</v>
      </c>
      <c r="L494">
        <v>0</v>
      </c>
      <c r="M494" s="7">
        <v>0</v>
      </c>
      <c r="N494" s="7">
        <v>0</v>
      </c>
      <c r="O494">
        <v>0</v>
      </c>
      <c r="P494" t="s">
        <v>17</v>
      </c>
      <c r="Q494">
        <v>3</v>
      </c>
      <c r="R494" s="8">
        <f>(Tabela2[[#This Row],[FAF_atividade_fisica_frequente_em_horas]]+ 0.1)</f>
        <v>0.1</v>
      </c>
      <c r="S494" s="1">
        <f>(Tabela2[[#This Row],[TUE_tempo_uso_aparelhos_em_horas]]/Tabela2[[#This Row],[FAF_Var]])</f>
        <v>0</v>
      </c>
      <c r="T494">
        <f>(Tabela2[[#This Row],[CAEC_lanche_entre_refeicoes]]*Tabela2[[#This Row],[FAVC_consumo_frequente_de_alimentos_mt_caloricos]])</f>
        <v>2</v>
      </c>
      <c r="U494" s="1">
        <f>IF(OR(Tabela2[[#This Row],[MTRANS]]="Walking",Tabela2[[#This Row],[MTRANS]]="Bike"),Tabela2[[#This Row],[FAF_atividade_fisica_frequente_em_horas]]+1,M494)</f>
        <v>0</v>
      </c>
      <c r="V494">
        <f>(Tabela2[[#This Row],[SMOKE]]+Tabela2[[#This Row],[CALC_bebe_alcool_frequentemente]])</f>
        <v>0</v>
      </c>
      <c r="W494" s="8">
        <f>(Tabela2[[#This Row],[Weight]]/(Tabela2[[#This Row],[Height]] ^2))</f>
        <v>29.757785467128031</v>
      </c>
    </row>
    <row r="495" spans="1:23" x14ac:dyDescent="0.25">
      <c r="A495" t="s">
        <v>15</v>
      </c>
      <c r="B495" s="7">
        <v>20</v>
      </c>
      <c r="C495" s="4">
        <v>1.8</v>
      </c>
      <c r="D495" s="7">
        <v>65</v>
      </c>
      <c r="E495">
        <v>0</v>
      </c>
      <c r="F495">
        <v>1</v>
      </c>
      <c r="G495" s="2">
        <v>2</v>
      </c>
      <c r="H495" s="2">
        <v>3</v>
      </c>
      <c r="I495">
        <v>2</v>
      </c>
      <c r="J495">
        <v>0</v>
      </c>
      <c r="K495" s="2">
        <v>1</v>
      </c>
      <c r="L495">
        <v>0</v>
      </c>
      <c r="M495" s="7">
        <v>2</v>
      </c>
      <c r="N495" s="7">
        <v>0</v>
      </c>
      <c r="O495">
        <v>1</v>
      </c>
      <c r="P495" t="s">
        <v>18</v>
      </c>
      <c r="Q495">
        <v>1</v>
      </c>
      <c r="R495" s="8">
        <f>(Tabela2[[#This Row],[FAF_atividade_fisica_frequente_em_horas]]+ 0.1)</f>
        <v>2.1</v>
      </c>
      <c r="S495" s="1">
        <f>(Tabela2[[#This Row],[TUE_tempo_uso_aparelhos_em_horas]]/Tabela2[[#This Row],[FAF_Var]])</f>
        <v>0</v>
      </c>
      <c r="T495">
        <f>(Tabela2[[#This Row],[CAEC_lanche_entre_refeicoes]]*Tabela2[[#This Row],[FAVC_consumo_frequente_de_alimentos_mt_caloricos]])</f>
        <v>2</v>
      </c>
      <c r="U495" s="1">
        <f>IF(OR(Tabela2[[#This Row],[MTRANS]]="Walking",Tabela2[[#This Row],[MTRANS]]="Bike"),Tabela2[[#This Row],[FAF_atividade_fisica_frequente_em_horas]]+1,M495)</f>
        <v>2</v>
      </c>
      <c r="V495">
        <f>(Tabela2[[#This Row],[SMOKE]]+Tabela2[[#This Row],[CALC_bebe_alcool_frequentemente]])</f>
        <v>1</v>
      </c>
      <c r="W495" s="8">
        <f>(Tabela2[[#This Row],[Weight]]/(Tabela2[[#This Row],[Height]] ^2))</f>
        <v>20.061728395061728</v>
      </c>
    </row>
    <row r="496" spans="1:23" x14ac:dyDescent="0.25">
      <c r="A496" t="s">
        <v>13</v>
      </c>
      <c r="B496" s="7">
        <v>18</v>
      </c>
      <c r="C496" s="4">
        <v>1.67</v>
      </c>
      <c r="D496" s="7">
        <v>66</v>
      </c>
      <c r="E496">
        <v>0</v>
      </c>
      <c r="F496">
        <v>1</v>
      </c>
      <c r="G496" s="2">
        <v>3</v>
      </c>
      <c r="H496" s="2">
        <v>3</v>
      </c>
      <c r="I496">
        <v>1</v>
      </c>
      <c r="J496">
        <v>0</v>
      </c>
      <c r="K496" s="2">
        <v>2</v>
      </c>
      <c r="L496">
        <v>0</v>
      </c>
      <c r="M496" s="7">
        <v>0</v>
      </c>
      <c r="N496" s="7">
        <v>0</v>
      </c>
      <c r="O496">
        <v>1</v>
      </c>
      <c r="P496" t="s">
        <v>14</v>
      </c>
      <c r="Q496">
        <v>1</v>
      </c>
      <c r="R496" s="8">
        <f>(Tabela2[[#This Row],[FAF_atividade_fisica_frequente_em_horas]]+ 0.1)</f>
        <v>0.1</v>
      </c>
      <c r="S496" s="1">
        <f>(Tabela2[[#This Row],[TUE_tempo_uso_aparelhos_em_horas]]/Tabela2[[#This Row],[FAF_Var]])</f>
        <v>0</v>
      </c>
      <c r="T496">
        <f>(Tabela2[[#This Row],[CAEC_lanche_entre_refeicoes]]*Tabela2[[#This Row],[FAVC_consumo_frequente_de_alimentos_mt_caloricos]])</f>
        <v>1</v>
      </c>
      <c r="U496" s="1">
        <f>IF(OR(Tabela2[[#This Row],[MTRANS]]="Walking",Tabela2[[#This Row],[MTRANS]]="Bike"),Tabela2[[#This Row],[FAF_atividade_fisica_frequente_em_horas]]+1,M496)</f>
        <v>0</v>
      </c>
      <c r="V496">
        <f>(Tabela2[[#This Row],[SMOKE]]+Tabela2[[#This Row],[CALC_bebe_alcool_frequentemente]])</f>
        <v>1</v>
      </c>
      <c r="W496" s="8">
        <f>(Tabela2[[#This Row],[Weight]]/(Tabela2[[#This Row],[Height]] ^2))</f>
        <v>23.665244361576249</v>
      </c>
    </row>
    <row r="497" spans="1:23" x14ac:dyDescent="0.25">
      <c r="A497" t="s">
        <v>15</v>
      </c>
      <c r="B497" s="7">
        <v>19</v>
      </c>
      <c r="C497" s="4">
        <v>1.8</v>
      </c>
      <c r="D497" s="7">
        <v>60</v>
      </c>
      <c r="E497">
        <v>1</v>
      </c>
      <c r="F497">
        <v>1</v>
      </c>
      <c r="G497" s="2">
        <v>3</v>
      </c>
      <c r="H497" s="2">
        <v>1</v>
      </c>
      <c r="I497">
        <v>3</v>
      </c>
      <c r="J497">
        <v>0</v>
      </c>
      <c r="K497" s="2">
        <v>1</v>
      </c>
      <c r="L497">
        <v>1</v>
      </c>
      <c r="M497" s="7">
        <v>0</v>
      </c>
      <c r="N497" s="7">
        <v>0</v>
      </c>
      <c r="O497">
        <v>0</v>
      </c>
      <c r="P497" t="s">
        <v>18</v>
      </c>
      <c r="Q497">
        <v>1</v>
      </c>
      <c r="R497" s="8">
        <f>(Tabela2[[#This Row],[FAF_atividade_fisica_frequente_em_horas]]+ 0.1)</f>
        <v>0.1</v>
      </c>
      <c r="S497" s="1">
        <f>(Tabela2[[#This Row],[TUE_tempo_uso_aparelhos_em_horas]]/Tabela2[[#This Row],[FAF_Var]])</f>
        <v>0</v>
      </c>
      <c r="T497">
        <f>(Tabela2[[#This Row],[CAEC_lanche_entre_refeicoes]]*Tabela2[[#This Row],[FAVC_consumo_frequente_de_alimentos_mt_caloricos]])</f>
        <v>3</v>
      </c>
      <c r="U497" s="1">
        <f>IF(OR(Tabela2[[#This Row],[MTRANS]]="Walking",Tabela2[[#This Row],[MTRANS]]="Bike"),Tabela2[[#This Row],[FAF_atividade_fisica_frequente_em_horas]]+1,M497)</f>
        <v>0</v>
      </c>
      <c r="V497">
        <f>(Tabela2[[#This Row],[SMOKE]]+Tabela2[[#This Row],[CALC_bebe_alcool_frequentemente]])</f>
        <v>0</v>
      </c>
      <c r="W497" s="8">
        <f>(Tabela2[[#This Row],[Weight]]/(Tabela2[[#This Row],[Height]] ^2))</f>
        <v>18.518518518518519</v>
      </c>
    </row>
    <row r="498" spans="1:23" x14ac:dyDescent="0.25">
      <c r="A498" t="s">
        <v>15</v>
      </c>
      <c r="B498" s="7">
        <v>18</v>
      </c>
      <c r="C498" s="4">
        <v>1.72</v>
      </c>
      <c r="D498" s="7">
        <v>53</v>
      </c>
      <c r="E498">
        <v>1</v>
      </c>
      <c r="F498">
        <v>1</v>
      </c>
      <c r="G498" s="2">
        <v>2</v>
      </c>
      <c r="H498" s="2">
        <v>3</v>
      </c>
      <c r="I498">
        <v>1</v>
      </c>
      <c r="J498">
        <v>0</v>
      </c>
      <c r="K498" s="2">
        <v>2</v>
      </c>
      <c r="L498">
        <v>0</v>
      </c>
      <c r="M498" s="7">
        <v>0</v>
      </c>
      <c r="N498" s="7">
        <v>2</v>
      </c>
      <c r="O498">
        <v>1</v>
      </c>
      <c r="P498" t="s">
        <v>14</v>
      </c>
      <c r="Q498">
        <v>0</v>
      </c>
      <c r="R498" s="8">
        <f>(Tabela2[[#This Row],[FAF_atividade_fisica_frequente_em_horas]]+ 0.1)</f>
        <v>0.1</v>
      </c>
      <c r="S498" s="1">
        <f>(Tabela2[[#This Row],[TUE_tempo_uso_aparelhos_em_horas]]/Tabela2[[#This Row],[FAF_Var]])</f>
        <v>20</v>
      </c>
      <c r="T498">
        <f>(Tabela2[[#This Row],[CAEC_lanche_entre_refeicoes]]*Tabela2[[#This Row],[FAVC_consumo_frequente_de_alimentos_mt_caloricos]])</f>
        <v>1</v>
      </c>
      <c r="U498" s="1">
        <f>IF(OR(Tabela2[[#This Row],[MTRANS]]="Walking",Tabela2[[#This Row],[MTRANS]]="Bike"),Tabela2[[#This Row],[FAF_atividade_fisica_frequente_em_horas]]+1,M498)</f>
        <v>0</v>
      </c>
      <c r="V498">
        <f>(Tabela2[[#This Row],[SMOKE]]+Tabela2[[#This Row],[CALC_bebe_alcool_frequentemente]])</f>
        <v>1</v>
      </c>
      <c r="W498" s="8">
        <f>(Tabela2[[#This Row],[Weight]]/(Tabela2[[#This Row],[Height]] ^2))</f>
        <v>17.915089237425637</v>
      </c>
    </row>
    <row r="499" spans="1:23" x14ac:dyDescent="0.25">
      <c r="A499" t="s">
        <v>15</v>
      </c>
      <c r="B499" s="7">
        <v>20</v>
      </c>
      <c r="C499" s="4">
        <v>1.56</v>
      </c>
      <c r="D499" s="7">
        <v>45</v>
      </c>
      <c r="E499">
        <v>0</v>
      </c>
      <c r="F499">
        <v>0</v>
      </c>
      <c r="G499" s="2">
        <v>2</v>
      </c>
      <c r="H499" s="2">
        <v>3</v>
      </c>
      <c r="I499">
        <v>1</v>
      </c>
      <c r="J499">
        <v>0</v>
      </c>
      <c r="K499" s="2">
        <v>2</v>
      </c>
      <c r="L499">
        <v>0</v>
      </c>
      <c r="M499" s="7">
        <v>1</v>
      </c>
      <c r="N499" s="7">
        <v>1</v>
      </c>
      <c r="O499">
        <v>1</v>
      </c>
      <c r="P499" t="s">
        <v>14</v>
      </c>
      <c r="Q499">
        <v>1</v>
      </c>
      <c r="R499" s="8">
        <f>(Tabela2[[#This Row],[FAF_atividade_fisica_frequente_em_horas]]+ 0.1)</f>
        <v>1.1000000000000001</v>
      </c>
      <c r="S499" s="1">
        <f>(Tabela2[[#This Row],[TUE_tempo_uso_aparelhos_em_horas]]/Tabela2[[#This Row],[FAF_Var]])</f>
        <v>0.90909090909090906</v>
      </c>
      <c r="T499">
        <f>(Tabela2[[#This Row],[CAEC_lanche_entre_refeicoes]]*Tabela2[[#This Row],[FAVC_consumo_frequente_de_alimentos_mt_caloricos]])</f>
        <v>0</v>
      </c>
      <c r="U499" s="1">
        <f>IF(OR(Tabela2[[#This Row],[MTRANS]]="Walking",Tabela2[[#This Row],[MTRANS]]="Bike"),Tabela2[[#This Row],[FAF_atividade_fisica_frequente_em_horas]]+1,M499)</f>
        <v>1</v>
      </c>
      <c r="V499">
        <f>(Tabela2[[#This Row],[SMOKE]]+Tabela2[[#This Row],[CALC_bebe_alcool_frequentemente]])</f>
        <v>1</v>
      </c>
      <c r="W499" s="8">
        <f>(Tabela2[[#This Row],[Weight]]/(Tabela2[[#This Row],[Height]] ^2))</f>
        <v>18.491124260355029</v>
      </c>
    </row>
    <row r="500" spans="1:23" x14ac:dyDescent="0.25">
      <c r="A500" t="s">
        <v>13</v>
      </c>
      <c r="B500" s="7">
        <v>25.196214000000001</v>
      </c>
      <c r="C500" s="4">
        <v>1.6863060000000001</v>
      </c>
      <c r="D500" s="7">
        <v>104.572712</v>
      </c>
      <c r="E500">
        <v>1</v>
      </c>
      <c r="F500">
        <v>1</v>
      </c>
      <c r="G500" s="2">
        <v>3</v>
      </c>
      <c r="H500" s="2">
        <v>3</v>
      </c>
      <c r="I500">
        <v>1</v>
      </c>
      <c r="J500">
        <v>0</v>
      </c>
      <c r="K500" s="2">
        <v>1.152736</v>
      </c>
      <c r="L500">
        <v>0</v>
      </c>
      <c r="M500" s="7">
        <v>0.319156</v>
      </c>
      <c r="N500" s="7">
        <v>1</v>
      </c>
      <c r="O500">
        <v>1</v>
      </c>
      <c r="P500" t="s">
        <v>14</v>
      </c>
      <c r="Q500">
        <v>6</v>
      </c>
      <c r="R500" s="8">
        <f>(Tabela2[[#This Row],[FAF_atividade_fisica_frequente_em_horas]]+ 0.1)</f>
        <v>0.41915599999999997</v>
      </c>
      <c r="S500" s="1">
        <f>(Tabela2[[#This Row],[TUE_tempo_uso_aparelhos_em_horas]]/Tabela2[[#This Row],[FAF_Var]])</f>
        <v>2.3857465955396084</v>
      </c>
      <c r="T500">
        <f>(Tabela2[[#This Row],[CAEC_lanche_entre_refeicoes]]*Tabela2[[#This Row],[FAVC_consumo_frequente_de_alimentos_mt_caloricos]])</f>
        <v>1</v>
      </c>
      <c r="U500" s="1">
        <f>IF(OR(Tabela2[[#This Row],[MTRANS]]="Walking",Tabela2[[#This Row],[MTRANS]]="Bike"),Tabela2[[#This Row],[FAF_atividade_fisica_frequente_em_horas]]+1,M500)</f>
        <v>0.319156</v>
      </c>
      <c r="V500">
        <f>(Tabela2[[#This Row],[SMOKE]]+Tabela2[[#This Row],[CALC_bebe_alcool_frequentemente]])</f>
        <v>1</v>
      </c>
      <c r="W500" s="8">
        <f>(Tabela2[[#This Row],[Weight]]/(Tabela2[[#This Row],[Height]] ^2))</f>
        <v>36.774400426037268</v>
      </c>
    </row>
    <row r="501" spans="1:23" x14ac:dyDescent="0.25">
      <c r="A501" t="s">
        <v>13</v>
      </c>
      <c r="B501" s="7">
        <v>18.503343000000001</v>
      </c>
      <c r="C501" s="4">
        <v>1.6831240000000001</v>
      </c>
      <c r="D501" s="7">
        <v>126.67377999999999</v>
      </c>
      <c r="E501">
        <v>1</v>
      </c>
      <c r="F501">
        <v>1</v>
      </c>
      <c r="G501" s="2">
        <v>3</v>
      </c>
      <c r="H501" s="2">
        <v>3</v>
      </c>
      <c r="I501">
        <v>1</v>
      </c>
      <c r="J501">
        <v>0</v>
      </c>
      <c r="K501" s="2">
        <v>1.1159669999999999</v>
      </c>
      <c r="L501">
        <v>0</v>
      </c>
      <c r="M501" s="7">
        <v>1.541072</v>
      </c>
      <c r="N501" s="7">
        <v>1</v>
      </c>
      <c r="O501">
        <v>1</v>
      </c>
      <c r="P501" t="s">
        <v>14</v>
      </c>
      <c r="Q501">
        <v>6</v>
      </c>
      <c r="R501" s="8">
        <f>(Tabela2[[#This Row],[FAF_atividade_fisica_frequente_em_horas]]+ 0.1)</f>
        <v>1.6410720000000001</v>
      </c>
      <c r="S501" s="1">
        <f>(Tabela2[[#This Row],[TUE_tempo_uso_aparelhos_em_horas]]/Tabela2[[#This Row],[FAF_Var]])</f>
        <v>0.6093577856425556</v>
      </c>
      <c r="T501">
        <f>(Tabela2[[#This Row],[CAEC_lanche_entre_refeicoes]]*Tabela2[[#This Row],[FAVC_consumo_frequente_de_alimentos_mt_caloricos]])</f>
        <v>1</v>
      </c>
      <c r="U501" s="1">
        <f>IF(OR(Tabela2[[#This Row],[MTRANS]]="Walking",Tabela2[[#This Row],[MTRANS]]="Bike"),Tabela2[[#This Row],[FAF_atividade_fisica_frequente_em_horas]]+1,M501)</f>
        <v>1.541072</v>
      </c>
      <c r="V501">
        <f>(Tabela2[[#This Row],[SMOKE]]+Tabela2[[#This Row],[CALC_bebe_alcool_frequentemente]])</f>
        <v>1</v>
      </c>
      <c r="W501" s="8">
        <f>(Tabela2[[#This Row],[Weight]]/(Tabela2[[#This Row],[Height]] ^2))</f>
        <v>44.715130732135108</v>
      </c>
    </row>
    <row r="502" spans="1:23" x14ac:dyDescent="0.25">
      <c r="A502" t="s">
        <v>13</v>
      </c>
      <c r="B502" s="7">
        <v>26</v>
      </c>
      <c r="C502" s="4">
        <v>1.6223970000000001</v>
      </c>
      <c r="D502" s="7">
        <v>110.79263</v>
      </c>
      <c r="E502">
        <v>1</v>
      </c>
      <c r="F502">
        <v>1</v>
      </c>
      <c r="G502" s="2">
        <v>3</v>
      </c>
      <c r="H502" s="2">
        <v>3</v>
      </c>
      <c r="I502">
        <v>1</v>
      </c>
      <c r="J502">
        <v>0</v>
      </c>
      <c r="K502" s="2">
        <v>2.704507</v>
      </c>
      <c r="L502">
        <v>0</v>
      </c>
      <c r="M502" s="7">
        <v>0</v>
      </c>
      <c r="N502" s="7">
        <v>0.29498999999999997</v>
      </c>
      <c r="O502">
        <v>1</v>
      </c>
      <c r="P502" t="s">
        <v>14</v>
      </c>
      <c r="Q502">
        <v>6</v>
      </c>
      <c r="R502" s="8">
        <f>(Tabela2[[#This Row],[FAF_atividade_fisica_frequente_em_horas]]+ 0.1)</f>
        <v>0.1</v>
      </c>
      <c r="S502" s="1">
        <f>(Tabela2[[#This Row],[TUE_tempo_uso_aparelhos_em_horas]]/Tabela2[[#This Row],[FAF_Var]])</f>
        <v>2.9498999999999995</v>
      </c>
      <c r="T502">
        <f>(Tabela2[[#This Row],[CAEC_lanche_entre_refeicoes]]*Tabela2[[#This Row],[FAVC_consumo_frequente_de_alimentos_mt_caloricos]])</f>
        <v>1</v>
      </c>
      <c r="U502" s="1">
        <f>IF(OR(Tabela2[[#This Row],[MTRANS]]="Walking",Tabela2[[#This Row],[MTRANS]]="Bike"),Tabela2[[#This Row],[FAF_atividade_fisica_frequente_em_horas]]+1,M502)</f>
        <v>0</v>
      </c>
      <c r="V502">
        <f>(Tabela2[[#This Row],[SMOKE]]+Tabela2[[#This Row],[CALC_bebe_alcool_frequentemente]])</f>
        <v>1</v>
      </c>
      <c r="W502" s="8">
        <f>(Tabela2[[#This Row],[Weight]]/(Tabela2[[#This Row],[Height]] ^2))</f>
        <v>42.091713201900674</v>
      </c>
    </row>
    <row r="503" spans="1:23" x14ac:dyDescent="0.25">
      <c r="A503" t="s">
        <v>13</v>
      </c>
      <c r="B503" s="7">
        <v>21.853826000000002</v>
      </c>
      <c r="C503" s="4">
        <v>1.7556430000000001</v>
      </c>
      <c r="D503" s="7">
        <v>137.79688400000001</v>
      </c>
      <c r="E503">
        <v>1</v>
      </c>
      <c r="F503">
        <v>1</v>
      </c>
      <c r="G503" s="2">
        <v>3</v>
      </c>
      <c r="H503" s="2">
        <v>3</v>
      </c>
      <c r="I503">
        <v>1</v>
      </c>
      <c r="J503">
        <v>0</v>
      </c>
      <c r="K503" s="2">
        <v>2.184707</v>
      </c>
      <c r="L503">
        <v>0</v>
      </c>
      <c r="M503" s="7">
        <v>1.978631</v>
      </c>
      <c r="N503" s="7">
        <v>0.83895699999999995</v>
      </c>
      <c r="O503">
        <v>1</v>
      </c>
      <c r="P503" t="s">
        <v>14</v>
      </c>
      <c r="Q503">
        <v>6</v>
      </c>
      <c r="R503" s="8">
        <f>(Tabela2[[#This Row],[FAF_atividade_fisica_frequente_em_horas]]+ 0.1)</f>
        <v>2.0786310000000001</v>
      </c>
      <c r="S503" s="1">
        <f>(Tabela2[[#This Row],[TUE_tempo_uso_aparelhos_em_horas]]/Tabela2[[#This Row],[FAF_Var]])</f>
        <v>0.40361035700901216</v>
      </c>
      <c r="T503">
        <f>(Tabela2[[#This Row],[CAEC_lanche_entre_refeicoes]]*Tabela2[[#This Row],[FAVC_consumo_frequente_de_alimentos_mt_caloricos]])</f>
        <v>1</v>
      </c>
      <c r="U503" s="1">
        <f>IF(OR(Tabela2[[#This Row],[MTRANS]]="Walking",Tabela2[[#This Row],[MTRANS]]="Bike"),Tabela2[[#This Row],[FAF_atividade_fisica_frequente_em_horas]]+1,M503)</f>
        <v>1.978631</v>
      </c>
      <c r="V503">
        <f>(Tabela2[[#This Row],[SMOKE]]+Tabela2[[#This Row],[CALC_bebe_alcool_frequentemente]])</f>
        <v>1</v>
      </c>
      <c r="W503" s="8">
        <f>(Tabela2[[#This Row],[Weight]]/(Tabela2[[#This Row],[Height]] ^2))</f>
        <v>44.706119896144422</v>
      </c>
    </row>
    <row r="504" spans="1:23" x14ac:dyDescent="0.25">
      <c r="A504" t="s">
        <v>13</v>
      </c>
      <c r="B504" s="7">
        <v>21.900120000000001</v>
      </c>
      <c r="C504" s="4">
        <v>1.8434189999999999</v>
      </c>
      <c r="D504" s="7">
        <v>165.05726899999999</v>
      </c>
      <c r="E504">
        <v>1</v>
      </c>
      <c r="F504">
        <v>1</v>
      </c>
      <c r="G504" s="2">
        <v>3</v>
      </c>
      <c r="H504" s="2">
        <v>3</v>
      </c>
      <c r="I504">
        <v>1</v>
      </c>
      <c r="J504">
        <v>0</v>
      </c>
      <c r="K504" s="2">
        <v>2.4065409999999998</v>
      </c>
      <c r="L504">
        <v>0</v>
      </c>
      <c r="M504" s="7">
        <v>0.10032000000000001</v>
      </c>
      <c r="N504" s="7">
        <v>0.47922100000000001</v>
      </c>
      <c r="O504">
        <v>1</v>
      </c>
      <c r="P504" t="s">
        <v>14</v>
      </c>
      <c r="Q504">
        <v>6</v>
      </c>
      <c r="R504" s="8">
        <f>(Tabela2[[#This Row],[FAF_atividade_fisica_frequente_em_horas]]+ 0.1)</f>
        <v>0.20032</v>
      </c>
      <c r="S504" s="1">
        <f>(Tabela2[[#This Row],[TUE_tempo_uso_aparelhos_em_horas]]/Tabela2[[#This Row],[FAF_Var]])</f>
        <v>2.3922773562300321</v>
      </c>
      <c r="T504">
        <f>(Tabela2[[#This Row],[CAEC_lanche_entre_refeicoes]]*Tabela2[[#This Row],[FAVC_consumo_frequente_de_alimentos_mt_caloricos]])</f>
        <v>1</v>
      </c>
      <c r="U504" s="1">
        <f>IF(OR(Tabela2[[#This Row],[MTRANS]]="Walking",Tabela2[[#This Row],[MTRANS]]="Bike"),Tabela2[[#This Row],[FAF_atividade_fisica_frequente_em_horas]]+1,M504)</f>
        <v>0.10032000000000001</v>
      </c>
      <c r="V504">
        <f>(Tabela2[[#This Row],[SMOKE]]+Tabela2[[#This Row],[CALC_bebe_alcool_frequentemente]])</f>
        <v>1</v>
      </c>
      <c r="W504" s="8">
        <f>(Tabela2[[#This Row],[Weight]]/(Tabela2[[#This Row],[Height]] ^2))</f>
        <v>48.572061502205912</v>
      </c>
    </row>
    <row r="505" spans="1:23" x14ac:dyDescent="0.25">
      <c r="A505" t="s">
        <v>13</v>
      </c>
      <c r="B505" s="7">
        <v>18.306615000000001</v>
      </c>
      <c r="C505" s="4">
        <v>1.7456</v>
      </c>
      <c r="D505" s="7">
        <v>133.03441000000001</v>
      </c>
      <c r="E505">
        <v>1</v>
      </c>
      <c r="F505">
        <v>1</v>
      </c>
      <c r="G505" s="2">
        <v>3</v>
      </c>
      <c r="H505" s="2">
        <v>3</v>
      </c>
      <c r="I505">
        <v>1</v>
      </c>
      <c r="J505">
        <v>0</v>
      </c>
      <c r="K505" s="2">
        <v>2.9843229999999998</v>
      </c>
      <c r="L505">
        <v>0</v>
      </c>
      <c r="M505" s="7">
        <v>1.586525</v>
      </c>
      <c r="N505" s="7">
        <v>0.62534999999999996</v>
      </c>
      <c r="O505">
        <v>1</v>
      </c>
      <c r="P505" t="s">
        <v>14</v>
      </c>
      <c r="Q505">
        <v>6</v>
      </c>
      <c r="R505" s="8">
        <f>(Tabela2[[#This Row],[FAF_atividade_fisica_frequente_em_horas]]+ 0.1)</f>
        <v>1.6865250000000001</v>
      </c>
      <c r="S505" s="1">
        <f>(Tabela2[[#This Row],[TUE_tempo_uso_aparelhos_em_horas]]/Tabela2[[#This Row],[FAF_Var]])</f>
        <v>0.37079201316316091</v>
      </c>
      <c r="T505">
        <f>(Tabela2[[#This Row],[CAEC_lanche_entre_refeicoes]]*Tabela2[[#This Row],[FAVC_consumo_frequente_de_alimentos_mt_caloricos]])</f>
        <v>1</v>
      </c>
      <c r="U505" s="1">
        <f>IF(OR(Tabela2[[#This Row],[MTRANS]]="Walking",Tabela2[[#This Row],[MTRANS]]="Bike"),Tabela2[[#This Row],[FAF_atividade_fisica_frequente_em_horas]]+1,M505)</f>
        <v>1.586525</v>
      </c>
      <c r="V505">
        <f>(Tabela2[[#This Row],[SMOKE]]+Tabela2[[#This Row],[CALC_bebe_alcool_frequentemente]])</f>
        <v>1</v>
      </c>
      <c r="W505" s="8">
        <f>(Tabela2[[#This Row],[Weight]]/(Tabela2[[#This Row],[Height]] ^2))</f>
        <v>43.659074123043219</v>
      </c>
    </row>
    <row r="506" spans="1:23" x14ac:dyDescent="0.25">
      <c r="A506" t="s">
        <v>13</v>
      </c>
      <c r="B506" s="7">
        <v>26</v>
      </c>
      <c r="C506" s="4">
        <v>1.630927</v>
      </c>
      <c r="D506" s="7">
        <v>111.485516</v>
      </c>
      <c r="E506">
        <v>1</v>
      </c>
      <c r="F506">
        <v>1</v>
      </c>
      <c r="G506" s="2">
        <v>3</v>
      </c>
      <c r="H506" s="2">
        <v>3</v>
      </c>
      <c r="I506">
        <v>1</v>
      </c>
      <c r="J506">
        <v>0</v>
      </c>
      <c r="K506" s="2">
        <v>2.4441250000000001</v>
      </c>
      <c r="L506">
        <v>0</v>
      </c>
      <c r="M506" s="7">
        <v>0</v>
      </c>
      <c r="N506" s="7">
        <v>0.26579000000000003</v>
      </c>
      <c r="O506">
        <v>1</v>
      </c>
      <c r="P506" t="s">
        <v>14</v>
      </c>
      <c r="Q506">
        <v>6</v>
      </c>
      <c r="R506" s="8">
        <f>(Tabela2[[#This Row],[FAF_atividade_fisica_frequente_em_horas]]+ 0.1)</f>
        <v>0.1</v>
      </c>
      <c r="S506" s="1">
        <f>(Tabela2[[#This Row],[TUE_tempo_uso_aparelhos_em_horas]]/Tabela2[[#This Row],[FAF_Var]])</f>
        <v>2.6579000000000002</v>
      </c>
      <c r="T506">
        <f>(Tabela2[[#This Row],[CAEC_lanche_entre_refeicoes]]*Tabela2[[#This Row],[FAVC_consumo_frequente_de_alimentos_mt_caloricos]])</f>
        <v>1</v>
      </c>
      <c r="U506" s="1">
        <f>IF(OR(Tabela2[[#This Row],[MTRANS]]="Walking",Tabela2[[#This Row],[MTRANS]]="Bike"),Tabela2[[#This Row],[FAF_atividade_fisica_frequente_em_horas]]+1,M506)</f>
        <v>0</v>
      </c>
      <c r="V506">
        <f>(Tabela2[[#This Row],[SMOKE]]+Tabela2[[#This Row],[CALC_bebe_alcool_frequentemente]])</f>
        <v>1</v>
      </c>
      <c r="W506" s="8">
        <f>(Tabela2[[#This Row],[Weight]]/(Tabela2[[#This Row],[Height]] ^2))</f>
        <v>41.913063294573284</v>
      </c>
    </row>
    <row r="507" spans="1:23" x14ac:dyDescent="0.25">
      <c r="A507" t="s">
        <v>13</v>
      </c>
      <c r="B507" s="7">
        <v>26</v>
      </c>
      <c r="C507" s="4">
        <v>1.6291910000000001</v>
      </c>
      <c r="D507" s="7">
        <v>104.826776</v>
      </c>
      <c r="E507">
        <v>1</v>
      </c>
      <c r="F507">
        <v>1</v>
      </c>
      <c r="G507" s="2">
        <v>3</v>
      </c>
      <c r="H507" s="2">
        <v>3</v>
      </c>
      <c r="I507">
        <v>1</v>
      </c>
      <c r="J507">
        <v>0</v>
      </c>
      <c r="K507" s="2">
        <v>2.6547019999999999</v>
      </c>
      <c r="L507">
        <v>0</v>
      </c>
      <c r="M507" s="7">
        <v>0</v>
      </c>
      <c r="N507" s="7">
        <v>0.55546799999999996</v>
      </c>
      <c r="O507">
        <v>1</v>
      </c>
      <c r="P507" t="s">
        <v>14</v>
      </c>
      <c r="Q507">
        <v>6</v>
      </c>
      <c r="R507" s="8">
        <f>(Tabela2[[#This Row],[FAF_atividade_fisica_frequente_em_horas]]+ 0.1)</f>
        <v>0.1</v>
      </c>
      <c r="S507" s="1">
        <f>(Tabela2[[#This Row],[TUE_tempo_uso_aparelhos_em_horas]]/Tabela2[[#This Row],[FAF_Var]])</f>
        <v>5.5546799999999994</v>
      </c>
      <c r="T507">
        <f>(Tabela2[[#This Row],[CAEC_lanche_entre_refeicoes]]*Tabela2[[#This Row],[FAVC_consumo_frequente_de_alimentos_mt_caloricos]])</f>
        <v>1</v>
      </c>
      <c r="U507" s="1">
        <f>IF(OR(Tabela2[[#This Row],[MTRANS]]="Walking",Tabela2[[#This Row],[MTRANS]]="Bike"),Tabela2[[#This Row],[FAF_atividade_fisica_frequente_em_horas]]+1,M507)</f>
        <v>0</v>
      </c>
      <c r="V507">
        <f>(Tabela2[[#This Row],[SMOKE]]+Tabela2[[#This Row],[CALC_bebe_alcool_frequentemente]])</f>
        <v>1</v>
      </c>
      <c r="W507" s="8">
        <f>(Tabela2[[#This Row],[Weight]]/(Tabela2[[#This Row],[Height]] ^2))</f>
        <v>39.493736521200134</v>
      </c>
    </row>
    <row r="508" spans="1:23" x14ac:dyDescent="0.25">
      <c r="A508" t="s">
        <v>13</v>
      </c>
      <c r="B508" s="7">
        <v>21.849705</v>
      </c>
      <c r="C508" s="4">
        <v>1.7706120000000001</v>
      </c>
      <c r="D508" s="7">
        <v>133.96334899999999</v>
      </c>
      <c r="E508">
        <v>1</v>
      </c>
      <c r="F508">
        <v>1</v>
      </c>
      <c r="G508" s="2">
        <v>3</v>
      </c>
      <c r="H508" s="2">
        <v>3</v>
      </c>
      <c r="I508">
        <v>1</v>
      </c>
      <c r="J508">
        <v>0</v>
      </c>
      <c r="K508" s="2">
        <v>2.8256290000000002</v>
      </c>
      <c r="L508">
        <v>0</v>
      </c>
      <c r="M508" s="7">
        <v>1.3991830000000001</v>
      </c>
      <c r="N508" s="7">
        <v>0.92897200000000002</v>
      </c>
      <c r="O508">
        <v>1</v>
      </c>
      <c r="P508" t="s">
        <v>14</v>
      </c>
      <c r="Q508">
        <v>6</v>
      </c>
      <c r="R508" s="8">
        <f>(Tabela2[[#This Row],[FAF_atividade_fisica_frequente_em_horas]]+ 0.1)</f>
        <v>1.4991830000000002</v>
      </c>
      <c r="S508" s="1">
        <f>(Tabela2[[#This Row],[TUE_tempo_uso_aparelhos_em_horas]]/Tabela2[[#This Row],[FAF_Var]])</f>
        <v>0.61965217054889221</v>
      </c>
      <c r="T508">
        <f>(Tabela2[[#This Row],[CAEC_lanche_entre_refeicoes]]*Tabela2[[#This Row],[FAVC_consumo_frequente_de_alimentos_mt_caloricos]])</f>
        <v>1</v>
      </c>
      <c r="U508" s="1">
        <f>IF(OR(Tabela2[[#This Row],[MTRANS]]="Walking",Tabela2[[#This Row],[MTRANS]]="Bike"),Tabela2[[#This Row],[FAF_atividade_fisica_frequente_em_horas]]+1,M508)</f>
        <v>1.3991830000000001</v>
      </c>
      <c r="V508">
        <f>(Tabela2[[#This Row],[SMOKE]]+Tabela2[[#This Row],[CALC_bebe_alcool_frequentemente]])</f>
        <v>1</v>
      </c>
      <c r="W508" s="8">
        <f>(Tabela2[[#This Row],[Weight]]/(Tabela2[[#This Row],[Height]] ^2))</f>
        <v>42.730619541918877</v>
      </c>
    </row>
    <row r="509" spans="1:23" x14ac:dyDescent="0.25">
      <c r="A509" t="s">
        <v>15</v>
      </c>
      <c r="B509" s="7">
        <v>19.799054000000002</v>
      </c>
      <c r="C509" s="4">
        <v>1.7437020000000001</v>
      </c>
      <c r="D509" s="7">
        <v>54.927529</v>
      </c>
      <c r="E509">
        <v>1</v>
      </c>
      <c r="F509">
        <v>1</v>
      </c>
      <c r="G509" s="2">
        <v>2</v>
      </c>
      <c r="H509" s="2">
        <v>3.2892600000000001</v>
      </c>
      <c r="I509">
        <v>1</v>
      </c>
      <c r="J509">
        <v>0</v>
      </c>
      <c r="K509" s="2">
        <v>2.847264</v>
      </c>
      <c r="L509">
        <v>0</v>
      </c>
      <c r="M509" s="7">
        <v>1.680844</v>
      </c>
      <c r="N509" s="7">
        <v>2</v>
      </c>
      <c r="O509">
        <v>1</v>
      </c>
      <c r="P509" t="s">
        <v>14</v>
      </c>
      <c r="Q509">
        <v>0</v>
      </c>
      <c r="R509" s="8">
        <f>(Tabela2[[#This Row],[FAF_atividade_fisica_frequente_em_horas]]+ 0.1)</f>
        <v>1.7808440000000001</v>
      </c>
      <c r="S509" s="1">
        <f>(Tabela2[[#This Row],[TUE_tempo_uso_aparelhos_em_horas]]/Tabela2[[#This Row],[FAF_Var]])</f>
        <v>1.1230629970957591</v>
      </c>
      <c r="T509">
        <f>(Tabela2[[#This Row],[CAEC_lanche_entre_refeicoes]]*Tabela2[[#This Row],[FAVC_consumo_frequente_de_alimentos_mt_caloricos]])</f>
        <v>1</v>
      </c>
      <c r="U509" s="1">
        <f>IF(OR(Tabela2[[#This Row],[MTRANS]]="Walking",Tabela2[[#This Row],[MTRANS]]="Bike"),Tabela2[[#This Row],[FAF_atividade_fisica_frequente_em_horas]]+1,M509)</f>
        <v>1.680844</v>
      </c>
      <c r="V509">
        <f>(Tabela2[[#This Row],[SMOKE]]+Tabela2[[#This Row],[CALC_bebe_alcool_frequentemente]])</f>
        <v>1</v>
      </c>
      <c r="W509" s="8">
        <f>(Tabela2[[#This Row],[Weight]]/(Tabela2[[#This Row],[Height]] ^2))</f>
        <v>18.065314669089037</v>
      </c>
    </row>
    <row r="510" spans="1:23" x14ac:dyDescent="0.25">
      <c r="A510" t="s">
        <v>15</v>
      </c>
      <c r="B510" s="7">
        <v>17.188753999999999</v>
      </c>
      <c r="C510" s="4">
        <v>1.7719149999999999</v>
      </c>
      <c r="D510" s="7">
        <v>55.695036000000002</v>
      </c>
      <c r="E510">
        <v>1</v>
      </c>
      <c r="F510">
        <v>1</v>
      </c>
      <c r="G510" s="2">
        <v>2</v>
      </c>
      <c r="H510" s="2">
        <v>4</v>
      </c>
      <c r="I510">
        <v>1</v>
      </c>
      <c r="J510">
        <v>0</v>
      </c>
      <c r="K510" s="2">
        <v>2.8840330000000001</v>
      </c>
      <c r="L510">
        <v>0</v>
      </c>
      <c r="M510" s="7">
        <v>2</v>
      </c>
      <c r="N510" s="7">
        <v>1.3401069999999999</v>
      </c>
      <c r="O510">
        <v>1</v>
      </c>
      <c r="P510" t="s">
        <v>14</v>
      </c>
      <c r="Q510">
        <v>0</v>
      </c>
      <c r="R510" s="8">
        <f>(Tabela2[[#This Row],[FAF_atividade_fisica_frequente_em_horas]]+ 0.1)</f>
        <v>2.1</v>
      </c>
      <c r="S510" s="1">
        <f>(Tabela2[[#This Row],[TUE_tempo_uso_aparelhos_em_horas]]/Tabela2[[#This Row],[FAF_Var]])</f>
        <v>0.63814619047619037</v>
      </c>
      <c r="T510">
        <f>(Tabela2[[#This Row],[CAEC_lanche_entre_refeicoes]]*Tabela2[[#This Row],[FAVC_consumo_frequente_de_alimentos_mt_caloricos]])</f>
        <v>1</v>
      </c>
      <c r="U510" s="1">
        <f>IF(OR(Tabela2[[#This Row],[MTRANS]]="Walking",Tabela2[[#This Row],[MTRANS]]="Bike"),Tabela2[[#This Row],[FAF_atividade_fisica_frequente_em_horas]]+1,M510)</f>
        <v>2</v>
      </c>
      <c r="V510">
        <f>(Tabela2[[#This Row],[SMOKE]]+Tabela2[[#This Row],[CALC_bebe_alcool_frequentemente]])</f>
        <v>1</v>
      </c>
      <c r="W510" s="8">
        <f>(Tabela2[[#This Row],[Weight]]/(Tabela2[[#This Row],[Height]] ^2))</f>
        <v>17.739064781129436</v>
      </c>
    </row>
    <row r="511" spans="1:23" x14ac:dyDescent="0.25">
      <c r="A511" t="s">
        <v>15</v>
      </c>
      <c r="B511" s="7">
        <v>22.285024</v>
      </c>
      <c r="C511" s="4">
        <v>1.75376</v>
      </c>
      <c r="D511" s="7">
        <v>55.879263000000002</v>
      </c>
      <c r="E511">
        <v>1</v>
      </c>
      <c r="F511">
        <v>1</v>
      </c>
      <c r="G511" s="2">
        <v>2.450218</v>
      </c>
      <c r="H511" s="2">
        <v>3.9951469999999998</v>
      </c>
      <c r="I511">
        <v>1</v>
      </c>
      <c r="J511">
        <v>0</v>
      </c>
      <c r="K511" s="2">
        <v>2.1477460000000002</v>
      </c>
      <c r="L511">
        <v>0</v>
      </c>
      <c r="M511" s="7">
        <v>2</v>
      </c>
      <c r="N511" s="7">
        <v>0.58997999999999995</v>
      </c>
      <c r="O511">
        <v>1</v>
      </c>
      <c r="P511" t="s">
        <v>14</v>
      </c>
      <c r="Q511">
        <v>0</v>
      </c>
      <c r="R511" s="8">
        <f>(Tabela2[[#This Row],[FAF_atividade_fisica_frequente_em_horas]]+ 0.1)</f>
        <v>2.1</v>
      </c>
      <c r="S511" s="1">
        <f>(Tabela2[[#This Row],[TUE_tempo_uso_aparelhos_em_horas]]/Tabela2[[#This Row],[FAF_Var]])</f>
        <v>0.28094285714285711</v>
      </c>
      <c r="T511">
        <f>(Tabela2[[#This Row],[CAEC_lanche_entre_refeicoes]]*Tabela2[[#This Row],[FAVC_consumo_frequente_de_alimentos_mt_caloricos]])</f>
        <v>1</v>
      </c>
      <c r="U511" s="1">
        <f>IF(OR(Tabela2[[#This Row],[MTRANS]]="Walking",Tabela2[[#This Row],[MTRANS]]="Bike"),Tabela2[[#This Row],[FAF_atividade_fisica_frequente_em_horas]]+1,M511)</f>
        <v>2</v>
      </c>
      <c r="V511">
        <f>(Tabela2[[#This Row],[SMOKE]]+Tabela2[[#This Row],[CALC_bebe_alcool_frequentemente]])</f>
        <v>1</v>
      </c>
      <c r="W511" s="8">
        <f>(Tabela2[[#This Row],[Weight]]/(Tabela2[[#This Row],[Height]] ^2))</f>
        <v>18.168135016931124</v>
      </c>
    </row>
    <row r="512" spans="1:23" x14ac:dyDescent="0.25">
      <c r="A512" t="s">
        <v>13</v>
      </c>
      <c r="B512" s="7">
        <v>22</v>
      </c>
      <c r="C512" s="4">
        <v>1.675446</v>
      </c>
      <c r="D512" s="7">
        <v>51.154201</v>
      </c>
      <c r="E512">
        <v>1</v>
      </c>
      <c r="F512">
        <v>1</v>
      </c>
      <c r="G512" s="2">
        <v>3</v>
      </c>
      <c r="H512" s="2">
        <v>3</v>
      </c>
      <c r="I512">
        <v>2</v>
      </c>
      <c r="J512">
        <v>0</v>
      </c>
      <c r="K512" s="2">
        <v>2.815293</v>
      </c>
      <c r="L512">
        <v>0</v>
      </c>
      <c r="M512" s="7">
        <v>1.978631</v>
      </c>
      <c r="N512" s="7">
        <v>1</v>
      </c>
      <c r="O512">
        <v>0</v>
      </c>
      <c r="P512" t="s">
        <v>14</v>
      </c>
      <c r="Q512">
        <v>0</v>
      </c>
      <c r="R512" s="8">
        <f>(Tabela2[[#This Row],[FAF_atividade_fisica_frequente_em_horas]]+ 0.1)</f>
        <v>2.0786310000000001</v>
      </c>
      <c r="S512" s="1">
        <f>(Tabela2[[#This Row],[TUE_tempo_uso_aparelhos_em_horas]]/Tabela2[[#This Row],[FAF_Var]])</f>
        <v>0.48108586853558905</v>
      </c>
      <c r="T512">
        <f>(Tabela2[[#This Row],[CAEC_lanche_entre_refeicoes]]*Tabela2[[#This Row],[FAVC_consumo_frequente_de_alimentos_mt_caloricos]])</f>
        <v>2</v>
      </c>
      <c r="U512" s="1">
        <f>IF(OR(Tabela2[[#This Row],[MTRANS]]="Walking",Tabela2[[#This Row],[MTRANS]]="Bike"),Tabela2[[#This Row],[FAF_atividade_fisica_frequente_em_horas]]+1,M512)</f>
        <v>1.978631</v>
      </c>
      <c r="V512">
        <f>(Tabela2[[#This Row],[SMOKE]]+Tabela2[[#This Row],[CALC_bebe_alcool_frequentemente]])</f>
        <v>0</v>
      </c>
      <c r="W512" s="8">
        <f>(Tabela2[[#This Row],[Weight]]/(Tabela2[[#This Row],[Height]] ^2))</f>
        <v>18.223023517295385</v>
      </c>
    </row>
    <row r="513" spans="1:23" x14ac:dyDescent="0.25">
      <c r="A513" t="s">
        <v>13</v>
      </c>
      <c r="B513" s="7">
        <v>21.02497</v>
      </c>
      <c r="C513" s="4">
        <v>1.6662030000000001</v>
      </c>
      <c r="D513" s="7">
        <v>49.869790999999999</v>
      </c>
      <c r="E513">
        <v>1</v>
      </c>
      <c r="F513">
        <v>1</v>
      </c>
      <c r="G513" s="2">
        <v>3</v>
      </c>
      <c r="H513" s="2">
        <v>3</v>
      </c>
      <c r="I513">
        <v>2</v>
      </c>
      <c r="J513">
        <v>0</v>
      </c>
      <c r="K513" s="2">
        <v>2.5934590000000002</v>
      </c>
      <c r="L513">
        <v>0</v>
      </c>
      <c r="M513" s="7">
        <v>2</v>
      </c>
      <c r="N513" s="7">
        <v>1</v>
      </c>
      <c r="O513">
        <v>0</v>
      </c>
      <c r="P513" t="s">
        <v>14</v>
      </c>
      <c r="Q513">
        <v>0</v>
      </c>
      <c r="R513" s="8">
        <f>(Tabela2[[#This Row],[FAF_atividade_fisica_frequente_em_horas]]+ 0.1)</f>
        <v>2.1</v>
      </c>
      <c r="S513" s="1">
        <f>(Tabela2[[#This Row],[TUE_tempo_uso_aparelhos_em_horas]]/Tabela2[[#This Row],[FAF_Var]])</f>
        <v>0.47619047619047616</v>
      </c>
      <c r="T513">
        <f>(Tabela2[[#This Row],[CAEC_lanche_entre_refeicoes]]*Tabela2[[#This Row],[FAVC_consumo_frequente_de_alimentos_mt_caloricos]])</f>
        <v>2</v>
      </c>
      <c r="U513" s="1">
        <f>IF(OR(Tabela2[[#This Row],[MTRANS]]="Walking",Tabela2[[#This Row],[MTRANS]]="Bike"),Tabela2[[#This Row],[FAF_atividade_fisica_frequente_em_horas]]+1,M513)</f>
        <v>2</v>
      </c>
      <c r="V513">
        <f>(Tabela2[[#This Row],[SMOKE]]+Tabela2[[#This Row],[CALC_bebe_alcool_frequentemente]])</f>
        <v>0</v>
      </c>
      <c r="W513" s="8">
        <f>(Tabela2[[#This Row],[Weight]]/(Tabela2[[#This Row],[Height]] ^2))</f>
        <v>17.96311804862242</v>
      </c>
    </row>
    <row r="514" spans="1:23" x14ac:dyDescent="0.25">
      <c r="A514" t="s">
        <v>13</v>
      </c>
      <c r="B514" s="7">
        <v>22.038326999999999</v>
      </c>
      <c r="C514" s="4">
        <v>1.7114670000000001</v>
      </c>
      <c r="D514" s="7">
        <v>51.965521000000003</v>
      </c>
      <c r="E514">
        <v>1</v>
      </c>
      <c r="F514">
        <v>1</v>
      </c>
      <c r="G514" s="2">
        <v>2.8801610000000002</v>
      </c>
      <c r="H514" s="2">
        <v>3</v>
      </c>
      <c r="I514">
        <v>2</v>
      </c>
      <c r="J514">
        <v>0</v>
      </c>
      <c r="K514" s="2">
        <v>1.0313540000000001</v>
      </c>
      <c r="L514">
        <v>0</v>
      </c>
      <c r="M514" s="7">
        <v>2.2067380000000001</v>
      </c>
      <c r="N514" s="7">
        <v>1.3746499999999999</v>
      </c>
      <c r="O514">
        <v>0</v>
      </c>
      <c r="P514" t="s">
        <v>14</v>
      </c>
      <c r="Q514">
        <v>0</v>
      </c>
      <c r="R514" s="8">
        <f>(Tabela2[[#This Row],[FAF_atividade_fisica_frequente_em_horas]]+ 0.1)</f>
        <v>2.3067380000000002</v>
      </c>
      <c r="S514" s="1">
        <f>(Tabela2[[#This Row],[TUE_tempo_uso_aparelhos_em_horas]]/Tabela2[[#This Row],[FAF_Var]])</f>
        <v>0.59592810280144504</v>
      </c>
      <c r="T514">
        <f>(Tabela2[[#This Row],[CAEC_lanche_entre_refeicoes]]*Tabela2[[#This Row],[FAVC_consumo_frequente_de_alimentos_mt_caloricos]])</f>
        <v>2</v>
      </c>
      <c r="U514" s="1">
        <f>IF(OR(Tabela2[[#This Row],[MTRANS]]="Walking",Tabela2[[#This Row],[MTRANS]]="Bike"),Tabela2[[#This Row],[FAF_atividade_fisica_frequente_em_horas]]+1,M514)</f>
        <v>2.2067380000000001</v>
      </c>
      <c r="V514">
        <f>(Tabela2[[#This Row],[SMOKE]]+Tabela2[[#This Row],[CALC_bebe_alcool_frequentemente]])</f>
        <v>0</v>
      </c>
      <c r="W514" s="8">
        <f>(Tabela2[[#This Row],[Weight]]/(Tabela2[[#This Row],[Height]] ^2))</f>
        <v>17.741005339164264</v>
      </c>
    </row>
    <row r="515" spans="1:23" x14ac:dyDescent="0.25">
      <c r="A515" t="s">
        <v>13</v>
      </c>
      <c r="B515" s="7">
        <v>21.243141999999999</v>
      </c>
      <c r="C515" s="4">
        <v>1.5980190000000001</v>
      </c>
      <c r="D515" s="7">
        <v>44.845655000000001</v>
      </c>
      <c r="E515">
        <v>0</v>
      </c>
      <c r="F515">
        <v>0</v>
      </c>
      <c r="G515" s="2">
        <v>3</v>
      </c>
      <c r="H515" s="2">
        <v>1.7262599999999999</v>
      </c>
      <c r="I515">
        <v>2</v>
      </c>
      <c r="J515">
        <v>0</v>
      </c>
      <c r="K515" s="2">
        <v>2.4441250000000001</v>
      </c>
      <c r="L515">
        <v>0</v>
      </c>
      <c r="M515" s="7">
        <v>1.3181700000000001</v>
      </c>
      <c r="N515" s="7">
        <v>0</v>
      </c>
      <c r="O515">
        <v>0</v>
      </c>
      <c r="P515" t="s">
        <v>14</v>
      </c>
      <c r="Q515">
        <v>0</v>
      </c>
      <c r="R515" s="8">
        <f>(Tabela2[[#This Row],[FAF_atividade_fisica_frequente_em_horas]]+ 0.1)</f>
        <v>1.4181700000000002</v>
      </c>
      <c r="S515" s="1">
        <f>(Tabela2[[#This Row],[TUE_tempo_uso_aparelhos_em_horas]]/Tabela2[[#This Row],[FAF_Var]])</f>
        <v>0</v>
      </c>
      <c r="T515">
        <f>(Tabela2[[#This Row],[CAEC_lanche_entre_refeicoes]]*Tabela2[[#This Row],[FAVC_consumo_frequente_de_alimentos_mt_caloricos]])</f>
        <v>0</v>
      </c>
      <c r="U515" s="1">
        <f>IF(OR(Tabela2[[#This Row],[MTRANS]]="Walking",Tabela2[[#This Row],[MTRANS]]="Bike"),Tabela2[[#This Row],[FAF_atividade_fisica_frequente_em_horas]]+1,M515)</f>
        <v>1.3181700000000001</v>
      </c>
      <c r="V515">
        <f>(Tabela2[[#This Row],[SMOKE]]+Tabela2[[#This Row],[CALC_bebe_alcool_frequentemente]])</f>
        <v>0</v>
      </c>
      <c r="W515" s="8">
        <f>(Tabela2[[#This Row],[Weight]]/(Tabela2[[#This Row],[Height]] ^2))</f>
        <v>17.561293216055081</v>
      </c>
    </row>
    <row r="516" spans="1:23" x14ac:dyDescent="0.25">
      <c r="A516" t="s">
        <v>13</v>
      </c>
      <c r="B516" s="7">
        <v>22.142431999999999</v>
      </c>
      <c r="C516" s="4">
        <v>1.5961099999999999</v>
      </c>
      <c r="D516" s="7">
        <v>42.848033000000001</v>
      </c>
      <c r="E516">
        <v>0</v>
      </c>
      <c r="F516">
        <v>0</v>
      </c>
      <c r="G516" s="2">
        <v>3</v>
      </c>
      <c r="H516" s="2">
        <v>2.5810149999999998</v>
      </c>
      <c r="I516">
        <v>2</v>
      </c>
      <c r="J516">
        <v>0</v>
      </c>
      <c r="K516" s="2">
        <v>2.6547019999999999</v>
      </c>
      <c r="L516">
        <v>0</v>
      </c>
      <c r="M516" s="7">
        <v>0.90209499999999998</v>
      </c>
      <c r="N516" s="7">
        <v>0</v>
      </c>
      <c r="O516">
        <v>0</v>
      </c>
      <c r="P516" t="s">
        <v>14</v>
      </c>
      <c r="Q516">
        <v>0</v>
      </c>
      <c r="R516" s="8">
        <f>(Tabela2[[#This Row],[FAF_atividade_fisica_frequente_em_horas]]+ 0.1)</f>
        <v>1.002095</v>
      </c>
      <c r="S516" s="1">
        <f>(Tabela2[[#This Row],[TUE_tempo_uso_aparelhos_em_horas]]/Tabela2[[#This Row],[FAF_Var]])</f>
        <v>0</v>
      </c>
      <c r="T516">
        <f>(Tabela2[[#This Row],[CAEC_lanche_entre_refeicoes]]*Tabela2[[#This Row],[FAVC_consumo_frequente_de_alimentos_mt_caloricos]])</f>
        <v>0</v>
      </c>
      <c r="U516" s="1">
        <f>IF(OR(Tabela2[[#This Row],[MTRANS]]="Walking",Tabela2[[#This Row],[MTRANS]]="Bike"),Tabela2[[#This Row],[FAF_atividade_fisica_frequente_em_horas]]+1,M516)</f>
        <v>0.90209499999999998</v>
      </c>
      <c r="V516">
        <f>(Tabela2[[#This Row],[SMOKE]]+Tabela2[[#This Row],[CALC_bebe_alcool_frequentemente]])</f>
        <v>0</v>
      </c>
      <c r="W516" s="8">
        <f>(Tabela2[[#This Row],[Weight]]/(Tabela2[[#This Row],[Height]] ^2))</f>
        <v>16.819196817270793</v>
      </c>
    </row>
    <row r="517" spans="1:23" x14ac:dyDescent="0.25">
      <c r="A517" t="s">
        <v>13</v>
      </c>
      <c r="B517" s="7">
        <v>21.962426000000001</v>
      </c>
      <c r="C517" s="4">
        <v>1.57206</v>
      </c>
      <c r="D517" s="7">
        <v>43.919834999999999</v>
      </c>
      <c r="E517">
        <v>0</v>
      </c>
      <c r="F517">
        <v>0</v>
      </c>
      <c r="G517" s="2">
        <v>3</v>
      </c>
      <c r="H517" s="2">
        <v>1.6008119999999999</v>
      </c>
      <c r="I517">
        <v>2</v>
      </c>
      <c r="J517">
        <v>0</v>
      </c>
      <c r="K517" s="2">
        <v>2.6512579999999999</v>
      </c>
      <c r="L517">
        <v>0</v>
      </c>
      <c r="M517" s="7">
        <v>0.60081700000000005</v>
      </c>
      <c r="N517" s="7">
        <v>0</v>
      </c>
      <c r="O517">
        <v>0</v>
      </c>
      <c r="P517" t="s">
        <v>14</v>
      </c>
      <c r="Q517">
        <v>0</v>
      </c>
      <c r="R517" s="8">
        <f>(Tabela2[[#This Row],[FAF_atividade_fisica_frequente_em_horas]]+ 0.1)</f>
        <v>0.70081700000000002</v>
      </c>
      <c r="S517" s="1">
        <f>(Tabela2[[#This Row],[TUE_tempo_uso_aparelhos_em_horas]]/Tabela2[[#This Row],[FAF_Var]])</f>
        <v>0</v>
      </c>
      <c r="T517">
        <f>(Tabela2[[#This Row],[CAEC_lanche_entre_refeicoes]]*Tabela2[[#This Row],[FAVC_consumo_frequente_de_alimentos_mt_caloricos]])</f>
        <v>0</v>
      </c>
      <c r="U517" s="1">
        <f>IF(OR(Tabela2[[#This Row],[MTRANS]]="Walking",Tabela2[[#This Row],[MTRANS]]="Bike"),Tabela2[[#This Row],[FAF_atividade_fisica_frequente_em_horas]]+1,M517)</f>
        <v>0.60081700000000005</v>
      </c>
      <c r="V517">
        <f>(Tabela2[[#This Row],[SMOKE]]+Tabela2[[#This Row],[CALC_bebe_alcool_frequentemente]])</f>
        <v>0</v>
      </c>
      <c r="W517" s="8">
        <f>(Tabela2[[#This Row],[Weight]]/(Tabela2[[#This Row],[Height]] ^2))</f>
        <v>17.771433666119584</v>
      </c>
    </row>
    <row r="518" spans="1:23" x14ac:dyDescent="0.25">
      <c r="A518" t="s">
        <v>13</v>
      </c>
      <c r="B518" s="7">
        <v>21.491054999999999</v>
      </c>
      <c r="C518" s="4">
        <v>1.5869519999999999</v>
      </c>
      <c r="D518" s="7">
        <v>43.087508</v>
      </c>
      <c r="E518">
        <v>0</v>
      </c>
      <c r="F518">
        <v>0</v>
      </c>
      <c r="G518" s="2">
        <v>2.0087600000000001</v>
      </c>
      <c r="H518" s="2">
        <v>1.7376199999999999</v>
      </c>
      <c r="I518">
        <v>2</v>
      </c>
      <c r="J518">
        <v>0</v>
      </c>
      <c r="K518" s="2">
        <v>1.792022</v>
      </c>
      <c r="L518">
        <v>0</v>
      </c>
      <c r="M518" s="7">
        <v>0.119643</v>
      </c>
      <c r="N518" s="7">
        <v>0</v>
      </c>
      <c r="O518">
        <v>0</v>
      </c>
      <c r="P518" t="s">
        <v>14</v>
      </c>
      <c r="Q518">
        <v>0</v>
      </c>
      <c r="R518" s="8">
        <f>(Tabela2[[#This Row],[FAF_atividade_fisica_frequente_em_horas]]+ 0.1)</f>
        <v>0.219643</v>
      </c>
      <c r="S518" s="1">
        <f>(Tabela2[[#This Row],[TUE_tempo_uso_aparelhos_em_horas]]/Tabela2[[#This Row],[FAF_Var]])</f>
        <v>0</v>
      </c>
      <c r="T518">
        <f>(Tabela2[[#This Row],[CAEC_lanche_entre_refeicoes]]*Tabela2[[#This Row],[FAVC_consumo_frequente_de_alimentos_mt_caloricos]])</f>
        <v>0</v>
      </c>
      <c r="U518" s="1">
        <f>IF(OR(Tabela2[[#This Row],[MTRANS]]="Walking",Tabela2[[#This Row],[MTRANS]]="Bike"),Tabela2[[#This Row],[FAF_atividade_fisica_frequente_em_horas]]+1,M518)</f>
        <v>0.119643</v>
      </c>
      <c r="V518">
        <f>(Tabela2[[#This Row],[SMOKE]]+Tabela2[[#This Row],[CALC_bebe_alcool_frequentemente]])</f>
        <v>0</v>
      </c>
      <c r="W518" s="8">
        <f>(Tabela2[[#This Row],[Weight]]/(Tabela2[[#This Row],[Height]] ^2))</f>
        <v>17.10896725321399</v>
      </c>
    </row>
    <row r="519" spans="1:23" x14ac:dyDescent="0.25">
      <c r="A519" t="s">
        <v>13</v>
      </c>
      <c r="B519" s="7">
        <v>22.717943000000002</v>
      </c>
      <c r="C519" s="4">
        <v>1.5955900000000001</v>
      </c>
      <c r="D519" s="7">
        <v>44.581159</v>
      </c>
      <c r="E519">
        <v>0</v>
      </c>
      <c r="F519">
        <v>0</v>
      </c>
      <c r="G519" s="2">
        <v>2.5965790000000002</v>
      </c>
      <c r="H519" s="2">
        <v>1.10548</v>
      </c>
      <c r="I519">
        <v>2</v>
      </c>
      <c r="J519">
        <v>0</v>
      </c>
      <c r="K519" s="2">
        <v>1.490613</v>
      </c>
      <c r="L519">
        <v>0</v>
      </c>
      <c r="M519" s="7">
        <v>0.34568399999999999</v>
      </c>
      <c r="N519" s="7">
        <v>0</v>
      </c>
      <c r="O519">
        <v>0</v>
      </c>
      <c r="P519" t="s">
        <v>14</v>
      </c>
      <c r="Q519">
        <v>0</v>
      </c>
      <c r="R519" s="8">
        <f>(Tabela2[[#This Row],[FAF_atividade_fisica_frequente_em_horas]]+ 0.1)</f>
        <v>0.44568399999999997</v>
      </c>
      <c r="S519" s="1">
        <f>(Tabela2[[#This Row],[TUE_tempo_uso_aparelhos_em_horas]]/Tabela2[[#This Row],[FAF_Var]])</f>
        <v>0</v>
      </c>
      <c r="T519">
        <f>(Tabela2[[#This Row],[CAEC_lanche_entre_refeicoes]]*Tabela2[[#This Row],[FAVC_consumo_frequente_de_alimentos_mt_caloricos]])</f>
        <v>0</v>
      </c>
      <c r="U519" s="1">
        <f>IF(OR(Tabela2[[#This Row],[MTRANS]]="Walking",Tabela2[[#This Row],[MTRANS]]="Bike"),Tabela2[[#This Row],[FAF_atividade_fisica_frequente_em_horas]]+1,M519)</f>
        <v>0.34568399999999999</v>
      </c>
      <c r="V519">
        <f>(Tabela2[[#This Row],[SMOKE]]+Tabela2[[#This Row],[CALC_bebe_alcool_frequentemente]])</f>
        <v>0</v>
      </c>
      <c r="W519" s="8">
        <f>(Tabela2[[#This Row],[Weight]]/(Tabela2[[#This Row],[Height]] ^2))</f>
        <v>17.510911102943165</v>
      </c>
    </row>
    <row r="520" spans="1:23" x14ac:dyDescent="0.25">
      <c r="A520" t="s">
        <v>13</v>
      </c>
      <c r="B520" s="7">
        <v>23.501249000000001</v>
      </c>
      <c r="C520" s="4">
        <v>1.6</v>
      </c>
      <c r="D520" s="7">
        <v>45</v>
      </c>
      <c r="E520">
        <v>0</v>
      </c>
      <c r="F520">
        <v>0</v>
      </c>
      <c r="G520" s="2">
        <v>2.5914389999999998</v>
      </c>
      <c r="H520" s="2">
        <v>3</v>
      </c>
      <c r="I520">
        <v>2</v>
      </c>
      <c r="J520">
        <v>0</v>
      </c>
      <c r="K520" s="2">
        <v>2.0740479999999999</v>
      </c>
      <c r="L520">
        <v>0</v>
      </c>
      <c r="M520" s="7">
        <v>1.679935</v>
      </c>
      <c r="N520" s="7">
        <v>0</v>
      </c>
      <c r="O520">
        <v>0</v>
      </c>
      <c r="P520" t="s">
        <v>14</v>
      </c>
      <c r="Q520">
        <v>0</v>
      </c>
      <c r="R520" s="8">
        <f>(Tabela2[[#This Row],[FAF_atividade_fisica_frequente_em_horas]]+ 0.1)</f>
        <v>1.779935</v>
      </c>
      <c r="S520" s="1">
        <f>(Tabela2[[#This Row],[TUE_tempo_uso_aparelhos_em_horas]]/Tabela2[[#This Row],[FAF_Var]])</f>
        <v>0</v>
      </c>
      <c r="T520">
        <f>(Tabela2[[#This Row],[CAEC_lanche_entre_refeicoes]]*Tabela2[[#This Row],[FAVC_consumo_frequente_de_alimentos_mt_caloricos]])</f>
        <v>0</v>
      </c>
      <c r="U520" s="1">
        <f>IF(OR(Tabela2[[#This Row],[MTRANS]]="Walking",Tabela2[[#This Row],[MTRANS]]="Bike"),Tabela2[[#This Row],[FAF_atividade_fisica_frequente_em_horas]]+1,M520)</f>
        <v>1.679935</v>
      </c>
      <c r="V520">
        <f>(Tabela2[[#This Row],[SMOKE]]+Tabela2[[#This Row],[CALC_bebe_alcool_frequentemente]])</f>
        <v>0</v>
      </c>
      <c r="W520" s="8">
        <f>(Tabela2[[#This Row],[Weight]]/(Tabela2[[#This Row],[Height]] ^2))</f>
        <v>17.578124999999996</v>
      </c>
    </row>
    <row r="521" spans="1:23" x14ac:dyDescent="0.25">
      <c r="A521" t="s">
        <v>13</v>
      </c>
      <c r="B521" s="7">
        <v>18.535074999999999</v>
      </c>
      <c r="C521" s="4">
        <v>1.6880250000000001</v>
      </c>
      <c r="D521" s="7">
        <v>45</v>
      </c>
      <c r="E521">
        <v>0</v>
      </c>
      <c r="F521">
        <v>1</v>
      </c>
      <c r="G521" s="2">
        <v>3</v>
      </c>
      <c r="H521" s="2">
        <v>3</v>
      </c>
      <c r="I521">
        <v>1</v>
      </c>
      <c r="J521">
        <v>0</v>
      </c>
      <c r="K521" s="2">
        <v>3</v>
      </c>
      <c r="L521">
        <v>1</v>
      </c>
      <c r="M521" s="7">
        <v>2.5397620000000001</v>
      </c>
      <c r="N521" s="7">
        <v>1.2836730000000001</v>
      </c>
      <c r="O521">
        <v>0</v>
      </c>
      <c r="P521" t="s">
        <v>14</v>
      </c>
      <c r="Q521">
        <v>0</v>
      </c>
      <c r="R521" s="8">
        <f>(Tabela2[[#This Row],[FAF_atividade_fisica_frequente_em_horas]]+ 0.1)</f>
        <v>2.6397620000000002</v>
      </c>
      <c r="S521" s="1">
        <f>(Tabela2[[#This Row],[TUE_tempo_uso_aparelhos_em_horas]]/Tabela2[[#This Row],[FAF_Var]])</f>
        <v>0.48628361193168174</v>
      </c>
      <c r="T521">
        <f>(Tabela2[[#This Row],[CAEC_lanche_entre_refeicoes]]*Tabela2[[#This Row],[FAVC_consumo_frequente_de_alimentos_mt_caloricos]])</f>
        <v>1</v>
      </c>
      <c r="U521" s="1">
        <f>IF(OR(Tabela2[[#This Row],[MTRANS]]="Walking",Tabela2[[#This Row],[MTRANS]]="Bike"),Tabela2[[#This Row],[FAF_atividade_fisica_frequente_em_horas]]+1,M521)</f>
        <v>2.5397620000000001</v>
      </c>
      <c r="V521">
        <f>(Tabela2[[#This Row],[SMOKE]]+Tabela2[[#This Row],[CALC_bebe_alcool_frequentemente]])</f>
        <v>0</v>
      </c>
      <c r="W521" s="8">
        <f>(Tabela2[[#This Row],[Weight]]/(Tabela2[[#This Row],[Height]] ^2))</f>
        <v>15.792641075006339</v>
      </c>
    </row>
    <row r="522" spans="1:23" x14ac:dyDescent="0.25">
      <c r="A522" t="s">
        <v>13</v>
      </c>
      <c r="B522" s="7">
        <v>19</v>
      </c>
      <c r="C522" s="4">
        <v>1.556211</v>
      </c>
      <c r="D522" s="7">
        <v>42.339767000000002</v>
      </c>
      <c r="E522">
        <v>0</v>
      </c>
      <c r="F522">
        <v>1</v>
      </c>
      <c r="G522" s="2">
        <v>3</v>
      </c>
      <c r="H522" s="2">
        <v>2.0846</v>
      </c>
      <c r="I522">
        <v>1</v>
      </c>
      <c r="J522">
        <v>0</v>
      </c>
      <c r="K522" s="2">
        <v>2.1375500000000001</v>
      </c>
      <c r="L522">
        <v>1</v>
      </c>
      <c r="M522" s="7">
        <v>0.19615199999999999</v>
      </c>
      <c r="N522" s="7">
        <v>6.2488000000000002E-2</v>
      </c>
      <c r="O522">
        <v>0</v>
      </c>
      <c r="P522" t="s">
        <v>14</v>
      </c>
      <c r="Q522">
        <v>0</v>
      </c>
      <c r="R522" s="8">
        <f>(Tabela2[[#This Row],[FAF_atividade_fisica_frequente_em_horas]]+ 0.1)</f>
        <v>0.29615199999999997</v>
      </c>
      <c r="S522" s="1">
        <f>(Tabela2[[#This Row],[TUE_tempo_uso_aparelhos_em_horas]]/Tabela2[[#This Row],[FAF_Var]])</f>
        <v>0.21099975688160136</v>
      </c>
      <c r="T522">
        <f>(Tabela2[[#This Row],[CAEC_lanche_entre_refeicoes]]*Tabela2[[#This Row],[FAVC_consumo_frequente_de_alimentos_mt_caloricos]])</f>
        <v>1</v>
      </c>
      <c r="U522" s="1">
        <f>IF(OR(Tabela2[[#This Row],[MTRANS]]="Walking",Tabela2[[#This Row],[MTRANS]]="Bike"),Tabela2[[#This Row],[FAF_atividade_fisica_frequente_em_horas]]+1,M522)</f>
        <v>0.19615199999999999</v>
      </c>
      <c r="V522">
        <f>(Tabela2[[#This Row],[SMOKE]]+Tabela2[[#This Row],[CALC_bebe_alcool_frequentemente]])</f>
        <v>0</v>
      </c>
      <c r="W522" s="8">
        <f>(Tabela2[[#This Row],[Weight]]/(Tabela2[[#This Row],[Height]] ^2))</f>
        <v>17.482820643764907</v>
      </c>
    </row>
    <row r="523" spans="1:23" x14ac:dyDescent="0.25">
      <c r="A523" t="s">
        <v>13</v>
      </c>
      <c r="B523" s="7">
        <v>19</v>
      </c>
      <c r="C523" s="4">
        <v>1.5641989999999999</v>
      </c>
      <c r="D523" s="7">
        <v>42.096062000000003</v>
      </c>
      <c r="E523">
        <v>0</v>
      </c>
      <c r="F523">
        <v>1</v>
      </c>
      <c r="G523" s="2">
        <v>3</v>
      </c>
      <c r="H523" s="2">
        <v>1.8943840000000001</v>
      </c>
      <c r="I523">
        <v>1</v>
      </c>
      <c r="J523">
        <v>0</v>
      </c>
      <c r="K523" s="2">
        <v>2.4565809999999999</v>
      </c>
      <c r="L523">
        <v>1</v>
      </c>
      <c r="M523" s="7">
        <v>1.596576</v>
      </c>
      <c r="N523" s="7">
        <v>0.99739999999999995</v>
      </c>
      <c r="O523">
        <v>0</v>
      </c>
      <c r="P523" t="s">
        <v>14</v>
      </c>
      <c r="Q523">
        <v>0</v>
      </c>
      <c r="R523" s="8">
        <f>(Tabela2[[#This Row],[FAF_atividade_fisica_frequente_em_horas]]+ 0.1)</f>
        <v>1.6965760000000001</v>
      </c>
      <c r="S523" s="1">
        <f>(Tabela2[[#This Row],[TUE_tempo_uso_aparelhos_em_horas]]/Tabela2[[#This Row],[FAF_Var]])</f>
        <v>0.58788996189973208</v>
      </c>
      <c r="T523">
        <f>(Tabela2[[#This Row],[CAEC_lanche_entre_refeicoes]]*Tabela2[[#This Row],[FAVC_consumo_frequente_de_alimentos_mt_caloricos]])</f>
        <v>1</v>
      </c>
      <c r="U523" s="1">
        <f>IF(OR(Tabela2[[#This Row],[MTRANS]]="Walking",Tabela2[[#This Row],[MTRANS]]="Bike"),Tabela2[[#This Row],[FAF_atividade_fisica_frequente_em_horas]]+1,M523)</f>
        <v>1.596576</v>
      </c>
      <c r="V523">
        <f>(Tabela2[[#This Row],[SMOKE]]+Tabela2[[#This Row],[CALC_bebe_alcool_frequentemente]])</f>
        <v>0</v>
      </c>
      <c r="W523" s="8">
        <f>(Tabela2[[#This Row],[Weight]]/(Tabela2[[#This Row],[Height]] ^2))</f>
        <v>17.205110355115853</v>
      </c>
    </row>
    <row r="524" spans="1:23" x14ac:dyDescent="0.25">
      <c r="A524" t="s">
        <v>13</v>
      </c>
      <c r="B524" s="7">
        <v>20.254534</v>
      </c>
      <c r="C524" s="4">
        <v>1.56948</v>
      </c>
      <c r="D524" s="7">
        <v>41.324558000000003</v>
      </c>
      <c r="E524">
        <v>0</v>
      </c>
      <c r="F524">
        <v>1</v>
      </c>
      <c r="G524" s="2">
        <v>2.392665</v>
      </c>
      <c r="H524" s="2">
        <v>1</v>
      </c>
      <c r="I524">
        <v>2</v>
      </c>
      <c r="J524">
        <v>0</v>
      </c>
      <c r="K524" s="2">
        <v>1</v>
      </c>
      <c r="L524">
        <v>0</v>
      </c>
      <c r="M524" s="7">
        <v>0</v>
      </c>
      <c r="N524" s="7">
        <v>0.73826899999999995</v>
      </c>
      <c r="O524">
        <v>1</v>
      </c>
      <c r="P524" t="s">
        <v>14</v>
      </c>
      <c r="Q524">
        <v>0</v>
      </c>
      <c r="R524" s="8">
        <f>(Tabela2[[#This Row],[FAF_atividade_fisica_frequente_em_horas]]+ 0.1)</f>
        <v>0.1</v>
      </c>
      <c r="S524" s="1">
        <f>(Tabela2[[#This Row],[TUE_tempo_uso_aparelhos_em_horas]]/Tabela2[[#This Row],[FAF_Var]])</f>
        <v>7.3826899999999993</v>
      </c>
      <c r="T524">
        <f>(Tabela2[[#This Row],[CAEC_lanche_entre_refeicoes]]*Tabela2[[#This Row],[FAVC_consumo_frequente_de_alimentos_mt_caloricos]])</f>
        <v>2</v>
      </c>
      <c r="U524" s="1">
        <f>IF(OR(Tabela2[[#This Row],[MTRANS]]="Walking",Tabela2[[#This Row],[MTRANS]]="Bike"),Tabela2[[#This Row],[FAF_atividade_fisica_frequente_em_horas]]+1,M524)</f>
        <v>0</v>
      </c>
      <c r="V524">
        <f>(Tabela2[[#This Row],[SMOKE]]+Tabela2[[#This Row],[CALC_bebe_alcool_frequentemente]])</f>
        <v>1</v>
      </c>
      <c r="W524" s="8">
        <f>(Tabela2[[#This Row],[Weight]]/(Tabela2[[#This Row],[Height]] ^2))</f>
        <v>16.776317836604839</v>
      </c>
    </row>
    <row r="525" spans="1:23" x14ac:dyDescent="0.25">
      <c r="A525" t="s">
        <v>13</v>
      </c>
      <c r="B525" s="7">
        <v>21</v>
      </c>
      <c r="C525" s="4">
        <v>1.52</v>
      </c>
      <c r="D525" s="7">
        <v>42</v>
      </c>
      <c r="E525">
        <v>0</v>
      </c>
      <c r="F525">
        <v>1</v>
      </c>
      <c r="G525" s="2">
        <v>3</v>
      </c>
      <c r="H525" s="2">
        <v>1</v>
      </c>
      <c r="I525">
        <v>2</v>
      </c>
      <c r="J525">
        <v>0</v>
      </c>
      <c r="K525" s="2">
        <v>1</v>
      </c>
      <c r="L525">
        <v>0</v>
      </c>
      <c r="M525" s="7">
        <v>0</v>
      </c>
      <c r="N525" s="7">
        <v>0</v>
      </c>
      <c r="O525">
        <v>1</v>
      </c>
      <c r="P525" t="s">
        <v>14</v>
      </c>
      <c r="Q525">
        <v>0</v>
      </c>
      <c r="R525" s="8">
        <f>(Tabela2[[#This Row],[FAF_atividade_fisica_frequente_em_horas]]+ 0.1)</f>
        <v>0.1</v>
      </c>
      <c r="S525" s="1">
        <f>(Tabela2[[#This Row],[TUE_tempo_uso_aparelhos_em_horas]]/Tabela2[[#This Row],[FAF_Var]])</f>
        <v>0</v>
      </c>
      <c r="T525">
        <f>(Tabela2[[#This Row],[CAEC_lanche_entre_refeicoes]]*Tabela2[[#This Row],[FAVC_consumo_frequente_de_alimentos_mt_caloricos]])</f>
        <v>2</v>
      </c>
      <c r="U525" s="1">
        <f>IF(OR(Tabela2[[#This Row],[MTRANS]]="Walking",Tabela2[[#This Row],[MTRANS]]="Bike"),Tabela2[[#This Row],[FAF_atividade_fisica_frequente_em_horas]]+1,M525)</f>
        <v>0</v>
      </c>
      <c r="V525">
        <f>(Tabela2[[#This Row],[SMOKE]]+Tabela2[[#This Row],[CALC_bebe_alcool_frequentemente]])</f>
        <v>1</v>
      </c>
      <c r="W525" s="8">
        <f>(Tabela2[[#This Row],[Weight]]/(Tabela2[[#This Row],[Height]] ^2))</f>
        <v>18.178670360110804</v>
      </c>
    </row>
    <row r="526" spans="1:23" x14ac:dyDescent="0.25">
      <c r="A526" t="s">
        <v>13</v>
      </c>
      <c r="B526" s="7">
        <v>20.225396</v>
      </c>
      <c r="C526" s="4">
        <v>1.550648</v>
      </c>
      <c r="D526" s="7">
        <v>44.641795999999999</v>
      </c>
      <c r="E526">
        <v>0</v>
      </c>
      <c r="F526">
        <v>1</v>
      </c>
      <c r="G526" s="2">
        <v>3</v>
      </c>
      <c r="H526" s="2">
        <v>2.8577870000000001</v>
      </c>
      <c r="I526">
        <v>2</v>
      </c>
      <c r="J526">
        <v>0</v>
      </c>
      <c r="K526" s="2">
        <v>1</v>
      </c>
      <c r="L526">
        <v>0</v>
      </c>
      <c r="M526" s="7">
        <v>0.75464600000000004</v>
      </c>
      <c r="N526" s="7">
        <v>0</v>
      </c>
      <c r="O526">
        <v>1</v>
      </c>
      <c r="P526" t="s">
        <v>14</v>
      </c>
      <c r="Q526">
        <v>0</v>
      </c>
      <c r="R526" s="8">
        <f>(Tabela2[[#This Row],[FAF_atividade_fisica_frequente_em_horas]]+ 0.1)</f>
        <v>0.85464600000000002</v>
      </c>
      <c r="S526" s="1">
        <f>(Tabela2[[#This Row],[TUE_tempo_uso_aparelhos_em_horas]]/Tabela2[[#This Row],[FAF_Var]])</f>
        <v>0</v>
      </c>
      <c r="T526">
        <f>(Tabela2[[#This Row],[CAEC_lanche_entre_refeicoes]]*Tabela2[[#This Row],[FAVC_consumo_frequente_de_alimentos_mt_caloricos]])</f>
        <v>2</v>
      </c>
      <c r="U526" s="1">
        <f>IF(OR(Tabela2[[#This Row],[MTRANS]]="Walking",Tabela2[[#This Row],[MTRANS]]="Bike"),Tabela2[[#This Row],[FAF_atividade_fisica_frequente_em_horas]]+1,M526)</f>
        <v>0.75464600000000004</v>
      </c>
      <c r="V526">
        <f>(Tabela2[[#This Row],[SMOKE]]+Tabela2[[#This Row],[CALC_bebe_alcool_frequentemente]])</f>
        <v>1</v>
      </c>
      <c r="W526" s="8">
        <f>(Tabela2[[#This Row],[Weight]]/(Tabela2[[#This Row],[Height]] ^2))</f>
        <v>18.565866011435933</v>
      </c>
    </row>
    <row r="527" spans="1:23" x14ac:dyDescent="0.25">
      <c r="A527" t="s">
        <v>13</v>
      </c>
      <c r="B527" s="7">
        <v>19.869969999999999</v>
      </c>
      <c r="C527" s="4">
        <v>1.5209969999999999</v>
      </c>
      <c r="D527" s="7">
        <v>42</v>
      </c>
      <c r="E527">
        <v>0</v>
      </c>
      <c r="F527">
        <v>1</v>
      </c>
      <c r="G527" s="2">
        <v>3</v>
      </c>
      <c r="H527" s="2">
        <v>1</v>
      </c>
      <c r="I527">
        <v>2</v>
      </c>
      <c r="J527">
        <v>0</v>
      </c>
      <c r="K527" s="2">
        <v>1.5270360000000001</v>
      </c>
      <c r="L527">
        <v>0</v>
      </c>
      <c r="M527" s="7">
        <v>0</v>
      </c>
      <c r="N527" s="7">
        <v>0.86049699999999996</v>
      </c>
      <c r="O527">
        <v>1</v>
      </c>
      <c r="P527" t="s">
        <v>14</v>
      </c>
      <c r="Q527">
        <v>0</v>
      </c>
      <c r="R527" s="8">
        <f>(Tabela2[[#This Row],[FAF_atividade_fisica_frequente_em_horas]]+ 0.1)</f>
        <v>0.1</v>
      </c>
      <c r="S527" s="1">
        <f>(Tabela2[[#This Row],[TUE_tempo_uso_aparelhos_em_horas]]/Tabela2[[#This Row],[FAF_Var]])</f>
        <v>8.6049699999999998</v>
      </c>
      <c r="T527">
        <f>(Tabela2[[#This Row],[CAEC_lanche_entre_refeicoes]]*Tabela2[[#This Row],[FAVC_consumo_frequente_de_alimentos_mt_caloricos]])</f>
        <v>2</v>
      </c>
      <c r="U527" s="1">
        <f>IF(OR(Tabela2[[#This Row],[MTRANS]]="Walking",Tabela2[[#This Row],[MTRANS]]="Bike"),Tabela2[[#This Row],[FAF_atividade_fisica_frequente_em_horas]]+1,M527)</f>
        <v>0</v>
      </c>
      <c r="V527">
        <f>(Tabela2[[#This Row],[SMOKE]]+Tabela2[[#This Row],[CALC_bebe_alcool_frequentemente]])</f>
        <v>1</v>
      </c>
      <c r="W527" s="8">
        <f>(Tabela2[[#This Row],[Weight]]/(Tabela2[[#This Row],[Height]] ^2))</f>
        <v>18.154846257571968</v>
      </c>
    </row>
    <row r="528" spans="1:23" x14ac:dyDescent="0.25">
      <c r="A528" t="s">
        <v>13</v>
      </c>
      <c r="B528" s="7">
        <v>20.147113999999998</v>
      </c>
      <c r="C528" s="4">
        <v>1.528011</v>
      </c>
      <c r="D528" s="7">
        <v>42</v>
      </c>
      <c r="E528">
        <v>0</v>
      </c>
      <c r="F528">
        <v>1</v>
      </c>
      <c r="G528" s="2">
        <v>3</v>
      </c>
      <c r="H528" s="2">
        <v>1</v>
      </c>
      <c r="I528">
        <v>2</v>
      </c>
      <c r="J528">
        <v>0</v>
      </c>
      <c r="K528" s="2">
        <v>1.3226690000000001</v>
      </c>
      <c r="L528">
        <v>0</v>
      </c>
      <c r="M528" s="7">
        <v>0</v>
      </c>
      <c r="N528" s="7">
        <v>0.47867599999999999</v>
      </c>
      <c r="O528">
        <v>1</v>
      </c>
      <c r="P528" t="s">
        <v>14</v>
      </c>
      <c r="Q528">
        <v>0</v>
      </c>
      <c r="R528" s="8">
        <f>(Tabela2[[#This Row],[FAF_atividade_fisica_frequente_em_horas]]+ 0.1)</f>
        <v>0.1</v>
      </c>
      <c r="S528" s="1">
        <f>(Tabela2[[#This Row],[TUE_tempo_uso_aparelhos_em_horas]]/Tabela2[[#This Row],[FAF_Var]])</f>
        <v>4.7867599999999992</v>
      </c>
      <c r="T528">
        <f>(Tabela2[[#This Row],[CAEC_lanche_entre_refeicoes]]*Tabela2[[#This Row],[FAVC_consumo_frequente_de_alimentos_mt_caloricos]])</f>
        <v>2</v>
      </c>
      <c r="U528" s="1">
        <f>IF(OR(Tabela2[[#This Row],[MTRANS]]="Walking",Tabela2[[#This Row],[MTRANS]]="Bike"),Tabela2[[#This Row],[FAF_atividade_fisica_frequente_em_horas]]+1,M528)</f>
        <v>0</v>
      </c>
      <c r="V528">
        <f>(Tabela2[[#This Row],[SMOKE]]+Tabela2[[#This Row],[CALC_bebe_alcool_frequentemente]])</f>
        <v>1</v>
      </c>
      <c r="W528" s="8">
        <f>(Tabela2[[#This Row],[Weight]]/(Tabela2[[#This Row],[Height]] ^2))</f>
        <v>17.988557097567909</v>
      </c>
    </row>
    <row r="529" spans="1:23" x14ac:dyDescent="0.25">
      <c r="A529" t="s">
        <v>13</v>
      </c>
      <c r="B529" s="7">
        <v>21</v>
      </c>
      <c r="C529" s="4">
        <v>1.52</v>
      </c>
      <c r="D529" s="7">
        <v>42</v>
      </c>
      <c r="E529">
        <v>0</v>
      </c>
      <c r="F529">
        <v>1</v>
      </c>
      <c r="G529" s="2">
        <v>3</v>
      </c>
      <c r="H529" s="2">
        <v>1</v>
      </c>
      <c r="I529">
        <v>2</v>
      </c>
      <c r="J529">
        <v>0</v>
      </c>
      <c r="K529" s="2">
        <v>1</v>
      </c>
      <c r="L529">
        <v>0</v>
      </c>
      <c r="M529" s="7">
        <v>0</v>
      </c>
      <c r="N529" s="7">
        <v>0</v>
      </c>
      <c r="O529">
        <v>1</v>
      </c>
      <c r="P529" t="s">
        <v>14</v>
      </c>
      <c r="Q529">
        <v>0</v>
      </c>
      <c r="R529" s="8">
        <f>(Tabela2[[#This Row],[FAF_atividade_fisica_frequente_em_horas]]+ 0.1)</f>
        <v>0.1</v>
      </c>
      <c r="S529" s="1">
        <f>(Tabela2[[#This Row],[TUE_tempo_uso_aparelhos_em_horas]]/Tabela2[[#This Row],[FAF_Var]])</f>
        <v>0</v>
      </c>
      <c r="T529">
        <f>(Tabela2[[#This Row],[CAEC_lanche_entre_refeicoes]]*Tabela2[[#This Row],[FAVC_consumo_frequente_de_alimentos_mt_caloricos]])</f>
        <v>2</v>
      </c>
      <c r="U529" s="1">
        <f>IF(OR(Tabela2[[#This Row],[MTRANS]]="Walking",Tabela2[[#This Row],[MTRANS]]="Bike"),Tabela2[[#This Row],[FAF_atividade_fisica_frequente_em_horas]]+1,M529)</f>
        <v>0</v>
      </c>
      <c r="V529">
        <f>(Tabela2[[#This Row],[SMOKE]]+Tabela2[[#This Row],[CALC_bebe_alcool_frequentemente]])</f>
        <v>1</v>
      </c>
      <c r="W529" s="8">
        <f>(Tabela2[[#This Row],[Weight]]/(Tabela2[[#This Row],[Height]] ^2))</f>
        <v>18.178670360110804</v>
      </c>
    </row>
    <row r="530" spans="1:23" x14ac:dyDescent="0.25">
      <c r="A530" t="s">
        <v>13</v>
      </c>
      <c r="B530" s="7">
        <v>21.996523</v>
      </c>
      <c r="C530" s="4">
        <v>1.733263</v>
      </c>
      <c r="D530" s="7">
        <v>50.890363000000001</v>
      </c>
      <c r="E530">
        <v>0</v>
      </c>
      <c r="F530">
        <v>0</v>
      </c>
      <c r="G530" s="2">
        <v>3</v>
      </c>
      <c r="H530" s="2">
        <v>3.7655259999999999</v>
      </c>
      <c r="I530">
        <v>2</v>
      </c>
      <c r="J530">
        <v>0</v>
      </c>
      <c r="K530" s="2">
        <v>1.6560820000000001</v>
      </c>
      <c r="L530">
        <v>0</v>
      </c>
      <c r="M530" s="7">
        <v>0.42776999999999998</v>
      </c>
      <c r="N530" s="7">
        <v>0.55596699999999999</v>
      </c>
      <c r="O530">
        <v>1</v>
      </c>
      <c r="P530" t="s">
        <v>14</v>
      </c>
      <c r="Q530">
        <v>0</v>
      </c>
      <c r="R530" s="8">
        <f>(Tabela2[[#This Row],[FAF_atividade_fisica_frequente_em_horas]]+ 0.1)</f>
        <v>0.52776999999999996</v>
      </c>
      <c r="S530" s="1">
        <f>(Tabela2[[#This Row],[TUE_tempo_uso_aparelhos_em_horas]]/Tabela2[[#This Row],[FAF_Var]])</f>
        <v>1.0534266820774201</v>
      </c>
      <c r="T530">
        <f>(Tabela2[[#This Row],[CAEC_lanche_entre_refeicoes]]*Tabela2[[#This Row],[FAVC_consumo_frequente_de_alimentos_mt_caloricos]])</f>
        <v>0</v>
      </c>
      <c r="U530" s="1">
        <f>IF(OR(Tabela2[[#This Row],[MTRANS]]="Walking",Tabela2[[#This Row],[MTRANS]]="Bike"),Tabela2[[#This Row],[FAF_atividade_fisica_frequente_em_horas]]+1,M530)</f>
        <v>0.42776999999999998</v>
      </c>
      <c r="V530">
        <f>(Tabela2[[#This Row],[SMOKE]]+Tabela2[[#This Row],[CALC_bebe_alcool_frequentemente]])</f>
        <v>1</v>
      </c>
      <c r="W530" s="8">
        <f>(Tabela2[[#This Row],[Weight]]/(Tabela2[[#This Row],[Height]] ^2))</f>
        <v>16.939735162746569</v>
      </c>
    </row>
    <row r="531" spans="1:23" x14ac:dyDescent="0.25">
      <c r="A531" t="s">
        <v>13</v>
      </c>
      <c r="B531" s="7">
        <v>21.376425999999999</v>
      </c>
      <c r="C531" s="4">
        <v>1.7225269999999999</v>
      </c>
      <c r="D531" s="7">
        <v>50.833029000000003</v>
      </c>
      <c r="E531">
        <v>0</v>
      </c>
      <c r="F531">
        <v>0</v>
      </c>
      <c r="G531" s="2">
        <v>3</v>
      </c>
      <c r="H531" s="2">
        <v>3.2851669999999999</v>
      </c>
      <c r="I531">
        <v>2</v>
      </c>
      <c r="J531">
        <v>0</v>
      </c>
      <c r="K531" s="2">
        <v>1.5690820000000001</v>
      </c>
      <c r="L531">
        <v>0</v>
      </c>
      <c r="M531" s="7">
        <v>0.54593100000000006</v>
      </c>
      <c r="N531" s="7">
        <v>0.46973500000000001</v>
      </c>
      <c r="O531">
        <v>1</v>
      </c>
      <c r="P531" t="s">
        <v>14</v>
      </c>
      <c r="Q531">
        <v>0</v>
      </c>
      <c r="R531" s="8">
        <f>(Tabela2[[#This Row],[FAF_atividade_fisica_frequente_em_horas]]+ 0.1)</f>
        <v>0.64593100000000003</v>
      </c>
      <c r="S531" s="1">
        <f>(Tabela2[[#This Row],[TUE_tempo_uso_aparelhos_em_horas]]/Tabela2[[#This Row],[FAF_Var]])</f>
        <v>0.72722163822451624</v>
      </c>
      <c r="T531">
        <f>(Tabela2[[#This Row],[CAEC_lanche_entre_refeicoes]]*Tabela2[[#This Row],[FAVC_consumo_frequente_de_alimentos_mt_caloricos]])</f>
        <v>0</v>
      </c>
      <c r="U531" s="1">
        <f>IF(OR(Tabela2[[#This Row],[MTRANS]]="Walking",Tabela2[[#This Row],[MTRANS]]="Bike"),Tabela2[[#This Row],[FAF_atividade_fisica_frequente_em_horas]]+1,M531)</f>
        <v>0.54593100000000006</v>
      </c>
      <c r="V531">
        <f>(Tabela2[[#This Row],[SMOKE]]+Tabela2[[#This Row],[CALC_bebe_alcool_frequentemente]])</f>
        <v>1</v>
      </c>
      <c r="W531" s="8">
        <f>(Tabela2[[#This Row],[Weight]]/(Tabela2[[#This Row],[Height]] ^2))</f>
        <v>17.132230656095224</v>
      </c>
    </row>
    <row r="532" spans="1:23" x14ac:dyDescent="0.25">
      <c r="A532" t="s">
        <v>13</v>
      </c>
      <c r="B532" s="7">
        <v>19.724105999999999</v>
      </c>
      <c r="C532" s="4">
        <v>1.7348319999999999</v>
      </c>
      <c r="D532" s="7">
        <v>50</v>
      </c>
      <c r="E532">
        <v>0</v>
      </c>
      <c r="F532">
        <v>0</v>
      </c>
      <c r="G532" s="2">
        <v>1.123939</v>
      </c>
      <c r="H532" s="2">
        <v>4</v>
      </c>
      <c r="I532">
        <v>2</v>
      </c>
      <c r="J532">
        <v>0</v>
      </c>
      <c r="K532" s="2">
        <v>1</v>
      </c>
      <c r="L532">
        <v>0</v>
      </c>
      <c r="M532" s="7">
        <v>1.303976</v>
      </c>
      <c r="N532" s="7">
        <v>0.37194100000000002</v>
      </c>
      <c r="O532">
        <v>1</v>
      </c>
      <c r="P532" t="s">
        <v>14</v>
      </c>
      <c r="Q532">
        <v>0</v>
      </c>
      <c r="R532" s="8">
        <f>(Tabela2[[#This Row],[FAF_atividade_fisica_frequente_em_horas]]+ 0.1)</f>
        <v>1.4039760000000001</v>
      </c>
      <c r="S532" s="1">
        <f>(Tabela2[[#This Row],[TUE_tempo_uso_aparelhos_em_horas]]/Tabela2[[#This Row],[FAF_Var]])</f>
        <v>0.26491977070833117</v>
      </c>
      <c r="T532">
        <f>(Tabela2[[#This Row],[CAEC_lanche_entre_refeicoes]]*Tabela2[[#This Row],[FAVC_consumo_frequente_de_alimentos_mt_caloricos]])</f>
        <v>0</v>
      </c>
      <c r="U532" s="1">
        <f>IF(OR(Tabela2[[#This Row],[MTRANS]]="Walking",Tabela2[[#This Row],[MTRANS]]="Bike"),Tabela2[[#This Row],[FAF_atividade_fisica_frequente_em_horas]]+1,M532)</f>
        <v>1.303976</v>
      </c>
      <c r="V532">
        <f>(Tabela2[[#This Row],[SMOKE]]+Tabela2[[#This Row],[CALC_bebe_alcool_frequentemente]])</f>
        <v>1</v>
      </c>
      <c r="W532" s="8">
        <f>(Tabela2[[#This Row],[Weight]]/(Tabela2[[#This Row],[Height]] ^2))</f>
        <v>16.613271235109089</v>
      </c>
    </row>
    <row r="533" spans="1:23" x14ac:dyDescent="0.25">
      <c r="A533" t="s">
        <v>15</v>
      </c>
      <c r="B533" s="7">
        <v>23</v>
      </c>
      <c r="C533" s="4">
        <v>1.882779</v>
      </c>
      <c r="D533" s="7">
        <v>64.106108000000006</v>
      </c>
      <c r="E533">
        <v>1</v>
      </c>
      <c r="F533">
        <v>1</v>
      </c>
      <c r="G533" s="2">
        <v>3</v>
      </c>
      <c r="H533" s="2">
        <v>3</v>
      </c>
      <c r="I533">
        <v>1</v>
      </c>
      <c r="J533">
        <v>0</v>
      </c>
      <c r="K533" s="2">
        <v>2.8437770000000002</v>
      </c>
      <c r="L533">
        <v>0</v>
      </c>
      <c r="M533" s="7">
        <v>1.4888429999999999</v>
      </c>
      <c r="N533" s="7">
        <v>9.2540000000000001E-3</v>
      </c>
      <c r="O533">
        <v>1</v>
      </c>
      <c r="P533" t="s">
        <v>17</v>
      </c>
      <c r="Q533">
        <v>0</v>
      </c>
      <c r="R533" s="8">
        <f>(Tabela2[[#This Row],[FAF_atividade_fisica_frequente_em_horas]]+ 0.1)</f>
        <v>1.588843</v>
      </c>
      <c r="S533" s="1">
        <f>(Tabela2[[#This Row],[TUE_tempo_uso_aparelhos_em_horas]]/Tabela2[[#This Row],[FAF_Var]])</f>
        <v>5.8243640183454253E-3</v>
      </c>
      <c r="T533">
        <f>(Tabela2[[#This Row],[CAEC_lanche_entre_refeicoes]]*Tabela2[[#This Row],[FAVC_consumo_frequente_de_alimentos_mt_caloricos]])</f>
        <v>1</v>
      </c>
      <c r="U533" s="1">
        <f>IF(OR(Tabela2[[#This Row],[MTRANS]]="Walking",Tabela2[[#This Row],[MTRANS]]="Bike"),Tabela2[[#This Row],[FAF_atividade_fisica_frequente_em_horas]]+1,M533)</f>
        <v>1.4888429999999999</v>
      </c>
      <c r="V533">
        <f>(Tabela2[[#This Row],[SMOKE]]+Tabela2[[#This Row],[CALC_bebe_alcool_frequentemente]])</f>
        <v>1</v>
      </c>
      <c r="W533" s="8">
        <f>(Tabela2[[#This Row],[Weight]]/(Tabela2[[#This Row],[Height]] ^2))</f>
        <v>18.084259051590742</v>
      </c>
    </row>
    <row r="534" spans="1:23" x14ac:dyDescent="0.25">
      <c r="A534" t="s">
        <v>15</v>
      </c>
      <c r="B534" s="7">
        <v>22.851834</v>
      </c>
      <c r="C534" s="4">
        <v>1.854592</v>
      </c>
      <c r="D534" s="7">
        <v>63.611108999999999</v>
      </c>
      <c r="E534">
        <v>1</v>
      </c>
      <c r="F534">
        <v>1</v>
      </c>
      <c r="G534" s="2">
        <v>3</v>
      </c>
      <c r="H534" s="2">
        <v>3.6912259999999999</v>
      </c>
      <c r="I534">
        <v>1</v>
      </c>
      <c r="J534">
        <v>0</v>
      </c>
      <c r="K534" s="2">
        <v>2.650989</v>
      </c>
      <c r="L534">
        <v>0</v>
      </c>
      <c r="M534" s="7">
        <v>1.2281359999999999</v>
      </c>
      <c r="N534" s="7">
        <v>0.83240000000000003</v>
      </c>
      <c r="O534">
        <v>1</v>
      </c>
      <c r="P534" t="s">
        <v>17</v>
      </c>
      <c r="Q534">
        <v>0</v>
      </c>
      <c r="R534" s="8">
        <f>(Tabela2[[#This Row],[FAF_atividade_fisica_frequente_em_horas]]+ 0.1)</f>
        <v>1.328136</v>
      </c>
      <c r="S534" s="1">
        <f>(Tabela2[[#This Row],[TUE_tempo_uso_aparelhos_em_horas]]/Tabela2[[#This Row],[FAF_Var]])</f>
        <v>0.62674304438702066</v>
      </c>
      <c r="T534">
        <f>(Tabela2[[#This Row],[CAEC_lanche_entre_refeicoes]]*Tabela2[[#This Row],[FAVC_consumo_frequente_de_alimentos_mt_caloricos]])</f>
        <v>1</v>
      </c>
      <c r="U534" s="1">
        <f>IF(OR(Tabela2[[#This Row],[MTRANS]]="Walking",Tabela2[[#This Row],[MTRANS]]="Bike"),Tabela2[[#This Row],[FAF_atividade_fisica_frequente_em_horas]]+1,M534)</f>
        <v>1.2281359999999999</v>
      </c>
      <c r="V534">
        <f>(Tabela2[[#This Row],[SMOKE]]+Tabela2[[#This Row],[CALC_bebe_alcool_frequentemente]])</f>
        <v>1</v>
      </c>
      <c r="W534" s="8">
        <f>(Tabela2[[#This Row],[Weight]]/(Tabela2[[#This Row],[Height]] ^2))</f>
        <v>18.494227814135193</v>
      </c>
    </row>
    <row r="535" spans="1:23" x14ac:dyDescent="0.25">
      <c r="A535" t="s">
        <v>15</v>
      </c>
      <c r="B535" s="7">
        <v>23</v>
      </c>
      <c r="C535" s="4">
        <v>1.8356429999999999</v>
      </c>
      <c r="D535" s="7">
        <v>58.854416000000001</v>
      </c>
      <c r="E535">
        <v>1</v>
      </c>
      <c r="F535">
        <v>1</v>
      </c>
      <c r="G535" s="2">
        <v>3</v>
      </c>
      <c r="H535" s="2">
        <v>3</v>
      </c>
      <c r="I535">
        <v>1</v>
      </c>
      <c r="J535">
        <v>0</v>
      </c>
      <c r="K535" s="2">
        <v>2.027984</v>
      </c>
      <c r="L535">
        <v>0</v>
      </c>
      <c r="M535" s="7">
        <v>1.661556</v>
      </c>
      <c r="N535" s="7">
        <v>0.114716</v>
      </c>
      <c r="O535">
        <v>1</v>
      </c>
      <c r="P535" t="s">
        <v>17</v>
      </c>
      <c r="Q535">
        <v>0</v>
      </c>
      <c r="R535" s="8">
        <f>(Tabela2[[#This Row],[FAF_atividade_fisica_frequente_em_horas]]+ 0.1)</f>
        <v>1.7615560000000001</v>
      </c>
      <c r="S535" s="1">
        <f>(Tabela2[[#This Row],[TUE_tempo_uso_aparelhos_em_horas]]/Tabela2[[#This Row],[FAF_Var]])</f>
        <v>6.512197171137335E-2</v>
      </c>
      <c r="T535">
        <f>(Tabela2[[#This Row],[CAEC_lanche_entre_refeicoes]]*Tabela2[[#This Row],[FAVC_consumo_frequente_de_alimentos_mt_caloricos]])</f>
        <v>1</v>
      </c>
      <c r="U535" s="1">
        <f>IF(OR(Tabela2[[#This Row],[MTRANS]]="Walking",Tabela2[[#This Row],[MTRANS]]="Bike"),Tabela2[[#This Row],[FAF_atividade_fisica_frequente_em_horas]]+1,M535)</f>
        <v>1.661556</v>
      </c>
      <c r="V535">
        <f>(Tabela2[[#This Row],[SMOKE]]+Tabela2[[#This Row],[CALC_bebe_alcool_frequentemente]])</f>
        <v>1</v>
      </c>
      <c r="W535" s="8">
        <f>(Tabela2[[#This Row],[Weight]]/(Tabela2[[#This Row],[Height]] ^2))</f>
        <v>17.466368142414424</v>
      </c>
    </row>
    <row r="536" spans="1:23" x14ac:dyDescent="0.25">
      <c r="A536" t="s">
        <v>15</v>
      </c>
      <c r="B536" s="7">
        <v>18.216031999999998</v>
      </c>
      <c r="C536" s="4">
        <v>1.7555069999999999</v>
      </c>
      <c r="D536" s="7">
        <v>52</v>
      </c>
      <c r="E536">
        <v>1</v>
      </c>
      <c r="F536">
        <v>1</v>
      </c>
      <c r="G536" s="2">
        <v>3</v>
      </c>
      <c r="H536" s="2">
        <v>3</v>
      </c>
      <c r="I536">
        <v>2</v>
      </c>
      <c r="J536">
        <v>0</v>
      </c>
      <c r="K536" s="2">
        <v>2</v>
      </c>
      <c r="L536">
        <v>0</v>
      </c>
      <c r="M536" s="7">
        <v>0.65889399999999998</v>
      </c>
      <c r="N536" s="7">
        <v>1</v>
      </c>
      <c r="O536">
        <v>0</v>
      </c>
      <c r="P536" t="s">
        <v>14</v>
      </c>
      <c r="Q536">
        <v>0</v>
      </c>
      <c r="R536" s="8">
        <f>(Tabela2[[#This Row],[FAF_atividade_fisica_frequente_em_horas]]+ 0.1)</f>
        <v>0.75889399999999996</v>
      </c>
      <c r="S536" s="1">
        <f>(Tabela2[[#This Row],[TUE_tempo_uso_aparelhos_em_horas]]/Tabela2[[#This Row],[FAF_Var]])</f>
        <v>1.3177070842568264</v>
      </c>
      <c r="T536">
        <f>(Tabela2[[#This Row],[CAEC_lanche_entre_refeicoes]]*Tabela2[[#This Row],[FAVC_consumo_frequente_de_alimentos_mt_caloricos]])</f>
        <v>2</v>
      </c>
      <c r="U536" s="1">
        <f>IF(OR(Tabela2[[#This Row],[MTRANS]]="Walking",Tabela2[[#This Row],[MTRANS]]="Bike"),Tabela2[[#This Row],[FAF_atividade_fisica_frequente_em_horas]]+1,M536)</f>
        <v>0.65889399999999998</v>
      </c>
      <c r="V536">
        <f>(Tabela2[[#This Row],[SMOKE]]+Tabela2[[#This Row],[CALC_bebe_alcool_frequentemente]])</f>
        <v>0</v>
      </c>
      <c r="W536" s="8">
        <f>(Tabela2[[#This Row],[Weight]]/(Tabela2[[#This Row],[Height]] ^2))</f>
        <v>16.87322946073548</v>
      </c>
    </row>
    <row r="537" spans="1:23" x14ac:dyDescent="0.25">
      <c r="A537" t="s">
        <v>15</v>
      </c>
      <c r="B537" s="7">
        <v>21.81119</v>
      </c>
      <c r="C537" s="4">
        <v>1.7126600000000001</v>
      </c>
      <c r="D537" s="7">
        <v>51.598593000000001</v>
      </c>
      <c r="E537">
        <v>1</v>
      </c>
      <c r="F537">
        <v>1</v>
      </c>
      <c r="G537" s="2">
        <v>3</v>
      </c>
      <c r="H537" s="2">
        <v>3.1561530000000002</v>
      </c>
      <c r="I537">
        <v>2</v>
      </c>
      <c r="J537">
        <v>0</v>
      </c>
      <c r="K537" s="2">
        <v>1.253803</v>
      </c>
      <c r="L537">
        <v>0</v>
      </c>
      <c r="M537" s="7">
        <v>0.54478400000000005</v>
      </c>
      <c r="N537" s="7">
        <v>0.256382</v>
      </c>
      <c r="O537">
        <v>0</v>
      </c>
      <c r="P537" t="s">
        <v>14</v>
      </c>
      <c r="Q537">
        <v>0</v>
      </c>
      <c r="R537" s="8">
        <f>(Tabela2[[#This Row],[FAF_atividade_fisica_frequente_em_horas]]+ 0.1)</f>
        <v>0.64478400000000002</v>
      </c>
      <c r="S537" s="1">
        <f>(Tabela2[[#This Row],[TUE_tempo_uso_aparelhos_em_horas]]/Tabela2[[#This Row],[FAF_Var]])</f>
        <v>0.39762463088414102</v>
      </c>
      <c r="T537">
        <f>(Tabela2[[#This Row],[CAEC_lanche_entre_refeicoes]]*Tabela2[[#This Row],[FAVC_consumo_frequente_de_alimentos_mt_caloricos]])</f>
        <v>2</v>
      </c>
      <c r="U537" s="1">
        <f>IF(OR(Tabela2[[#This Row],[MTRANS]]="Walking",Tabela2[[#This Row],[MTRANS]]="Bike"),Tabela2[[#This Row],[FAF_atividade_fisica_frequente_em_horas]]+1,M537)</f>
        <v>0.54478400000000005</v>
      </c>
      <c r="V537">
        <f>(Tabela2[[#This Row],[SMOKE]]+Tabela2[[#This Row],[CALC_bebe_alcool_frequentemente]])</f>
        <v>0</v>
      </c>
      <c r="W537" s="8">
        <f>(Tabela2[[#This Row],[Weight]]/(Tabela2[[#This Row],[Height]] ^2))</f>
        <v>17.591203391194185</v>
      </c>
    </row>
    <row r="538" spans="1:23" x14ac:dyDescent="0.25">
      <c r="A538" t="s">
        <v>15</v>
      </c>
      <c r="B538" s="7">
        <v>18.164767999999999</v>
      </c>
      <c r="C538" s="4">
        <v>1.6942649999999999</v>
      </c>
      <c r="D538" s="7">
        <v>52</v>
      </c>
      <c r="E538">
        <v>1</v>
      </c>
      <c r="F538">
        <v>1</v>
      </c>
      <c r="G538" s="2">
        <v>3</v>
      </c>
      <c r="H538" s="2">
        <v>3</v>
      </c>
      <c r="I538">
        <v>2</v>
      </c>
      <c r="J538">
        <v>0</v>
      </c>
      <c r="K538" s="2">
        <v>2</v>
      </c>
      <c r="L538">
        <v>0</v>
      </c>
      <c r="M538" s="7">
        <v>0.81968200000000002</v>
      </c>
      <c r="N538" s="7">
        <v>1</v>
      </c>
      <c r="O538">
        <v>0</v>
      </c>
      <c r="P538" t="s">
        <v>14</v>
      </c>
      <c r="Q538">
        <v>0</v>
      </c>
      <c r="R538" s="8">
        <f>(Tabela2[[#This Row],[FAF_atividade_fisica_frequente_em_horas]]+ 0.1)</f>
        <v>0.919682</v>
      </c>
      <c r="S538" s="1">
        <f>(Tabela2[[#This Row],[TUE_tempo_uso_aparelhos_em_horas]]/Tabela2[[#This Row],[FAF_Var]])</f>
        <v>1.0873323605333147</v>
      </c>
      <c r="T538">
        <f>(Tabela2[[#This Row],[CAEC_lanche_entre_refeicoes]]*Tabela2[[#This Row],[FAVC_consumo_frequente_de_alimentos_mt_caloricos]])</f>
        <v>2</v>
      </c>
      <c r="U538" s="1">
        <f>IF(OR(Tabela2[[#This Row],[MTRANS]]="Walking",Tabela2[[#This Row],[MTRANS]]="Bike"),Tabela2[[#This Row],[FAF_atividade_fisica_frequente_em_horas]]+1,M538)</f>
        <v>0.81968200000000002</v>
      </c>
      <c r="V538">
        <f>(Tabela2[[#This Row],[SMOKE]]+Tabela2[[#This Row],[CALC_bebe_alcool_frequentemente]])</f>
        <v>0</v>
      </c>
      <c r="W538" s="8">
        <f>(Tabela2[[#This Row],[Weight]]/(Tabela2[[#This Row],[Height]] ^2))</f>
        <v>18.115097047652036</v>
      </c>
    </row>
    <row r="539" spans="1:23" x14ac:dyDescent="0.25">
      <c r="A539" t="s">
        <v>13</v>
      </c>
      <c r="B539" s="7">
        <v>18.871794000000001</v>
      </c>
      <c r="C539" s="4">
        <v>1.5868949999999999</v>
      </c>
      <c r="D539" s="7">
        <v>41.452385</v>
      </c>
      <c r="E539">
        <v>0</v>
      </c>
      <c r="F539">
        <v>1</v>
      </c>
      <c r="G539" s="2">
        <v>2</v>
      </c>
      <c r="H539" s="2">
        <v>1.0797600000000001</v>
      </c>
      <c r="I539">
        <v>1</v>
      </c>
      <c r="J539">
        <v>0</v>
      </c>
      <c r="K539" s="2">
        <v>1</v>
      </c>
      <c r="L539">
        <v>0</v>
      </c>
      <c r="M539" s="7">
        <v>0.194745</v>
      </c>
      <c r="N539" s="7">
        <v>1.547086</v>
      </c>
      <c r="O539">
        <v>1</v>
      </c>
      <c r="P539" t="s">
        <v>14</v>
      </c>
      <c r="Q539">
        <v>0</v>
      </c>
      <c r="R539" s="8">
        <f>(Tabela2[[#This Row],[FAF_atividade_fisica_frequente_em_horas]]+ 0.1)</f>
        <v>0.29474500000000003</v>
      </c>
      <c r="S539" s="1">
        <f>(Tabela2[[#This Row],[TUE_tempo_uso_aparelhos_em_horas]]/Tabela2[[#This Row],[FAF_Var]])</f>
        <v>5.2488965037574848</v>
      </c>
      <c r="T539">
        <f>(Tabela2[[#This Row],[CAEC_lanche_entre_refeicoes]]*Tabela2[[#This Row],[FAVC_consumo_frequente_de_alimentos_mt_caloricos]])</f>
        <v>1</v>
      </c>
      <c r="U539" s="1">
        <f>IF(OR(Tabela2[[#This Row],[MTRANS]]="Walking",Tabela2[[#This Row],[MTRANS]]="Bike"),Tabela2[[#This Row],[FAF_atividade_fisica_frequente_em_horas]]+1,M539)</f>
        <v>0.194745</v>
      </c>
      <c r="V539">
        <f>(Tabela2[[#This Row],[SMOKE]]+Tabela2[[#This Row],[CALC_bebe_alcool_frequentemente]])</f>
        <v>1</v>
      </c>
      <c r="W539" s="8">
        <f>(Tabela2[[#This Row],[Weight]]/(Tabela2[[#This Row],[Height]] ^2))</f>
        <v>16.460883437039772</v>
      </c>
    </row>
    <row r="540" spans="1:23" x14ac:dyDescent="0.25">
      <c r="A540" t="s">
        <v>13</v>
      </c>
      <c r="B540" s="7">
        <v>18.766033</v>
      </c>
      <c r="C540" s="4">
        <v>1.579561</v>
      </c>
      <c r="D540" s="7">
        <v>41.890203999999997</v>
      </c>
      <c r="E540">
        <v>0</v>
      </c>
      <c r="F540">
        <v>1</v>
      </c>
      <c r="G540" s="2">
        <v>2.027574</v>
      </c>
      <c r="H540" s="2">
        <v>1</v>
      </c>
      <c r="I540">
        <v>1</v>
      </c>
      <c r="J540">
        <v>0</v>
      </c>
      <c r="K540" s="2">
        <v>1.6363259999999999</v>
      </c>
      <c r="L540">
        <v>0</v>
      </c>
      <c r="M540" s="7">
        <v>0</v>
      </c>
      <c r="N540" s="7">
        <v>1.9061410000000001</v>
      </c>
      <c r="O540">
        <v>1</v>
      </c>
      <c r="P540" t="s">
        <v>14</v>
      </c>
      <c r="Q540">
        <v>0</v>
      </c>
      <c r="R540" s="8">
        <f>(Tabela2[[#This Row],[FAF_atividade_fisica_frequente_em_horas]]+ 0.1)</f>
        <v>0.1</v>
      </c>
      <c r="S540" s="1">
        <f>(Tabela2[[#This Row],[TUE_tempo_uso_aparelhos_em_horas]]/Tabela2[[#This Row],[FAF_Var]])</f>
        <v>19.061409999999999</v>
      </c>
      <c r="T540">
        <f>(Tabela2[[#This Row],[CAEC_lanche_entre_refeicoes]]*Tabela2[[#This Row],[FAVC_consumo_frequente_de_alimentos_mt_caloricos]])</f>
        <v>1</v>
      </c>
      <c r="U540" s="1">
        <f>IF(OR(Tabela2[[#This Row],[MTRANS]]="Walking",Tabela2[[#This Row],[MTRANS]]="Bike"),Tabela2[[#This Row],[FAF_atividade_fisica_frequente_em_horas]]+1,M540)</f>
        <v>0</v>
      </c>
      <c r="V540">
        <f>(Tabela2[[#This Row],[SMOKE]]+Tabela2[[#This Row],[CALC_bebe_alcool_frequentemente]])</f>
        <v>1</v>
      </c>
      <c r="W540" s="8">
        <f>(Tabela2[[#This Row],[Weight]]/(Tabela2[[#This Row],[Height]] ^2))</f>
        <v>16.789573759252661</v>
      </c>
    </row>
    <row r="541" spans="1:23" x14ac:dyDescent="0.25">
      <c r="A541" t="s">
        <v>13</v>
      </c>
      <c r="B541" s="7">
        <v>18.540534999999998</v>
      </c>
      <c r="C541" s="4">
        <v>1.564568</v>
      </c>
      <c r="D541" s="7">
        <v>41.397378000000003</v>
      </c>
      <c r="E541">
        <v>0</v>
      </c>
      <c r="F541">
        <v>1</v>
      </c>
      <c r="G541" s="2">
        <v>2.658112</v>
      </c>
      <c r="H541" s="2">
        <v>1</v>
      </c>
      <c r="I541">
        <v>1</v>
      </c>
      <c r="J541">
        <v>0</v>
      </c>
      <c r="K541" s="2">
        <v>1.298165</v>
      </c>
      <c r="L541">
        <v>0</v>
      </c>
      <c r="M541" s="7">
        <v>0</v>
      </c>
      <c r="N541" s="7">
        <v>1.6393260000000001</v>
      </c>
      <c r="O541">
        <v>1</v>
      </c>
      <c r="P541" t="s">
        <v>14</v>
      </c>
      <c r="Q541">
        <v>0</v>
      </c>
      <c r="R541" s="8">
        <f>(Tabela2[[#This Row],[FAF_atividade_fisica_frequente_em_horas]]+ 0.1)</f>
        <v>0.1</v>
      </c>
      <c r="S541" s="1">
        <f>(Tabela2[[#This Row],[TUE_tempo_uso_aparelhos_em_horas]]/Tabela2[[#This Row],[FAF_Var]])</f>
        <v>16.393259999999998</v>
      </c>
      <c r="T541">
        <f>(Tabela2[[#This Row],[CAEC_lanche_entre_refeicoes]]*Tabela2[[#This Row],[FAVC_consumo_frequente_de_alimentos_mt_caloricos]])</f>
        <v>1</v>
      </c>
      <c r="U541" s="1">
        <f>IF(OR(Tabela2[[#This Row],[MTRANS]]="Walking",Tabela2[[#This Row],[MTRANS]]="Bike"),Tabela2[[#This Row],[FAF_atividade_fisica_frequente_em_horas]]+1,M541)</f>
        <v>0</v>
      </c>
      <c r="V541">
        <f>(Tabela2[[#This Row],[SMOKE]]+Tabela2[[#This Row],[CALC_bebe_alcool_frequentemente]])</f>
        <v>1</v>
      </c>
      <c r="W541" s="8">
        <f>(Tabela2[[#This Row],[Weight]]/(Tabela2[[#This Row],[Height]] ^2))</f>
        <v>16.911570800342314</v>
      </c>
    </row>
    <row r="542" spans="1:23" x14ac:dyDescent="0.25">
      <c r="A542" t="s">
        <v>13</v>
      </c>
      <c r="B542" s="7">
        <v>19.88036</v>
      </c>
      <c r="C542" s="4">
        <v>1.6706350000000001</v>
      </c>
      <c r="D542" s="7">
        <v>49.742930999999999</v>
      </c>
      <c r="E542">
        <v>0</v>
      </c>
      <c r="F542">
        <v>0</v>
      </c>
      <c r="G542" s="2">
        <v>2.88626</v>
      </c>
      <c r="H542" s="2">
        <v>3.559841</v>
      </c>
      <c r="I542">
        <v>2</v>
      </c>
      <c r="J542">
        <v>0</v>
      </c>
      <c r="K542" s="2">
        <v>1.632004</v>
      </c>
      <c r="L542">
        <v>0</v>
      </c>
      <c r="M542" s="7">
        <v>2</v>
      </c>
      <c r="N542" s="7">
        <v>1</v>
      </c>
      <c r="O542">
        <v>1</v>
      </c>
      <c r="P542" t="s">
        <v>14</v>
      </c>
      <c r="Q542">
        <v>0</v>
      </c>
      <c r="R542" s="8">
        <f>(Tabela2[[#This Row],[FAF_atividade_fisica_frequente_em_horas]]+ 0.1)</f>
        <v>2.1</v>
      </c>
      <c r="S542" s="1">
        <f>(Tabela2[[#This Row],[TUE_tempo_uso_aparelhos_em_horas]]/Tabela2[[#This Row],[FAF_Var]])</f>
        <v>0.47619047619047616</v>
      </c>
      <c r="T542">
        <f>(Tabela2[[#This Row],[CAEC_lanche_entre_refeicoes]]*Tabela2[[#This Row],[FAVC_consumo_frequente_de_alimentos_mt_caloricos]])</f>
        <v>0</v>
      </c>
      <c r="U542" s="1">
        <f>IF(OR(Tabela2[[#This Row],[MTRANS]]="Walking",Tabela2[[#This Row],[MTRANS]]="Bike"),Tabela2[[#This Row],[FAF_atividade_fisica_frequente_em_horas]]+1,M542)</f>
        <v>2</v>
      </c>
      <c r="V542">
        <f>(Tabela2[[#This Row],[SMOKE]]+Tabela2[[#This Row],[CALC_bebe_alcool_frequentemente]])</f>
        <v>1</v>
      </c>
      <c r="W542" s="8">
        <f>(Tabela2[[#This Row],[Weight]]/(Tabela2[[#This Row],[Height]] ^2))</f>
        <v>17.822483455257931</v>
      </c>
    </row>
    <row r="543" spans="1:23" x14ac:dyDescent="0.25">
      <c r="A543" t="s">
        <v>13</v>
      </c>
      <c r="B543" s="7">
        <v>19.717248999999999</v>
      </c>
      <c r="C543" s="4">
        <v>1.688426</v>
      </c>
      <c r="D543" s="7">
        <v>49.660995</v>
      </c>
      <c r="E543">
        <v>0</v>
      </c>
      <c r="F543">
        <v>0</v>
      </c>
      <c r="G543" s="2">
        <v>2.7144469999999998</v>
      </c>
      <c r="H543" s="2">
        <v>3</v>
      </c>
      <c r="I543">
        <v>2</v>
      </c>
      <c r="J543">
        <v>0</v>
      </c>
      <c r="K543" s="2">
        <v>2</v>
      </c>
      <c r="L543">
        <v>0</v>
      </c>
      <c r="M543" s="7">
        <v>1.9031819999999999</v>
      </c>
      <c r="N543" s="7">
        <v>1</v>
      </c>
      <c r="O543">
        <v>1</v>
      </c>
      <c r="P543" t="s">
        <v>14</v>
      </c>
      <c r="Q543">
        <v>0</v>
      </c>
      <c r="R543" s="8">
        <f>(Tabela2[[#This Row],[FAF_atividade_fisica_frequente_em_horas]]+ 0.1)</f>
        <v>2.0031819999999998</v>
      </c>
      <c r="S543" s="1">
        <f>(Tabela2[[#This Row],[TUE_tempo_uso_aparelhos_em_horas]]/Tabela2[[#This Row],[FAF_Var]])</f>
        <v>0.49920576363006464</v>
      </c>
      <c r="T543">
        <f>(Tabela2[[#This Row],[CAEC_lanche_entre_refeicoes]]*Tabela2[[#This Row],[FAVC_consumo_frequente_de_alimentos_mt_caloricos]])</f>
        <v>0</v>
      </c>
      <c r="U543" s="1">
        <f>IF(OR(Tabela2[[#This Row],[MTRANS]]="Walking",Tabela2[[#This Row],[MTRANS]]="Bike"),Tabela2[[#This Row],[FAF_atividade_fisica_frequente_em_horas]]+1,M543)</f>
        <v>1.9031819999999999</v>
      </c>
      <c r="V543">
        <f>(Tabela2[[#This Row],[SMOKE]]+Tabela2[[#This Row],[CALC_bebe_alcool_frequentemente]])</f>
        <v>1</v>
      </c>
      <c r="W543" s="8">
        <f>(Tabela2[[#This Row],[Weight]]/(Tabela2[[#This Row],[Height]] ^2))</f>
        <v>17.420128502537949</v>
      </c>
    </row>
    <row r="544" spans="1:23" x14ac:dyDescent="0.25">
      <c r="A544" t="s">
        <v>13</v>
      </c>
      <c r="B544" s="7">
        <v>19.633897999999999</v>
      </c>
      <c r="C544" s="4">
        <v>1.6608400000000001</v>
      </c>
      <c r="D544" s="7">
        <v>49.039794000000001</v>
      </c>
      <c r="E544">
        <v>0</v>
      </c>
      <c r="F544">
        <v>0</v>
      </c>
      <c r="G544" s="2">
        <v>2.750715</v>
      </c>
      <c r="H544" s="2">
        <v>3</v>
      </c>
      <c r="I544">
        <v>2</v>
      </c>
      <c r="J544">
        <v>0</v>
      </c>
      <c r="K544" s="2">
        <v>2</v>
      </c>
      <c r="L544">
        <v>0</v>
      </c>
      <c r="M544" s="7">
        <v>1.067817</v>
      </c>
      <c r="N544" s="7">
        <v>1</v>
      </c>
      <c r="O544">
        <v>1</v>
      </c>
      <c r="P544" t="s">
        <v>14</v>
      </c>
      <c r="Q544">
        <v>0</v>
      </c>
      <c r="R544" s="8">
        <f>(Tabela2[[#This Row],[FAF_atividade_fisica_frequente_em_horas]]+ 0.1)</f>
        <v>1.1678170000000001</v>
      </c>
      <c r="S544" s="1">
        <f>(Tabela2[[#This Row],[TUE_tempo_uso_aparelhos_em_horas]]/Tabela2[[#This Row],[FAF_Var]])</f>
        <v>0.85629854677573614</v>
      </c>
      <c r="T544">
        <f>(Tabela2[[#This Row],[CAEC_lanche_entre_refeicoes]]*Tabela2[[#This Row],[FAVC_consumo_frequente_de_alimentos_mt_caloricos]])</f>
        <v>0</v>
      </c>
      <c r="U544" s="1">
        <f>IF(OR(Tabela2[[#This Row],[MTRANS]]="Walking",Tabela2[[#This Row],[MTRANS]]="Bike"),Tabela2[[#This Row],[FAF_atividade_fisica_frequente_em_horas]]+1,M544)</f>
        <v>1.067817</v>
      </c>
      <c r="V544">
        <f>(Tabela2[[#This Row],[SMOKE]]+Tabela2[[#This Row],[CALC_bebe_alcool_frequentemente]])</f>
        <v>1</v>
      </c>
      <c r="W544" s="8">
        <f>(Tabela2[[#This Row],[Weight]]/(Tabela2[[#This Row],[Height]] ^2))</f>
        <v>17.778415231221288</v>
      </c>
    </row>
    <row r="545" spans="1:23" x14ac:dyDescent="0.25">
      <c r="A545" t="s">
        <v>13</v>
      </c>
      <c r="B545" s="7">
        <v>23</v>
      </c>
      <c r="C545" s="4">
        <v>1.7101820000000001</v>
      </c>
      <c r="D545" s="7">
        <v>50.287967000000002</v>
      </c>
      <c r="E545">
        <v>1</v>
      </c>
      <c r="F545">
        <v>1</v>
      </c>
      <c r="G545" s="2">
        <v>2</v>
      </c>
      <c r="H545" s="2">
        <v>3</v>
      </c>
      <c r="I545">
        <v>2</v>
      </c>
      <c r="J545">
        <v>0</v>
      </c>
      <c r="K545" s="2">
        <v>2.099863</v>
      </c>
      <c r="L545">
        <v>0</v>
      </c>
      <c r="M545" s="7">
        <v>1.63581</v>
      </c>
      <c r="N545" s="7">
        <v>2</v>
      </c>
      <c r="O545">
        <v>0</v>
      </c>
      <c r="P545" t="s">
        <v>14</v>
      </c>
      <c r="Q545">
        <v>0</v>
      </c>
      <c r="R545" s="8">
        <f>(Tabela2[[#This Row],[FAF_atividade_fisica_frequente_em_horas]]+ 0.1)</f>
        <v>1.7358100000000001</v>
      </c>
      <c r="S545" s="1">
        <f>(Tabela2[[#This Row],[TUE_tempo_uso_aparelhos_em_horas]]/Tabela2[[#This Row],[FAF_Var]])</f>
        <v>1.1521998375398228</v>
      </c>
      <c r="T545">
        <f>(Tabela2[[#This Row],[CAEC_lanche_entre_refeicoes]]*Tabela2[[#This Row],[FAVC_consumo_frequente_de_alimentos_mt_caloricos]])</f>
        <v>2</v>
      </c>
      <c r="U545" s="1">
        <f>IF(OR(Tabela2[[#This Row],[MTRANS]]="Walking",Tabela2[[#This Row],[MTRANS]]="Bike"),Tabela2[[#This Row],[FAF_atividade_fisica_frequente_em_horas]]+1,M545)</f>
        <v>1.63581</v>
      </c>
      <c r="V545">
        <f>(Tabela2[[#This Row],[SMOKE]]+Tabela2[[#This Row],[CALC_bebe_alcool_frequentemente]])</f>
        <v>0</v>
      </c>
      <c r="W545" s="8">
        <f>(Tabela2[[#This Row],[Weight]]/(Tabela2[[#This Row],[Height]] ^2))</f>
        <v>17.194098743422185</v>
      </c>
    </row>
    <row r="546" spans="1:23" x14ac:dyDescent="0.25">
      <c r="A546" t="s">
        <v>13</v>
      </c>
      <c r="B546" s="7">
        <v>20.406870999999999</v>
      </c>
      <c r="C546" s="4">
        <v>1.755978</v>
      </c>
      <c r="D546" s="7">
        <v>53.699561000000003</v>
      </c>
      <c r="E546">
        <v>1</v>
      </c>
      <c r="F546">
        <v>1</v>
      </c>
      <c r="G546" s="2">
        <v>2</v>
      </c>
      <c r="H546" s="2">
        <v>3.891994</v>
      </c>
      <c r="I546">
        <v>2</v>
      </c>
      <c r="J546">
        <v>0</v>
      </c>
      <c r="K546" s="2">
        <v>1.8639300000000001</v>
      </c>
      <c r="L546">
        <v>0</v>
      </c>
      <c r="M546" s="7">
        <v>2.8701270000000001</v>
      </c>
      <c r="N546" s="7">
        <v>2</v>
      </c>
      <c r="O546">
        <v>0</v>
      </c>
      <c r="P546" t="s">
        <v>14</v>
      </c>
      <c r="Q546">
        <v>0</v>
      </c>
      <c r="R546" s="8">
        <f>(Tabela2[[#This Row],[FAF_atividade_fisica_frequente_em_horas]]+ 0.1)</f>
        <v>2.9701270000000002</v>
      </c>
      <c r="S546" s="1">
        <f>(Tabela2[[#This Row],[TUE_tempo_uso_aparelhos_em_horas]]/Tabela2[[#This Row],[FAF_Var]])</f>
        <v>0.67337187938428222</v>
      </c>
      <c r="T546">
        <f>(Tabela2[[#This Row],[CAEC_lanche_entre_refeicoes]]*Tabela2[[#This Row],[FAVC_consumo_frequente_de_alimentos_mt_caloricos]])</f>
        <v>2</v>
      </c>
      <c r="U546" s="1">
        <f>IF(OR(Tabela2[[#This Row],[MTRANS]]="Walking",Tabela2[[#This Row],[MTRANS]]="Bike"),Tabela2[[#This Row],[FAF_atividade_fisica_frequente_em_horas]]+1,M546)</f>
        <v>2.8701270000000001</v>
      </c>
      <c r="V546">
        <f>(Tabela2[[#This Row],[SMOKE]]+Tabela2[[#This Row],[CALC_bebe_alcool_frequentemente]])</f>
        <v>0</v>
      </c>
      <c r="W546" s="8">
        <f>(Tabela2[[#This Row],[Weight]]/(Tabela2[[#This Row],[Height]] ^2))</f>
        <v>17.415365532419099</v>
      </c>
    </row>
    <row r="547" spans="1:23" x14ac:dyDescent="0.25">
      <c r="A547" t="s">
        <v>13</v>
      </c>
      <c r="B547" s="7">
        <v>23</v>
      </c>
      <c r="C547" s="4">
        <v>1.728834</v>
      </c>
      <c r="D547" s="7">
        <v>51.442292999999999</v>
      </c>
      <c r="E547">
        <v>1</v>
      </c>
      <c r="F547">
        <v>1</v>
      </c>
      <c r="G547" s="2">
        <v>2</v>
      </c>
      <c r="H547" s="2">
        <v>3</v>
      </c>
      <c r="I547">
        <v>2</v>
      </c>
      <c r="J547">
        <v>0</v>
      </c>
      <c r="K547" s="2">
        <v>1.2299150000000001</v>
      </c>
      <c r="L547">
        <v>0</v>
      </c>
      <c r="M547" s="7">
        <v>0.619533</v>
      </c>
      <c r="N547" s="7">
        <v>2</v>
      </c>
      <c r="O547">
        <v>0</v>
      </c>
      <c r="P547" t="s">
        <v>14</v>
      </c>
      <c r="Q547">
        <v>0</v>
      </c>
      <c r="R547" s="8">
        <f>(Tabela2[[#This Row],[FAF_atividade_fisica_frequente_em_horas]]+ 0.1)</f>
        <v>0.71953299999999998</v>
      </c>
      <c r="S547" s="1">
        <f>(Tabela2[[#This Row],[TUE_tempo_uso_aparelhos_em_horas]]/Tabela2[[#This Row],[FAF_Var]])</f>
        <v>2.779580644668139</v>
      </c>
      <c r="T547">
        <f>(Tabela2[[#This Row],[CAEC_lanche_entre_refeicoes]]*Tabela2[[#This Row],[FAVC_consumo_frequente_de_alimentos_mt_caloricos]])</f>
        <v>2</v>
      </c>
      <c r="U547" s="1">
        <f>IF(OR(Tabela2[[#This Row],[MTRANS]]="Walking",Tabela2[[#This Row],[MTRANS]]="Bike"),Tabela2[[#This Row],[FAF_atividade_fisica_frequente_em_horas]]+1,M547)</f>
        <v>0.619533</v>
      </c>
      <c r="V547">
        <f>(Tabela2[[#This Row],[SMOKE]]+Tabela2[[#This Row],[CALC_bebe_alcool_frequentemente]])</f>
        <v>0</v>
      </c>
      <c r="W547" s="8">
        <f>(Tabela2[[#This Row],[Weight]]/(Tabela2[[#This Row],[Height]] ^2))</f>
        <v>17.211302144806648</v>
      </c>
    </row>
    <row r="548" spans="1:23" x14ac:dyDescent="0.25">
      <c r="A548" t="s">
        <v>13</v>
      </c>
      <c r="B548" s="7">
        <v>19.058510999999999</v>
      </c>
      <c r="C548" s="4">
        <v>1.6620170000000001</v>
      </c>
      <c r="D548" s="7">
        <v>49.838965000000002</v>
      </c>
      <c r="E548">
        <v>0</v>
      </c>
      <c r="F548">
        <v>1</v>
      </c>
      <c r="G548" s="2">
        <v>1.4924999999999999</v>
      </c>
      <c r="H548" s="2">
        <v>3</v>
      </c>
      <c r="I548">
        <v>1</v>
      </c>
      <c r="J548">
        <v>0</v>
      </c>
      <c r="K548" s="2">
        <v>1.049134</v>
      </c>
      <c r="L548">
        <v>0</v>
      </c>
      <c r="M548" s="7">
        <v>2</v>
      </c>
      <c r="N548" s="7">
        <v>1</v>
      </c>
      <c r="O548">
        <v>1</v>
      </c>
      <c r="P548" t="s">
        <v>14</v>
      </c>
      <c r="Q548">
        <v>0</v>
      </c>
      <c r="R548" s="8">
        <f>(Tabela2[[#This Row],[FAF_atividade_fisica_frequente_em_horas]]+ 0.1)</f>
        <v>2.1</v>
      </c>
      <c r="S548" s="1">
        <f>(Tabela2[[#This Row],[TUE_tempo_uso_aparelhos_em_horas]]/Tabela2[[#This Row],[FAF_Var]])</f>
        <v>0.47619047619047616</v>
      </c>
      <c r="T548">
        <f>(Tabela2[[#This Row],[CAEC_lanche_entre_refeicoes]]*Tabela2[[#This Row],[FAVC_consumo_frequente_de_alimentos_mt_caloricos]])</f>
        <v>1</v>
      </c>
      <c r="U548" s="1">
        <f>IF(OR(Tabela2[[#This Row],[MTRANS]]="Walking",Tabela2[[#This Row],[MTRANS]]="Bike"),Tabela2[[#This Row],[FAF_atividade_fisica_frequente_em_horas]]+1,M548)</f>
        <v>2</v>
      </c>
      <c r="V548">
        <f>(Tabela2[[#This Row],[SMOKE]]+Tabela2[[#This Row],[CALC_bebe_alcool_frequentemente]])</f>
        <v>1</v>
      </c>
      <c r="W548" s="8">
        <f>(Tabela2[[#This Row],[Weight]]/(Tabela2[[#This Row],[Height]] ^2))</f>
        <v>18.042557227370896</v>
      </c>
    </row>
    <row r="549" spans="1:23" x14ac:dyDescent="0.25">
      <c r="A549" t="s">
        <v>13</v>
      </c>
      <c r="B549" s="7">
        <v>18.827007999999999</v>
      </c>
      <c r="C549" s="4">
        <v>1.7</v>
      </c>
      <c r="D549" s="7">
        <v>50</v>
      </c>
      <c r="E549">
        <v>0</v>
      </c>
      <c r="F549">
        <v>1</v>
      </c>
      <c r="G549" s="2">
        <v>1</v>
      </c>
      <c r="H549" s="2">
        <v>3.2405780000000002</v>
      </c>
      <c r="I549">
        <v>1</v>
      </c>
      <c r="J549">
        <v>0</v>
      </c>
      <c r="K549" s="2">
        <v>1</v>
      </c>
      <c r="L549">
        <v>0</v>
      </c>
      <c r="M549" s="7">
        <v>2</v>
      </c>
      <c r="N549" s="7">
        <v>1</v>
      </c>
      <c r="O549">
        <v>1</v>
      </c>
      <c r="P549" t="s">
        <v>14</v>
      </c>
      <c r="Q549">
        <v>0</v>
      </c>
      <c r="R549" s="8">
        <f>(Tabela2[[#This Row],[FAF_atividade_fisica_frequente_em_horas]]+ 0.1)</f>
        <v>2.1</v>
      </c>
      <c r="S549" s="1">
        <f>(Tabela2[[#This Row],[TUE_tempo_uso_aparelhos_em_horas]]/Tabela2[[#This Row],[FAF_Var]])</f>
        <v>0.47619047619047616</v>
      </c>
      <c r="T549">
        <f>(Tabela2[[#This Row],[CAEC_lanche_entre_refeicoes]]*Tabela2[[#This Row],[FAVC_consumo_frequente_de_alimentos_mt_caloricos]])</f>
        <v>1</v>
      </c>
      <c r="U549" s="1">
        <f>IF(OR(Tabela2[[#This Row],[MTRANS]]="Walking",Tabela2[[#This Row],[MTRANS]]="Bike"),Tabela2[[#This Row],[FAF_atividade_fisica_frequente_em_horas]]+1,M549)</f>
        <v>2</v>
      </c>
      <c r="V549">
        <f>(Tabela2[[#This Row],[SMOKE]]+Tabela2[[#This Row],[CALC_bebe_alcool_frequentemente]])</f>
        <v>1</v>
      </c>
      <c r="W549" s="8">
        <f>(Tabela2[[#This Row],[Weight]]/(Tabela2[[#This Row],[Height]] ^2))</f>
        <v>17.301038062283737</v>
      </c>
    </row>
    <row r="550" spans="1:23" x14ac:dyDescent="0.25">
      <c r="A550" t="s">
        <v>13</v>
      </c>
      <c r="B550" s="7">
        <v>19.314964</v>
      </c>
      <c r="C550" s="4">
        <v>1.661403</v>
      </c>
      <c r="D550" s="7">
        <v>49.932198999999997</v>
      </c>
      <c r="E550">
        <v>0</v>
      </c>
      <c r="F550">
        <v>1</v>
      </c>
      <c r="G550" s="2">
        <v>2.2054390000000001</v>
      </c>
      <c r="H550" s="2">
        <v>3</v>
      </c>
      <c r="I550">
        <v>1</v>
      </c>
      <c r="J550">
        <v>0</v>
      </c>
      <c r="K550" s="2">
        <v>1.5305310000000001</v>
      </c>
      <c r="L550">
        <v>0</v>
      </c>
      <c r="M550" s="7">
        <v>2</v>
      </c>
      <c r="N550" s="7">
        <v>1</v>
      </c>
      <c r="O550">
        <v>1</v>
      </c>
      <c r="P550" t="s">
        <v>14</v>
      </c>
      <c r="Q550">
        <v>0</v>
      </c>
      <c r="R550" s="8">
        <f>(Tabela2[[#This Row],[FAF_atividade_fisica_frequente_em_horas]]+ 0.1)</f>
        <v>2.1</v>
      </c>
      <c r="S550" s="1">
        <f>(Tabela2[[#This Row],[TUE_tempo_uso_aparelhos_em_horas]]/Tabela2[[#This Row],[FAF_Var]])</f>
        <v>0.47619047619047616</v>
      </c>
      <c r="T550">
        <f>(Tabela2[[#This Row],[CAEC_lanche_entre_refeicoes]]*Tabela2[[#This Row],[FAVC_consumo_frequente_de_alimentos_mt_caloricos]])</f>
        <v>1</v>
      </c>
      <c r="U550" s="1">
        <f>IF(OR(Tabela2[[#This Row],[MTRANS]]="Walking",Tabela2[[#This Row],[MTRANS]]="Bike"),Tabela2[[#This Row],[FAF_atividade_fisica_frequente_em_horas]]+1,M550)</f>
        <v>2</v>
      </c>
      <c r="V550">
        <f>(Tabela2[[#This Row],[SMOKE]]+Tabela2[[#This Row],[CALC_bebe_alcool_frequentemente]])</f>
        <v>1</v>
      </c>
      <c r="W550" s="8">
        <f>(Tabela2[[#This Row],[Weight]]/(Tabela2[[#This Row],[Height]] ^2))</f>
        <v>18.089672818885816</v>
      </c>
    </row>
    <row r="551" spans="1:23" x14ac:dyDescent="0.25">
      <c r="A551" t="s">
        <v>13</v>
      </c>
      <c r="B551" s="7">
        <v>29.970445000000002</v>
      </c>
      <c r="C551" s="4">
        <v>1.6108629999999999</v>
      </c>
      <c r="D551" s="7">
        <v>49.516027000000001</v>
      </c>
      <c r="E551">
        <v>1</v>
      </c>
      <c r="F551">
        <v>1</v>
      </c>
      <c r="G551" s="2">
        <v>2.0591379999999999</v>
      </c>
      <c r="H551" s="2">
        <v>3.9048579999999999</v>
      </c>
      <c r="I551">
        <v>2</v>
      </c>
      <c r="J551">
        <v>0</v>
      </c>
      <c r="K551" s="2">
        <v>2</v>
      </c>
      <c r="L551">
        <v>0</v>
      </c>
      <c r="M551" s="7">
        <v>0.82197699999999996</v>
      </c>
      <c r="N551" s="7">
        <v>0</v>
      </c>
      <c r="O551">
        <v>0</v>
      </c>
      <c r="P551" t="s">
        <v>14</v>
      </c>
      <c r="Q551">
        <v>0</v>
      </c>
      <c r="R551" s="8">
        <f>(Tabela2[[#This Row],[FAF_atividade_fisica_frequente_em_horas]]+ 0.1)</f>
        <v>0.92197699999999994</v>
      </c>
      <c r="S551" s="1">
        <f>(Tabela2[[#This Row],[TUE_tempo_uso_aparelhos_em_horas]]/Tabela2[[#This Row],[FAF_Var]])</f>
        <v>0</v>
      </c>
      <c r="T551">
        <f>(Tabela2[[#This Row],[CAEC_lanche_entre_refeicoes]]*Tabela2[[#This Row],[FAVC_consumo_frequente_de_alimentos_mt_caloricos]])</f>
        <v>2</v>
      </c>
      <c r="U551" s="1">
        <f>IF(OR(Tabela2[[#This Row],[MTRANS]]="Walking",Tabela2[[#This Row],[MTRANS]]="Bike"),Tabela2[[#This Row],[FAF_atividade_fisica_frequente_em_horas]]+1,M551)</f>
        <v>0.82197699999999996</v>
      </c>
      <c r="V551">
        <f>(Tabela2[[#This Row],[SMOKE]]+Tabela2[[#This Row],[CALC_bebe_alcool_frequentemente]])</f>
        <v>0</v>
      </c>
      <c r="W551" s="8">
        <f>(Tabela2[[#This Row],[Weight]]/(Tabela2[[#This Row],[Height]] ^2))</f>
        <v>19.082205937029588</v>
      </c>
    </row>
    <row r="552" spans="1:23" x14ac:dyDescent="0.25">
      <c r="A552" t="s">
        <v>13</v>
      </c>
      <c r="B552" s="7">
        <v>32.383857999999996</v>
      </c>
      <c r="C552" s="4">
        <v>1.6406879999999999</v>
      </c>
      <c r="D552" s="7">
        <v>46.655622000000001</v>
      </c>
      <c r="E552">
        <v>1</v>
      </c>
      <c r="F552">
        <v>1</v>
      </c>
      <c r="G552" s="2">
        <v>3</v>
      </c>
      <c r="H552" s="2">
        <v>3.11158</v>
      </c>
      <c r="I552">
        <v>2</v>
      </c>
      <c r="J552">
        <v>0</v>
      </c>
      <c r="K552" s="2">
        <v>2.7217690000000001</v>
      </c>
      <c r="L552">
        <v>0</v>
      </c>
      <c r="M552" s="7">
        <v>1.4428700000000001</v>
      </c>
      <c r="N552" s="7">
        <v>0</v>
      </c>
      <c r="O552">
        <v>0</v>
      </c>
      <c r="P552" t="s">
        <v>14</v>
      </c>
      <c r="Q552">
        <v>0</v>
      </c>
      <c r="R552" s="8">
        <f>(Tabela2[[#This Row],[FAF_atividade_fisica_frequente_em_horas]]+ 0.1)</f>
        <v>1.5428700000000002</v>
      </c>
      <c r="S552" s="1">
        <f>(Tabela2[[#This Row],[TUE_tempo_uso_aparelhos_em_horas]]/Tabela2[[#This Row],[FAF_Var]])</f>
        <v>0</v>
      </c>
      <c r="T552">
        <f>(Tabela2[[#This Row],[CAEC_lanche_entre_refeicoes]]*Tabela2[[#This Row],[FAVC_consumo_frequente_de_alimentos_mt_caloricos]])</f>
        <v>2</v>
      </c>
      <c r="U552" s="1">
        <f>IF(OR(Tabela2[[#This Row],[MTRANS]]="Walking",Tabela2[[#This Row],[MTRANS]]="Bike"),Tabela2[[#This Row],[FAF_atividade_fisica_frequente_em_horas]]+1,M552)</f>
        <v>1.4428700000000001</v>
      </c>
      <c r="V552">
        <f>(Tabela2[[#This Row],[SMOKE]]+Tabela2[[#This Row],[CALC_bebe_alcool_frequentemente]])</f>
        <v>0</v>
      </c>
      <c r="W552" s="8">
        <f>(Tabela2[[#This Row],[Weight]]/(Tabela2[[#This Row],[Height]] ^2))</f>
        <v>17.332131697748757</v>
      </c>
    </row>
    <row r="553" spans="1:23" x14ac:dyDescent="0.25">
      <c r="A553" t="s">
        <v>13</v>
      </c>
      <c r="B553" s="7">
        <v>24.163526000000001</v>
      </c>
      <c r="C553" s="4">
        <v>1.6460300000000001</v>
      </c>
      <c r="D553" s="7">
        <v>49.839685000000003</v>
      </c>
      <c r="E553">
        <v>1</v>
      </c>
      <c r="F553">
        <v>1</v>
      </c>
      <c r="G553" s="2">
        <v>3</v>
      </c>
      <c r="H553" s="2">
        <v>3.590039</v>
      </c>
      <c r="I553">
        <v>2</v>
      </c>
      <c r="J553">
        <v>0</v>
      </c>
      <c r="K553" s="2">
        <v>2.7305000000000001</v>
      </c>
      <c r="L553">
        <v>0</v>
      </c>
      <c r="M553" s="7">
        <v>0.10707800000000001</v>
      </c>
      <c r="N553" s="7">
        <v>0</v>
      </c>
      <c r="O553">
        <v>0</v>
      </c>
      <c r="P553" t="s">
        <v>14</v>
      </c>
      <c r="Q553">
        <v>0</v>
      </c>
      <c r="R553" s="8">
        <f>(Tabela2[[#This Row],[FAF_atividade_fisica_frequente_em_horas]]+ 0.1)</f>
        <v>0.20707800000000001</v>
      </c>
      <c r="S553" s="1">
        <f>(Tabela2[[#This Row],[TUE_tempo_uso_aparelhos_em_horas]]/Tabela2[[#This Row],[FAF_Var]])</f>
        <v>0</v>
      </c>
      <c r="T553">
        <f>(Tabela2[[#This Row],[CAEC_lanche_entre_refeicoes]]*Tabela2[[#This Row],[FAVC_consumo_frequente_de_alimentos_mt_caloricos]])</f>
        <v>2</v>
      </c>
      <c r="U553" s="1">
        <f>IF(OR(Tabela2[[#This Row],[MTRANS]]="Walking",Tabela2[[#This Row],[MTRANS]]="Bike"),Tabela2[[#This Row],[FAF_atividade_fisica_frequente_em_horas]]+1,M553)</f>
        <v>0.10707800000000001</v>
      </c>
      <c r="V553">
        <f>(Tabela2[[#This Row],[SMOKE]]+Tabela2[[#This Row],[CALC_bebe_alcool_frequentemente]])</f>
        <v>0</v>
      </c>
      <c r="W553" s="8">
        <f>(Tabela2[[#This Row],[Weight]]/(Tabela2[[#This Row],[Height]] ^2))</f>
        <v>18.395000174666684</v>
      </c>
    </row>
    <row r="554" spans="1:23" x14ac:dyDescent="0.25">
      <c r="A554" t="s">
        <v>15</v>
      </c>
      <c r="B554" s="7">
        <v>17.038222000000001</v>
      </c>
      <c r="C554" s="4">
        <v>1.710564</v>
      </c>
      <c r="D554" s="7">
        <v>51.588873999999997</v>
      </c>
      <c r="E554">
        <v>0</v>
      </c>
      <c r="F554">
        <v>1</v>
      </c>
      <c r="G554" s="2">
        <v>2</v>
      </c>
      <c r="H554" s="2">
        <v>2.0579350000000001</v>
      </c>
      <c r="I554">
        <v>1</v>
      </c>
      <c r="J554">
        <v>0</v>
      </c>
      <c r="K554" s="2">
        <v>2.3710149999999999</v>
      </c>
      <c r="L554">
        <v>0</v>
      </c>
      <c r="M554" s="7">
        <v>0.28803200000000001</v>
      </c>
      <c r="N554" s="7">
        <v>0.71462700000000001</v>
      </c>
      <c r="O554">
        <v>1</v>
      </c>
      <c r="P554" t="s">
        <v>14</v>
      </c>
      <c r="Q554">
        <v>0</v>
      </c>
      <c r="R554" s="8">
        <f>(Tabela2[[#This Row],[FAF_atividade_fisica_frequente_em_horas]]+ 0.1)</f>
        <v>0.38803200000000004</v>
      </c>
      <c r="S554" s="1">
        <f>(Tabela2[[#This Row],[TUE_tempo_uso_aparelhos_em_horas]]/Tabela2[[#This Row],[FAF_Var]])</f>
        <v>1.8416702746165263</v>
      </c>
      <c r="T554">
        <f>(Tabela2[[#This Row],[CAEC_lanche_entre_refeicoes]]*Tabela2[[#This Row],[FAVC_consumo_frequente_de_alimentos_mt_caloricos]])</f>
        <v>1</v>
      </c>
      <c r="U554" s="1">
        <f>IF(OR(Tabela2[[#This Row],[MTRANS]]="Walking",Tabela2[[#This Row],[MTRANS]]="Bike"),Tabela2[[#This Row],[FAF_atividade_fisica_frequente_em_horas]]+1,M554)</f>
        <v>0.28803200000000001</v>
      </c>
      <c r="V554">
        <f>(Tabela2[[#This Row],[SMOKE]]+Tabela2[[#This Row],[CALC_bebe_alcool_frequentemente]])</f>
        <v>1</v>
      </c>
      <c r="W554" s="8">
        <f>(Tabela2[[#This Row],[Weight]]/(Tabela2[[#This Row],[Height]] ^2))</f>
        <v>17.631018184497087</v>
      </c>
    </row>
    <row r="555" spans="1:23" x14ac:dyDescent="0.25">
      <c r="A555" t="s">
        <v>15</v>
      </c>
      <c r="B555" s="7">
        <v>16.30687</v>
      </c>
      <c r="C555" s="4">
        <v>1.7527550000000001</v>
      </c>
      <c r="D555" s="7">
        <v>50</v>
      </c>
      <c r="E555">
        <v>0</v>
      </c>
      <c r="F555">
        <v>1</v>
      </c>
      <c r="G555" s="2">
        <v>2.3104230000000001</v>
      </c>
      <c r="H555" s="2">
        <v>3.5586370000000001</v>
      </c>
      <c r="I555">
        <v>1</v>
      </c>
      <c r="J555">
        <v>0</v>
      </c>
      <c r="K555" s="2">
        <v>1.7878430000000001</v>
      </c>
      <c r="L555">
        <v>0</v>
      </c>
      <c r="M555" s="7">
        <v>1.9265920000000001</v>
      </c>
      <c r="N555" s="7">
        <v>0.82854899999999998</v>
      </c>
      <c r="O555">
        <v>1</v>
      </c>
      <c r="P555" t="s">
        <v>14</v>
      </c>
      <c r="Q555">
        <v>0</v>
      </c>
      <c r="R555" s="8">
        <f>(Tabela2[[#This Row],[FAF_atividade_fisica_frequente_em_horas]]+ 0.1)</f>
        <v>2.0265919999999999</v>
      </c>
      <c r="S555" s="1">
        <f>(Tabela2[[#This Row],[TUE_tempo_uso_aparelhos_em_horas]]/Tabela2[[#This Row],[FAF_Var]])</f>
        <v>0.40883858221092356</v>
      </c>
      <c r="T555">
        <f>(Tabela2[[#This Row],[CAEC_lanche_entre_refeicoes]]*Tabela2[[#This Row],[FAVC_consumo_frequente_de_alimentos_mt_caloricos]])</f>
        <v>1</v>
      </c>
      <c r="U555" s="1">
        <f>IF(OR(Tabela2[[#This Row],[MTRANS]]="Walking",Tabela2[[#This Row],[MTRANS]]="Bike"),Tabela2[[#This Row],[FAF_atividade_fisica_frequente_em_horas]]+1,M555)</f>
        <v>1.9265920000000001</v>
      </c>
      <c r="V555">
        <f>(Tabela2[[#This Row],[SMOKE]]+Tabela2[[#This Row],[CALC_bebe_alcool_frequentemente]])</f>
        <v>1</v>
      </c>
      <c r="W555" s="8">
        <f>(Tabela2[[#This Row],[Weight]]/(Tabela2[[#This Row],[Height]] ^2))</f>
        <v>16.275246499949851</v>
      </c>
    </row>
    <row r="556" spans="1:23" x14ac:dyDescent="0.25">
      <c r="A556" t="s">
        <v>15</v>
      </c>
      <c r="B556" s="7">
        <v>16.198153000000001</v>
      </c>
      <c r="C556" s="4">
        <v>1.6910069999999999</v>
      </c>
      <c r="D556" s="7">
        <v>52.629373999999999</v>
      </c>
      <c r="E556">
        <v>0</v>
      </c>
      <c r="F556">
        <v>1</v>
      </c>
      <c r="G556" s="2">
        <v>2</v>
      </c>
      <c r="H556" s="2">
        <v>2.0009860000000002</v>
      </c>
      <c r="I556">
        <v>1</v>
      </c>
      <c r="J556">
        <v>0</v>
      </c>
      <c r="K556" s="2">
        <v>2.673835</v>
      </c>
      <c r="L556">
        <v>0</v>
      </c>
      <c r="M556" s="7">
        <v>0.99295</v>
      </c>
      <c r="N556" s="7">
        <v>0.47483599999999998</v>
      </c>
      <c r="O556">
        <v>1</v>
      </c>
      <c r="P556" t="s">
        <v>14</v>
      </c>
      <c r="Q556">
        <v>0</v>
      </c>
      <c r="R556" s="8">
        <f>(Tabela2[[#This Row],[FAF_atividade_fisica_frequente_em_horas]]+ 0.1)</f>
        <v>1.0929500000000001</v>
      </c>
      <c r="S556" s="1">
        <f>(Tabela2[[#This Row],[TUE_tempo_uso_aparelhos_em_horas]]/Tabela2[[#This Row],[FAF_Var]])</f>
        <v>0.43445354316299917</v>
      </c>
      <c r="T556">
        <f>(Tabela2[[#This Row],[CAEC_lanche_entre_refeicoes]]*Tabela2[[#This Row],[FAVC_consumo_frequente_de_alimentos_mt_caloricos]])</f>
        <v>1</v>
      </c>
      <c r="U556" s="1">
        <f>IF(OR(Tabela2[[#This Row],[MTRANS]]="Walking",Tabela2[[#This Row],[MTRANS]]="Bike"),Tabela2[[#This Row],[FAF_atividade_fisica_frequente_em_horas]]+1,M556)</f>
        <v>0.99295</v>
      </c>
      <c r="V556">
        <f>(Tabela2[[#This Row],[SMOKE]]+Tabela2[[#This Row],[CALC_bebe_alcool_frequentemente]])</f>
        <v>1</v>
      </c>
      <c r="W556" s="8">
        <f>(Tabela2[[#This Row],[Weight]]/(Tabela2[[#This Row],[Height]] ^2))</f>
        <v>18.40506661088191</v>
      </c>
    </row>
    <row r="557" spans="1:23" x14ac:dyDescent="0.25">
      <c r="A557" t="s">
        <v>15</v>
      </c>
      <c r="B557" s="7">
        <v>18</v>
      </c>
      <c r="C557" s="4">
        <v>1.753349</v>
      </c>
      <c r="D557" s="7">
        <v>51.457225999999999</v>
      </c>
      <c r="E557">
        <v>0</v>
      </c>
      <c r="F557">
        <v>1</v>
      </c>
      <c r="G557" s="2">
        <v>2.8231790000000001</v>
      </c>
      <c r="H557" s="2">
        <v>3</v>
      </c>
      <c r="I557">
        <v>1</v>
      </c>
      <c r="J557">
        <v>0</v>
      </c>
      <c r="K557" s="2">
        <v>1.773236</v>
      </c>
      <c r="L557">
        <v>0</v>
      </c>
      <c r="M557" s="7">
        <v>1.252472</v>
      </c>
      <c r="N557" s="7">
        <v>1</v>
      </c>
      <c r="O557">
        <v>1</v>
      </c>
      <c r="P557" t="s">
        <v>14</v>
      </c>
      <c r="Q557">
        <v>0</v>
      </c>
      <c r="R557" s="8">
        <f>(Tabela2[[#This Row],[FAF_atividade_fisica_frequente_em_horas]]+ 0.1)</f>
        <v>1.3524720000000001</v>
      </c>
      <c r="S557" s="1">
        <f>(Tabela2[[#This Row],[TUE_tempo_uso_aparelhos_em_horas]]/Tabela2[[#This Row],[FAF_Var]])</f>
        <v>0.739386841280263</v>
      </c>
      <c r="T557">
        <f>(Tabela2[[#This Row],[CAEC_lanche_entre_refeicoes]]*Tabela2[[#This Row],[FAVC_consumo_frequente_de_alimentos_mt_caloricos]])</f>
        <v>1</v>
      </c>
      <c r="U557" s="1">
        <f>IF(OR(Tabela2[[#This Row],[MTRANS]]="Walking",Tabela2[[#This Row],[MTRANS]]="Bike"),Tabela2[[#This Row],[FAF_atividade_fisica_frequente_em_horas]]+1,M557)</f>
        <v>1.252472</v>
      </c>
      <c r="V557">
        <f>(Tabela2[[#This Row],[SMOKE]]+Tabela2[[#This Row],[CALC_bebe_alcool_frequentemente]])</f>
        <v>1</v>
      </c>
      <c r="W557" s="8">
        <f>(Tabela2[[#This Row],[Weight]]/(Tabela2[[#This Row],[Height]] ^2))</f>
        <v>16.738233815390476</v>
      </c>
    </row>
    <row r="558" spans="1:23" x14ac:dyDescent="0.25">
      <c r="A558" t="s">
        <v>15</v>
      </c>
      <c r="B558" s="7">
        <v>18</v>
      </c>
      <c r="C558" s="4">
        <v>1.7815430000000001</v>
      </c>
      <c r="D558" s="7">
        <v>50.869703999999999</v>
      </c>
      <c r="E558">
        <v>0</v>
      </c>
      <c r="F558">
        <v>1</v>
      </c>
      <c r="G558" s="2">
        <v>2.0529320000000002</v>
      </c>
      <c r="H558" s="2">
        <v>3</v>
      </c>
      <c r="I558">
        <v>1</v>
      </c>
      <c r="J558">
        <v>0</v>
      </c>
      <c r="K558" s="2">
        <v>2</v>
      </c>
      <c r="L558">
        <v>0</v>
      </c>
      <c r="M558" s="7">
        <v>0.52040799999999998</v>
      </c>
      <c r="N558" s="7">
        <v>1</v>
      </c>
      <c r="O558">
        <v>1</v>
      </c>
      <c r="P558" t="s">
        <v>14</v>
      </c>
      <c r="Q558">
        <v>0</v>
      </c>
      <c r="R558" s="8">
        <f>(Tabela2[[#This Row],[FAF_atividade_fisica_frequente_em_horas]]+ 0.1)</f>
        <v>0.62040799999999996</v>
      </c>
      <c r="S558" s="1">
        <f>(Tabela2[[#This Row],[TUE_tempo_uso_aparelhos_em_horas]]/Tabela2[[#This Row],[FAF_Var]])</f>
        <v>1.6118425294322447</v>
      </c>
      <c r="T558">
        <f>(Tabela2[[#This Row],[CAEC_lanche_entre_refeicoes]]*Tabela2[[#This Row],[FAVC_consumo_frequente_de_alimentos_mt_caloricos]])</f>
        <v>1</v>
      </c>
      <c r="U558" s="1">
        <f>IF(OR(Tabela2[[#This Row],[MTRANS]]="Walking",Tabela2[[#This Row],[MTRANS]]="Bike"),Tabela2[[#This Row],[FAF_atividade_fisica_frequente_em_horas]]+1,M558)</f>
        <v>0.52040799999999998</v>
      </c>
      <c r="V558">
        <f>(Tabela2[[#This Row],[SMOKE]]+Tabela2[[#This Row],[CALC_bebe_alcool_frequentemente]])</f>
        <v>1</v>
      </c>
      <c r="W558" s="8">
        <f>(Tabela2[[#This Row],[Weight]]/(Tabela2[[#This Row],[Height]] ^2))</f>
        <v>16.027529774529064</v>
      </c>
    </row>
    <row r="559" spans="1:23" x14ac:dyDescent="0.25">
      <c r="A559" t="s">
        <v>15</v>
      </c>
      <c r="B559" s="7">
        <v>18</v>
      </c>
      <c r="C559" s="4">
        <v>1.7558229999999999</v>
      </c>
      <c r="D559" s="7">
        <v>52.331172000000002</v>
      </c>
      <c r="E559">
        <v>0</v>
      </c>
      <c r="F559">
        <v>1</v>
      </c>
      <c r="G559" s="2">
        <v>2.5963639999999999</v>
      </c>
      <c r="H559" s="2">
        <v>3</v>
      </c>
      <c r="I559">
        <v>1</v>
      </c>
      <c r="J559">
        <v>0</v>
      </c>
      <c r="K559" s="2">
        <v>2</v>
      </c>
      <c r="L559">
        <v>0</v>
      </c>
      <c r="M559" s="7">
        <v>0.28173399999999998</v>
      </c>
      <c r="N559" s="7">
        <v>1.488372</v>
      </c>
      <c r="O559">
        <v>1</v>
      </c>
      <c r="P559" t="s">
        <v>14</v>
      </c>
      <c r="Q559">
        <v>0</v>
      </c>
      <c r="R559" s="8">
        <f>(Tabela2[[#This Row],[FAF_atividade_fisica_frequente_em_horas]]+ 0.1)</f>
        <v>0.38173400000000002</v>
      </c>
      <c r="S559" s="1">
        <f>(Tabela2[[#This Row],[TUE_tempo_uso_aparelhos_em_horas]]/Tabela2[[#This Row],[FAF_Var]])</f>
        <v>3.8989767744031183</v>
      </c>
      <c r="T559">
        <f>(Tabela2[[#This Row],[CAEC_lanche_entre_refeicoes]]*Tabela2[[#This Row],[FAVC_consumo_frequente_de_alimentos_mt_caloricos]])</f>
        <v>1</v>
      </c>
      <c r="U559" s="1">
        <f>IF(OR(Tabela2[[#This Row],[MTRANS]]="Walking",Tabela2[[#This Row],[MTRANS]]="Bike"),Tabela2[[#This Row],[FAF_atividade_fisica_frequente_em_horas]]+1,M559)</f>
        <v>0.28173399999999998</v>
      </c>
      <c r="V559">
        <f>(Tabela2[[#This Row],[SMOKE]]+Tabela2[[#This Row],[CALC_bebe_alcool_frequentemente]])</f>
        <v>1</v>
      </c>
      <c r="W559" s="8">
        <f>(Tabela2[[#This Row],[Weight]]/(Tabela2[[#This Row],[Height]] ^2))</f>
        <v>16.974578300193262</v>
      </c>
    </row>
    <row r="560" spans="1:23" x14ac:dyDescent="0.25">
      <c r="A560" t="s">
        <v>15</v>
      </c>
      <c r="B560" s="7">
        <v>17.486868999999999</v>
      </c>
      <c r="C560" s="4">
        <v>1.8366690000000001</v>
      </c>
      <c r="D560" s="7">
        <v>58.943347000000003</v>
      </c>
      <c r="E560">
        <v>1</v>
      </c>
      <c r="F560">
        <v>1</v>
      </c>
      <c r="G560" s="2">
        <v>2.7677309999999999</v>
      </c>
      <c r="H560" s="2">
        <v>3.8211680000000001</v>
      </c>
      <c r="I560">
        <v>1</v>
      </c>
      <c r="J560">
        <v>0</v>
      </c>
      <c r="K560" s="2">
        <v>2</v>
      </c>
      <c r="L560">
        <v>0</v>
      </c>
      <c r="M560" s="7">
        <v>2</v>
      </c>
      <c r="N560" s="7">
        <v>0.55624499999999999</v>
      </c>
      <c r="O560">
        <v>0</v>
      </c>
      <c r="P560" t="s">
        <v>17</v>
      </c>
      <c r="Q560">
        <v>0</v>
      </c>
      <c r="R560" s="8">
        <f>(Tabela2[[#This Row],[FAF_atividade_fisica_frequente_em_horas]]+ 0.1)</f>
        <v>2.1</v>
      </c>
      <c r="S560" s="1">
        <f>(Tabela2[[#This Row],[TUE_tempo_uso_aparelhos_em_horas]]/Tabela2[[#This Row],[FAF_Var]])</f>
        <v>0.26487857142857141</v>
      </c>
      <c r="T560">
        <f>(Tabela2[[#This Row],[CAEC_lanche_entre_refeicoes]]*Tabela2[[#This Row],[FAVC_consumo_frequente_de_alimentos_mt_caloricos]])</f>
        <v>1</v>
      </c>
      <c r="U560" s="1">
        <f>IF(OR(Tabela2[[#This Row],[MTRANS]]="Walking",Tabela2[[#This Row],[MTRANS]]="Bike"),Tabela2[[#This Row],[FAF_atividade_fisica_frequente_em_horas]]+1,M560)</f>
        <v>2</v>
      </c>
      <c r="V560">
        <f>(Tabela2[[#This Row],[SMOKE]]+Tabela2[[#This Row],[CALC_bebe_alcool_frequentemente]])</f>
        <v>0</v>
      </c>
      <c r="W560" s="8">
        <f>(Tabela2[[#This Row],[Weight]]/(Tabela2[[#This Row],[Height]] ^2))</f>
        <v>17.473222259306745</v>
      </c>
    </row>
    <row r="561" spans="1:23" x14ac:dyDescent="0.25">
      <c r="A561" t="s">
        <v>15</v>
      </c>
      <c r="B561" s="7">
        <v>19.920629000000002</v>
      </c>
      <c r="C561" s="4">
        <v>1.7684930000000001</v>
      </c>
      <c r="D561" s="7">
        <v>57.790381000000004</v>
      </c>
      <c r="E561">
        <v>1</v>
      </c>
      <c r="F561">
        <v>1</v>
      </c>
      <c r="G561" s="2">
        <v>2</v>
      </c>
      <c r="H561" s="2">
        <v>3.897078</v>
      </c>
      <c r="I561">
        <v>1</v>
      </c>
      <c r="J561">
        <v>0</v>
      </c>
      <c r="K561" s="2">
        <v>2.6226379999999998</v>
      </c>
      <c r="L561">
        <v>0</v>
      </c>
      <c r="M561" s="7">
        <v>2</v>
      </c>
      <c r="N561" s="7">
        <v>1.8941049999999999</v>
      </c>
      <c r="O561">
        <v>0</v>
      </c>
      <c r="P561" t="s">
        <v>17</v>
      </c>
      <c r="Q561">
        <v>0</v>
      </c>
      <c r="R561" s="8">
        <f>(Tabela2[[#This Row],[FAF_atividade_fisica_frequente_em_horas]]+ 0.1)</f>
        <v>2.1</v>
      </c>
      <c r="S561" s="1">
        <f>(Tabela2[[#This Row],[TUE_tempo_uso_aparelhos_em_horas]]/Tabela2[[#This Row],[FAF_Var]])</f>
        <v>0.90195476190476187</v>
      </c>
      <c r="T561">
        <f>(Tabela2[[#This Row],[CAEC_lanche_entre_refeicoes]]*Tabela2[[#This Row],[FAVC_consumo_frequente_de_alimentos_mt_caloricos]])</f>
        <v>1</v>
      </c>
      <c r="U561" s="1">
        <f>IF(OR(Tabela2[[#This Row],[MTRANS]]="Walking",Tabela2[[#This Row],[MTRANS]]="Bike"),Tabela2[[#This Row],[FAF_atividade_fisica_frequente_em_horas]]+1,M561)</f>
        <v>2</v>
      </c>
      <c r="V561">
        <f>(Tabela2[[#This Row],[SMOKE]]+Tabela2[[#This Row],[CALC_bebe_alcool_frequentemente]])</f>
        <v>0</v>
      </c>
      <c r="W561" s="8">
        <f>(Tabela2[[#This Row],[Weight]]/(Tabela2[[#This Row],[Height]] ^2))</f>
        <v>18.477740661198922</v>
      </c>
    </row>
    <row r="562" spans="1:23" x14ac:dyDescent="0.25">
      <c r="A562" t="s">
        <v>15</v>
      </c>
      <c r="B562" s="7">
        <v>18.426618999999999</v>
      </c>
      <c r="C562" s="4">
        <v>1.7771079999999999</v>
      </c>
      <c r="D562" s="7">
        <v>57.145916999999997</v>
      </c>
      <c r="E562">
        <v>1</v>
      </c>
      <c r="F562">
        <v>1</v>
      </c>
      <c r="G562" s="2">
        <v>2</v>
      </c>
      <c r="H562" s="2">
        <v>3.0921159999999999</v>
      </c>
      <c r="I562">
        <v>1</v>
      </c>
      <c r="J562">
        <v>0</v>
      </c>
      <c r="K562" s="2">
        <v>2.4264649999999999</v>
      </c>
      <c r="L562">
        <v>0</v>
      </c>
      <c r="M562" s="7">
        <v>2</v>
      </c>
      <c r="N562" s="7">
        <v>1.8398620000000001</v>
      </c>
      <c r="O562">
        <v>0</v>
      </c>
      <c r="P562" t="s">
        <v>17</v>
      </c>
      <c r="Q562">
        <v>0</v>
      </c>
      <c r="R562" s="8">
        <f>(Tabela2[[#This Row],[FAF_atividade_fisica_frequente_em_horas]]+ 0.1)</f>
        <v>2.1</v>
      </c>
      <c r="S562" s="1">
        <f>(Tabela2[[#This Row],[TUE_tempo_uso_aparelhos_em_horas]]/Tabela2[[#This Row],[FAF_Var]])</f>
        <v>0.87612476190476196</v>
      </c>
      <c r="T562">
        <f>(Tabela2[[#This Row],[CAEC_lanche_entre_refeicoes]]*Tabela2[[#This Row],[FAVC_consumo_frequente_de_alimentos_mt_caloricos]])</f>
        <v>1</v>
      </c>
      <c r="U562" s="1">
        <f>IF(OR(Tabela2[[#This Row],[MTRANS]]="Walking",Tabela2[[#This Row],[MTRANS]]="Bike"),Tabela2[[#This Row],[FAF_atividade_fisica_frequente_em_horas]]+1,M562)</f>
        <v>2</v>
      </c>
      <c r="V562">
        <f>(Tabela2[[#This Row],[SMOKE]]+Tabela2[[#This Row],[CALC_bebe_alcool_frequentemente]])</f>
        <v>0</v>
      </c>
      <c r="W562" s="8">
        <f>(Tabela2[[#This Row],[Weight]]/(Tabela2[[#This Row],[Height]] ^2))</f>
        <v>18.094957282685339</v>
      </c>
    </row>
    <row r="563" spans="1:23" x14ac:dyDescent="0.25">
      <c r="A563" t="s">
        <v>13</v>
      </c>
      <c r="B563" s="7">
        <v>17.082867</v>
      </c>
      <c r="C563" s="4">
        <v>1.6408240000000001</v>
      </c>
      <c r="D563" s="7">
        <v>43.365004999999996</v>
      </c>
      <c r="E563">
        <v>0</v>
      </c>
      <c r="F563">
        <v>1</v>
      </c>
      <c r="G563" s="2">
        <v>2.8151570000000001</v>
      </c>
      <c r="H563" s="2">
        <v>3</v>
      </c>
      <c r="I563">
        <v>1</v>
      </c>
      <c r="J563">
        <v>0</v>
      </c>
      <c r="K563" s="2">
        <v>2.911187</v>
      </c>
      <c r="L563">
        <v>0</v>
      </c>
      <c r="M563" s="7">
        <v>2.5951279999999999</v>
      </c>
      <c r="N563" s="7">
        <v>1.380204</v>
      </c>
      <c r="O563">
        <v>1</v>
      </c>
      <c r="P563" t="s">
        <v>14</v>
      </c>
      <c r="Q563">
        <v>0</v>
      </c>
      <c r="R563" s="8">
        <f>(Tabela2[[#This Row],[FAF_atividade_fisica_frequente_em_horas]]+ 0.1)</f>
        <v>2.695128</v>
      </c>
      <c r="S563" s="1">
        <f>(Tabela2[[#This Row],[TUE_tempo_uso_aparelhos_em_horas]]/Tabela2[[#This Row],[FAF_Var]])</f>
        <v>0.51211074205009932</v>
      </c>
      <c r="T563">
        <f>(Tabela2[[#This Row],[CAEC_lanche_entre_refeicoes]]*Tabela2[[#This Row],[FAVC_consumo_frequente_de_alimentos_mt_caloricos]])</f>
        <v>1</v>
      </c>
      <c r="U563" s="1">
        <f>IF(OR(Tabela2[[#This Row],[MTRANS]]="Walking",Tabela2[[#This Row],[MTRANS]]="Bike"),Tabela2[[#This Row],[FAF_atividade_fisica_frequente_em_horas]]+1,M563)</f>
        <v>2.5951279999999999</v>
      </c>
      <c r="V563">
        <f>(Tabela2[[#This Row],[SMOKE]]+Tabela2[[#This Row],[CALC_bebe_alcool_frequentemente]])</f>
        <v>1</v>
      </c>
      <c r="W563" s="8">
        <f>(Tabela2[[#This Row],[Weight]]/(Tabela2[[#This Row],[Height]] ^2))</f>
        <v>16.107027542472959</v>
      </c>
    </row>
    <row r="564" spans="1:23" x14ac:dyDescent="0.25">
      <c r="A564" t="s">
        <v>13</v>
      </c>
      <c r="B564" s="7">
        <v>17.000433000000001</v>
      </c>
      <c r="C564" s="4">
        <v>1.584951</v>
      </c>
      <c r="D564" s="7">
        <v>44.411800999999997</v>
      </c>
      <c r="E564">
        <v>0</v>
      </c>
      <c r="F564">
        <v>1</v>
      </c>
      <c r="G564" s="2">
        <v>2.737762</v>
      </c>
      <c r="H564" s="2">
        <v>3</v>
      </c>
      <c r="I564">
        <v>1</v>
      </c>
      <c r="J564">
        <v>0</v>
      </c>
      <c r="K564" s="2">
        <v>2.310921</v>
      </c>
      <c r="L564">
        <v>0</v>
      </c>
      <c r="M564" s="7">
        <v>2.2407140000000001</v>
      </c>
      <c r="N564" s="7">
        <v>1.59257</v>
      </c>
      <c r="O564">
        <v>1</v>
      </c>
      <c r="P564" t="s">
        <v>14</v>
      </c>
      <c r="Q564">
        <v>0</v>
      </c>
      <c r="R564" s="8">
        <f>(Tabela2[[#This Row],[FAF_atividade_fisica_frequente_em_horas]]+ 0.1)</f>
        <v>2.3407140000000002</v>
      </c>
      <c r="S564" s="1">
        <f>(Tabela2[[#This Row],[TUE_tempo_uso_aparelhos_em_horas]]/Tabela2[[#This Row],[FAF_Var]])</f>
        <v>0.68037786760791785</v>
      </c>
      <c r="T564">
        <f>(Tabela2[[#This Row],[CAEC_lanche_entre_refeicoes]]*Tabela2[[#This Row],[FAVC_consumo_frequente_de_alimentos_mt_caloricos]])</f>
        <v>1</v>
      </c>
      <c r="U564" s="1">
        <f>IF(OR(Tabela2[[#This Row],[MTRANS]]="Walking",Tabela2[[#This Row],[MTRANS]]="Bike"),Tabela2[[#This Row],[FAF_atividade_fisica_frequente_em_horas]]+1,M564)</f>
        <v>2.2407140000000001</v>
      </c>
      <c r="V564">
        <f>(Tabela2[[#This Row],[SMOKE]]+Tabela2[[#This Row],[CALC_bebe_alcool_frequentemente]])</f>
        <v>1</v>
      </c>
      <c r="W564" s="8">
        <f>(Tabela2[[#This Row],[Weight]]/(Tabela2[[#This Row],[Height]] ^2))</f>
        <v>17.679366734104885</v>
      </c>
    </row>
    <row r="565" spans="1:23" x14ac:dyDescent="0.25">
      <c r="A565" t="s">
        <v>13</v>
      </c>
      <c r="B565" s="7">
        <v>16.270434000000002</v>
      </c>
      <c r="C565" s="4">
        <v>1.818268</v>
      </c>
      <c r="D565" s="7">
        <v>47.124716999999997</v>
      </c>
      <c r="E565">
        <v>0</v>
      </c>
      <c r="F565">
        <v>1</v>
      </c>
      <c r="G565" s="2">
        <v>3</v>
      </c>
      <c r="H565" s="2">
        <v>3.2864309999999999</v>
      </c>
      <c r="I565">
        <v>1</v>
      </c>
      <c r="J565">
        <v>0</v>
      </c>
      <c r="K565" s="2">
        <v>2.1481460000000001</v>
      </c>
      <c r="L565">
        <v>0</v>
      </c>
      <c r="M565" s="7">
        <v>2.458237</v>
      </c>
      <c r="N565" s="7">
        <v>1.273333</v>
      </c>
      <c r="O565">
        <v>1</v>
      </c>
      <c r="P565" t="s">
        <v>14</v>
      </c>
      <c r="Q565">
        <v>0</v>
      </c>
      <c r="R565" s="8">
        <f>(Tabela2[[#This Row],[FAF_atividade_fisica_frequente_em_horas]]+ 0.1)</f>
        <v>2.5582370000000001</v>
      </c>
      <c r="S565" s="1">
        <f>(Tabela2[[#This Row],[TUE_tempo_uso_aparelhos_em_horas]]/Tabela2[[#This Row],[FAF_Var]])</f>
        <v>0.49773848161839579</v>
      </c>
      <c r="T565">
        <f>(Tabela2[[#This Row],[CAEC_lanche_entre_refeicoes]]*Tabela2[[#This Row],[FAVC_consumo_frequente_de_alimentos_mt_caloricos]])</f>
        <v>1</v>
      </c>
      <c r="U565" s="1">
        <f>IF(OR(Tabela2[[#This Row],[MTRANS]]="Walking",Tabela2[[#This Row],[MTRANS]]="Bike"),Tabela2[[#This Row],[FAF_atividade_fisica_frequente_em_horas]]+1,M565)</f>
        <v>2.458237</v>
      </c>
      <c r="V565">
        <f>(Tabela2[[#This Row],[SMOKE]]+Tabela2[[#This Row],[CALC_bebe_alcool_frequentemente]])</f>
        <v>1</v>
      </c>
      <c r="W565" s="8">
        <f>(Tabela2[[#This Row],[Weight]]/(Tabela2[[#This Row],[Height]] ^2))</f>
        <v>14.25387559306874</v>
      </c>
    </row>
    <row r="566" spans="1:23" x14ac:dyDescent="0.25">
      <c r="A566" t="s">
        <v>15</v>
      </c>
      <c r="B566" s="7">
        <v>17.908114000000001</v>
      </c>
      <c r="C566" s="4">
        <v>1.7939259999999999</v>
      </c>
      <c r="D566" s="7">
        <v>59.682591000000002</v>
      </c>
      <c r="E566">
        <v>1</v>
      </c>
      <c r="F566">
        <v>1</v>
      </c>
      <c r="G566" s="2">
        <v>2.568063</v>
      </c>
      <c r="H566" s="2">
        <v>4</v>
      </c>
      <c r="I566">
        <v>1</v>
      </c>
      <c r="J566">
        <v>0</v>
      </c>
      <c r="K566" s="2">
        <v>2</v>
      </c>
      <c r="L566">
        <v>0</v>
      </c>
      <c r="M566" s="7">
        <v>2</v>
      </c>
      <c r="N566" s="7">
        <v>0.220029</v>
      </c>
      <c r="O566">
        <v>0</v>
      </c>
      <c r="P566" t="s">
        <v>17</v>
      </c>
      <c r="Q566">
        <v>0</v>
      </c>
      <c r="R566" s="8">
        <f>(Tabela2[[#This Row],[FAF_atividade_fisica_frequente_em_horas]]+ 0.1)</f>
        <v>2.1</v>
      </c>
      <c r="S566" s="1">
        <f>(Tabela2[[#This Row],[TUE_tempo_uso_aparelhos_em_horas]]/Tabela2[[#This Row],[FAF_Var]])</f>
        <v>0.10477571428571428</v>
      </c>
      <c r="T566">
        <f>(Tabela2[[#This Row],[CAEC_lanche_entre_refeicoes]]*Tabela2[[#This Row],[FAVC_consumo_frequente_de_alimentos_mt_caloricos]])</f>
        <v>1</v>
      </c>
      <c r="U566" s="1">
        <f>IF(OR(Tabela2[[#This Row],[MTRANS]]="Walking",Tabela2[[#This Row],[MTRANS]]="Bike"),Tabela2[[#This Row],[FAF_atividade_fisica_frequente_em_horas]]+1,M566)</f>
        <v>2</v>
      </c>
      <c r="V566">
        <f>(Tabela2[[#This Row],[SMOKE]]+Tabela2[[#This Row],[CALC_bebe_alcool_frequentemente]])</f>
        <v>0</v>
      </c>
      <c r="W566" s="8">
        <f>(Tabela2[[#This Row],[Weight]]/(Tabela2[[#This Row],[Height]] ^2))</f>
        <v>18.545503142543524</v>
      </c>
    </row>
    <row r="567" spans="1:23" x14ac:dyDescent="0.25">
      <c r="A567" t="s">
        <v>15</v>
      </c>
      <c r="B567" s="7">
        <v>17.120698999999998</v>
      </c>
      <c r="C567" s="4">
        <v>1.8092509999999999</v>
      </c>
      <c r="D567" s="7">
        <v>58.968994000000002</v>
      </c>
      <c r="E567">
        <v>1</v>
      </c>
      <c r="F567">
        <v>1</v>
      </c>
      <c r="G567" s="2">
        <v>2.5244279999999999</v>
      </c>
      <c r="H567" s="2">
        <v>4</v>
      </c>
      <c r="I567">
        <v>1</v>
      </c>
      <c r="J567">
        <v>0</v>
      </c>
      <c r="K567" s="2">
        <v>2</v>
      </c>
      <c r="L567">
        <v>0</v>
      </c>
      <c r="M567" s="7">
        <v>2</v>
      </c>
      <c r="N567" s="7">
        <v>3.8379999999999997E-2</v>
      </c>
      <c r="O567">
        <v>0</v>
      </c>
      <c r="P567" t="s">
        <v>17</v>
      </c>
      <c r="Q567">
        <v>0</v>
      </c>
      <c r="R567" s="8">
        <f>(Tabela2[[#This Row],[FAF_atividade_fisica_frequente_em_horas]]+ 0.1)</f>
        <v>2.1</v>
      </c>
      <c r="S567" s="1">
        <f>(Tabela2[[#This Row],[TUE_tempo_uso_aparelhos_em_horas]]/Tabela2[[#This Row],[FAF_Var]])</f>
        <v>1.8276190476190474E-2</v>
      </c>
      <c r="T567">
        <f>(Tabela2[[#This Row],[CAEC_lanche_entre_refeicoes]]*Tabela2[[#This Row],[FAVC_consumo_frequente_de_alimentos_mt_caloricos]])</f>
        <v>1</v>
      </c>
      <c r="U567" s="1">
        <f>IF(OR(Tabela2[[#This Row],[MTRANS]]="Walking",Tabela2[[#This Row],[MTRANS]]="Bike"),Tabela2[[#This Row],[FAF_atividade_fisica_frequente_em_horas]]+1,M567)</f>
        <v>2</v>
      </c>
      <c r="V567">
        <f>(Tabela2[[#This Row],[SMOKE]]+Tabela2[[#This Row],[CALC_bebe_alcool_frequentemente]])</f>
        <v>0</v>
      </c>
      <c r="W567" s="8">
        <f>(Tabela2[[#This Row],[Weight]]/(Tabela2[[#This Row],[Height]] ^2))</f>
        <v>18.014660261682458</v>
      </c>
    </row>
    <row r="568" spans="1:23" x14ac:dyDescent="0.25">
      <c r="A568" t="s">
        <v>15</v>
      </c>
      <c r="B568" s="7">
        <v>19.329542</v>
      </c>
      <c r="C568" s="4">
        <v>1.7673350000000001</v>
      </c>
      <c r="D568" s="7">
        <v>55.700496999999999</v>
      </c>
      <c r="E568">
        <v>1</v>
      </c>
      <c r="F568">
        <v>1</v>
      </c>
      <c r="G568" s="2">
        <v>2</v>
      </c>
      <c r="H568" s="2">
        <v>4</v>
      </c>
      <c r="I568">
        <v>1</v>
      </c>
      <c r="J568">
        <v>0</v>
      </c>
      <c r="K568" s="2">
        <v>2.1573950000000002</v>
      </c>
      <c r="L568">
        <v>0</v>
      </c>
      <c r="M568" s="7">
        <v>2</v>
      </c>
      <c r="N568" s="7">
        <v>1.679149</v>
      </c>
      <c r="O568">
        <v>0</v>
      </c>
      <c r="P568" t="s">
        <v>17</v>
      </c>
      <c r="Q568">
        <v>0</v>
      </c>
      <c r="R568" s="8">
        <f>(Tabela2[[#This Row],[FAF_atividade_fisica_frequente_em_horas]]+ 0.1)</f>
        <v>2.1</v>
      </c>
      <c r="S568" s="1">
        <f>(Tabela2[[#This Row],[TUE_tempo_uso_aparelhos_em_horas]]/Tabela2[[#This Row],[FAF_Var]])</f>
        <v>0.79959476190476186</v>
      </c>
      <c r="T568">
        <f>(Tabela2[[#This Row],[CAEC_lanche_entre_refeicoes]]*Tabela2[[#This Row],[FAVC_consumo_frequente_de_alimentos_mt_caloricos]])</f>
        <v>1</v>
      </c>
      <c r="U568" s="1">
        <f>IF(OR(Tabela2[[#This Row],[MTRANS]]="Walking",Tabela2[[#This Row],[MTRANS]]="Bike"),Tabela2[[#This Row],[FAF_atividade_fisica_frequente_em_horas]]+1,M568)</f>
        <v>2</v>
      </c>
      <c r="V568">
        <f>(Tabela2[[#This Row],[SMOKE]]+Tabela2[[#This Row],[CALC_bebe_alcool_frequentemente]])</f>
        <v>0</v>
      </c>
      <c r="W568" s="8">
        <f>(Tabela2[[#This Row],[Weight]]/(Tabela2[[#This Row],[Height]] ^2))</f>
        <v>17.832872882308202</v>
      </c>
    </row>
    <row r="569" spans="1:23" x14ac:dyDescent="0.25">
      <c r="A569" t="s">
        <v>13</v>
      </c>
      <c r="B569" s="7">
        <v>22.377998000000002</v>
      </c>
      <c r="C569" s="4">
        <v>1.699568</v>
      </c>
      <c r="D569" s="7">
        <v>54.987740000000002</v>
      </c>
      <c r="E569">
        <v>1</v>
      </c>
      <c r="F569">
        <v>1</v>
      </c>
      <c r="G569" s="2">
        <v>3</v>
      </c>
      <c r="H569" s="2">
        <v>3</v>
      </c>
      <c r="I569">
        <v>2</v>
      </c>
      <c r="J569">
        <v>0</v>
      </c>
      <c r="K569" s="2">
        <v>2</v>
      </c>
      <c r="L569">
        <v>0</v>
      </c>
      <c r="M569" s="7">
        <v>0.13980799999999999</v>
      </c>
      <c r="N569" s="7">
        <v>0.87546400000000002</v>
      </c>
      <c r="O569">
        <v>0</v>
      </c>
      <c r="P569" t="s">
        <v>14</v>
      </c>
      <c r="Q569">
        <v>0</v>
      </c>
      <c r="R569" s="8">
        <f>(Tabela2[[#This Row],[FAF_atividade_fisica_frequente_em_horas]]+ 0.1)</f>
        <v>0.23980799999999999</v>
      </c>
      <c r="S569" s="1">
        <f>(Tabela2[[#This Row],[TUE_tempo_uso_aparelhos_em_horas]]/Tabela2[[#This Row],[FAF_Var]])</f>
        <v>3.6506872164398185</v>
      </c>
      <c r="T569">
        <f>(Tabela2[[#This Row],[CAEC_lanche_entre_refeicoes]]*Tabela2[[#This Row],[FAVC_consumo_frequente_de_alimentos_mt_caloricos]])</f>
        <v>2</v>
      </c>
      <c r="U569" s="1">
        <f>IF(OR(Tabela2[[#This Row],[MTRANS]]="Walking",Tabela2[[#This Row],[MTRANS]]="Bike"),Tabela2[[#This Row],[FAF_atividade_fisica_frequente_em_horas]]+1,M569)</f>
        <v>0.13980799999999999</v>
      </c>
      <c r="V569">
        <f>(Tabela2[[#This Row],[SMOKE]]+Tabela2[[#This Row],[CALC_bebe_alcool_frequentemente]])</f>
        <v>0</v>
      </c>
      <c r="W569" s="8">
        <f>(Tabela2[[#This Row],[Weight]]/(Tabela2[[#This Row],[Height]] ^2))</f>
        <v>19.036573483200915</v>
      </c>
    </row>
    <row r="570" spans="1:23" x14ac:dyDescent="0.25">
      <c r="A570" t="s">
        <v>13</v>
      </c>
      <c r="B570" s="7">
        <v>20.954955000000002</v>
      </c>
      <c r="C570" s="4">
        <v>1.759358</v>
      </c>
      <c r="D570" s="7">
        <v>55.010449999999999</v>
      </c>
      <c r="E570">
        <v>1</v>
      </c>
      <c r="F570">
        <v>1</v>
      </c>
      <c r="G570" s="2">
        <v>2.9715739999999999</v>
      </c>
      <c r="H570" s="2">
        <v>3.5924149999999999</v>
      </c>
      <c r="I570">
        <v>2</v>
      </c>
      <c r="J570">
        <v>0</v>
      </c>
      <c r="K570" s="2">
        <v>2.8946779999999999</v>
      </c>
      <c r="L570">
        <v>0</v>
      </c>
      <c r="M570" s="7">
        <v>2</v>
      </c>
      <c r="N570" s="7">
        <v>1.0096320000000001</v>
      </c>
      <c r="O570">
        <v>0</v>
      </c>
      <c r="P570" t="s">
        <v>14</v>
      </c>
      <c r="Q570">
        <v>0</v>
      </c>
      <c r="R570" s="8">
        <f>(Tabela2[[#This Row],[FAF_atividade_fisica_frequente_em_horas]]+ 0.1)</f>
        <v>2.1</v>
      </c>
      <c r="S570" s="1">
        <f>(Tabela2[[#This Row],[TUE_tempo_uso_aparelhos_em_horas]]/Tabela2[[#This Row],[FAF_Var]])</f>
        <v>0.4807771428571429</v>
      </c>
      <c r="T570">
        <f>(Tabela2[[#This Row],[CAEC_lanche_entre_refeicoes]]*Tabela2[[#This Row],[FAVC_consumo_frequente_de_alimentos_mt_caloricos]])</f>
        <v>2</v>
      </c>
      <c r="U570" s="1">
        <f>IF(OR(Tabela2[[#This Row],[MTRANS]]="Walking",Tabela2[[#This Row],[MTRANS]]="Bike"),Tabela2[[#This Row],[FAF_atividade_fisica_frequente_em_horas]]+1,M570)</f>
        <v>2</v>
      </c>
      <c r="V570">
        <f>(Tabela2[[#This Row],[SMOKE]]+Tabela2[[#This Row],[CALC_bebe_alcool_frequentemente]])</f>
        <v>0</v>
      </c>
      <c r="W570" s="8">
        <f>(Tabela2[[#This Row],[Weight]]/(Tabela2[[#This Row],[Height]] ^2))</f>
        <v>17.77201852833317</v>
      </c>
    </row>
    <row r="571" spans="1:23" x14ac:dyDescent="0.25">
      <c r="A571" t="s">
        <v>13</v>
      </c>
      <c r="B571" s="7">
        <v>22.991668000000001</v>
      </c>
      <c r="C571" s="4">
        <v>1.7402949999999999</v>
      </c>
      <c r="D571" s="7">
        <v>54.166452999999997</v>
      </c>
      <c r="E571">
        <v>1</v>
      </c>
      <c r="F571">
        <v>1</v>
      </c>
      <c r="G571" s="2">
        <v>3</v>
      </c>
      <c r="H571" s="2">
        <v>3</v>
      </c>
      <c r="I571">
        <v>2</v>
      </c>
      <c r="J571">
        <v>0</v>
      </c>
      <c r="K571" s="2">
        <v>2.0252789999999998</v>
      </c>
      <c r="L571">
        <v>0</v>
      </c>
      <c r="M571" s="7">
        <v>2</v>
      </c>
      <c r="N571" s="7">
        <v>0.15298500000000001</v>
      </c>
      <c r="O571">
        <v>0</v>
      </c>
      <c r="P571" t="s">
        <v>14</v>
      </c>
      <c r="Q571">
        <v>0</v>
      </c>
      <c r="R571" s="8">
        <f>(Tabela2[[#This Row],[FAF_atividade_fisica_frequente_em_horas]]+ 0.1)</f>
        <v>2.1</v>
      </c>
      <c r="S571" s="1">
        <f>(Tabela2[[#This Row],[TUE_tempo_uso_aparelhos_em_horas]]/Tabela2[[#This Row],[FAF_Var]])</f>
        <v>7.2849999999999998E-2</v>
      </c>
      <c r="T571">
        <f>(Tabela2[[#This Row],[CAEC_lanche_entre_refeicoes]]*Tabela2[[#This Row],[FAVC_consumo_frequente_de_alimentos_mt_caloricos]])</f>
        <v>2</v>
      </c>
      <c r="U571" s="1">
        <f>IF(OR(Tabela2[[#This Row],[MTRANS]]="Walking",Tabela2[[#This Row],[MTRANS]]="Bike"),Tabela2[[#This Row],[FAF_atividade_fisica_frequente_em_horas]]+1,M571)</f>
        <v>2</v>
      </c>
      <c r="V571">
        <f>(Tabela2[[#This Row],[SMOKE]]+Tabela2[[#This Row],[CALC_bebe_alcool_frequentemente]])</f>
        <v>0</v>
      </c>
      <c r="W571" s="8">
        <f>(Tabela2[[#This Row],[Weight]]/(Tabela2[[#This Row],[Height]] ^2))</f>
        <v>17.884823254069438</v>
      </c>
    </row>
    <row r="572" spans="1:23" x14ac:dyDescent="0.25">
      <c r="A572" t="s">
        <v>13</v>
      </c>
      <c r="B572" s="7">
        <v>19.300435</v>
      </c>
      <c r="C572" s="4">
        <v>1.7393540000000001</v>
      </c>
      <c r="D572" s="7">
        <v>49.649613000000002</v>
      </c>
      <c r="E572">
        <v>0</v>
      </c>
      <c r="F572">
        <v>1</v>
      </c>
      <c r="G572" s="2">
        <v>3</v>
      </c>
      <c r="H572" s="2">
        <v>3.7545989999999998</v>
      </c>
      <c r="I572">
        <v>1</v>
      </c>
      <c r="J572">
        <v>0</v>
      </c>
      <c r="K572" s="2">
        <v>1.6921120000000001</v>
      </c>
      <c r="L572">
        <v>0</v>
      </c>
      <c r="M572" s="7">
        <v>2</v>
      </c>
      <c r="N572" s="7">
        <v>1</v>
      </c>
      <c r="O572">
        <v>1</v>
      </c>
      <c r="P572" t="s">
        <v>14</v>
      </c>
      <c r="Q572">
        <v>0</v>
      </c>
      <c r="R572" s="8">
        <f>(Tabela2[[#This Row],[FAF_atividade_fisica_frequente_em_horas]]+ 0.1)</f>
        <v>2.1</v>
      </c>
      <c r="S572" s="1">
        <f>(Tabela2[[#This Row],[TUE_tempo_uso_aparelhos_em_horas]]/Tabela2[[#This Row],[FAF_Var]])</f>
        <v>0.47619047619047616</v>
      </c>
      <c r="T572">
        <f>(Tabela2[[#This Row],[CAEC_lanche_entre_refeicoes]]*Tabela2[[#This Row],[FAVC_consumo_frequente_de_alimentos_mt_caloricos]])</f>
        <v>1</v>
      </c>
      <c r="U572" s="1">
        <f>IF(OR(Tabela2[[#This Row],[MTRANS]]="Walking",Tabela2[[#This Row],[MTRANS]]="Bike"),Tabela2[[#This Row],[FAF_atividade_fisica_frequente_em_horas]]+1,M572)</f>
        <v>2</v>
      </c>
      <c r="V572">
        <f>(Tabela2[[#This Row],[SMOKE]]+Tabela2[[#This Row],[CALC_bebe_alcool_frequentemente]])</f>
        <v>1</v>
      </c>
      <c r="W572" s="8">
        <f>(Tabela2[[#This Row],[Weight]]/(Tabela2[[#This Row],[Height]] ^2))</f>
        <v>16.411183711596255</v>
      </c>
    </row>
    <row r="573" spans="1:23" x14ac:dyDescent="0.25">
      <c r="A573" t="s">
        <v>13</v>
      </c>
      <c r="B573" s="7">
        <v>17.065445</v>
      </c>
      <c r="C573" s="4">
        <v>1.6478109999999999</v>
      </c>
      <c r="D573" s="7">
        <v>49.603807000000003</v>
      </c>
      <c r="E573">
        <v>0</v>
      </c>
      <c r="F573">
        <v>1</v>
      </c>
      <c r="G573" s="2">
        <v>3</v>
      </c>
      <c r="H573" s="2">
        <v>3.5660820000000002</v>
      </c>
      <c r="I573">
        <v>1</v>
      </c>
      <c r="J573">
        <v>0</v>
      </c>
      <c r="K573" s="2">
        <v>1.4383980000000001</v>
      </c>
      <c r="L573">
        <v>0</v>
      </c>
      <c r="M573" s="7">
        <v>2</v>
      </c>
      <c r="N573" s="7">
        <v>1</v>
      </c>
      <c r="O573">
        <v>1</v>
      </c>
      <c r="P573" t="s">
        <v>14</v>
      </c>
      <c r="Q573">
        <v>0</v>
      </c>
      <c r="R573" s="8">
        <f>(Tabela2[[#This Row],[FAF_atividade_fisica_frequente_em_horas]]+ 0.1)</f>
        <v>2.1</v>
      </c>
      <c r="S573" s="1">
        <f>(Tabela2[[#This Row],[TUE_tempo_uso_aparelhos_em_horas]]/Tabela2[[#This Row],[FAF_Var]])</f>
        <v>0.47619047619047616</v>
      </c>
      <c r="T573">
        <f>(Tabela2[[#This Row],[CAEC_lanche_entre_refeicoes]]*Tabela2[[#This Row],[FAVC_consumo_frequente_de_alimentos_mt_caloricos]])</f>
        <v>1</v>
      </c>
      <c r="U573" s="1">
        <f>IF(OR(Tabela2[[#This Row],[MTRANS]]="Walking",Tabela2[[#This Row],[MTRANS]]="Bike"),Tabela2[[#This Row],[FAF_atividade_fisica_frequente_em_horas]]+1,M573)</f>
        <v>2</v>
      </c>
      <c r="V573">
        <f>(Tabela2[[#This Row],[SMOKE]]+Tabela2[[#This Row],[CALC_bebe_alcool_frequentemente]])</f>
        <v>1</v>
      </c>
      <c r="W573" s="8">
        <f>(Tabela2[[#This Row],[Weight]]/(Tabela2[[#This Row],[Height]] ^2))</f>
        <v>18.268387442922204</v>
      </c>
    </row>
    <row r="574" spans="1:23" x14ac:dyDescent="0.25">
      <c r="A574" t="s">
        <v>13</v>
      </c>
      <c r="B574" s="7">
        <v>19.084966999999999</v>
      </c>
      <c r="C574" s="4">
        <v>1.768435</v>
      </c>
      <c r="D574" s="7">
        <v>49.597765000000003</v>
      </c>
      <c r="E574">
        <v>0</v>
      </c>
      <c r="F574">
        <v>1</v>
      </c>
      <c r="G574" s="2">
        <v>3</v>
      </c>
      <c r="H574" s="2">
        <v>3.725797</v>
      </c>
      <c r="I574">
        <v>1</v>
      </c>
      <c r="J574">
        <v>0</v>
      </c>
      <c r="K574" s="2">
        <v>1.1914009999999999</v>
      </c>
      <c r="L574">
        <v>0</v>
      </c>
      <c r="M574" s="7">
        <v>2</v>
      </c>
      <c r="N574" s="7">
        <v>1</v>
      </c>
      <c r="O574">
        <v>1</v>
      </c>
      <c r="P574" t="s">
        <v>14</v>
      </c>
      <c r="Q574">
        <v>0</v>
      </c>
      <c r="R574" s="8">
        <f>(Tabela2[[#This Row],[FAF_atividade_fisica_frequente_em_horas]]+ 0.1)</f>
        <v>2.1</v>
      </c>
      <c r="S574" s="1">
        <f>(Tabela2[[#This Row],[TUE_tempo_uso_aparelhos_em_horas]]/Tabela2[[#This Row],[FAF_Var]])</f>
        <v>0.47619047619047616</v>
      </c>
      <c r="T574">
        <f>(Tabela2[[#This Row],[CAEC_lanche_entre_refeicoes]]*Tabela2[[#This Row],[FAVC_consumo_frequente_de_alimentos_mt_caloricos]])</f>
        <v>1</v>
      </c>
      <c r="U574" s="1">
        <f>IF(OR(Tabela2[[#This Row],[MTRANS]]="Walking",Tabela2[[#This Row],[MTRANS]]="Bike"),Tabela2[[#This Row],[FAF_atividade_fisica_frequente_em_horas]]+1,M574)</f>
        <v>2</v>
      </c>
      <c r="V574">
        <f>(Tabela2[[#This Row],[SMOKE]]+Tabela2[[#This Row],[CALC_bebe_alcool_frequentemente]])</f>
        <v>1</v>
      </c>
      <c r="W574" s="8">
        <f>(Tabela2[[#This Row],[Weight]]/(Tabela2[[#This Row],[Height]] ^2))</f>
        <v>15.8592959374506</v>
      </c>
    </row>
    <row r="575" spans="1:23" x14ac:dyDescent="0.25">
      <c r="A575" t="s">
        <v>13</v>
      </c>
      <c r="B575" s="7">
        <v>18.024853</v>
      </c>
      <c r="C575" s="4">
        <v>1.7</v>
      </c>
      <c r="D575" s="7">
        <v>50</v>
      </c>
      <c r="E575">
        <v>0</v>
      </c>
      <c r="F575">
        <v>1</v>
      </c>
      <c r="G575" s="2">
        <v>1.0815999999999999</v>
      </c>
      <c r="H575" s="2">
        <v>3.5205549999999999</v>
      </c>
      <c r="I575">
        <v>2</v>
      </c>
      <c r="J575">
        <v>0</v>
      </c>
      <c r="K575" s="2">
        <v>1.0169680000000001</v>
      </c>
      <c r="L575">
        <v>0</v>
      </c>
      <c r="M575" s="7">
        <v>0.65141199999999999</v>
      </c>
      <c r="N575" s="7">
        <v>1</v>
      </c>
      <c r="O575">
        <v>1</v>
      </c>
      <c r="P575" t="s">
        <v>14</v>
      </c>
      <c r="Q575">
        <v>0</v>
      </c>
      <c r="R575" s="8">
        <f>(Tabela2[[#This Row],[FAF_atividade_fisica_frequente_em_horas]]+ 0.1)</f>
        <v>0.75141199999999997</v>
      </c>
      <c r="S575" s="1">
        <f>(Tabela2[[#This Row],[TUE_tempo_uso_aparelhos_em_horas]]/Tabela2[[#This Row],[FAF_Var]])</f>
        <v>1.3308278281422177</v>
      </c>
      <c r="T575">
        <f>(Tabela2[[#This Row],[CAEC_lanche_entre_refeicoes]]*Tabela2[[#This Row],[FAVC_consumo_frequente_de_alimentos_mt_caloricos]])</f>
        <v>2</v>
      </c>
      <c r="U575" s="1">
        <f>IF(OR(Tabela2[[#This Row],[MTRANS]]="Walking",Tabela2[[#This Row],[MTRANS]]="Bike"),Tabela2[[#This Row],[FAF_atividade_fisica_frequente_em_horas]]+1,M575)</f>
        <v>0.65141199999999999</v>
      </c>
      <c r="V575">
        <f>(Tabela2[[#This Row],[SMOKE]]+Tabela2[[#This Row],[CALC_bebe_alcool_frequentemente]])</f>
        <v>1</v>
      </c>
      <c r="W575" s="8">
        <f>(Tabela2[[#This Row],[Weight]]/(Tabela2[[#This Row],[Height]] ^2))</f>
        <v>17.301038062283737</v>
      </c>
    </row>
    <row r="576" spans="1:23" x14ac:dyDescent="0.25">
      <c r="A576" t="s">
        <v>13</v>
      </c>
      <c r="B576" s="7">
        <v>19.833682</v>
      </c>
      <c r="C576" s="4">
        <v>1.6994640000000001</v>
      </c>
      <c r="D576" s="7">
        <v>49.676045999999999</v>
      </c>
      <c r="E576">
        <v>0</v>
      </c>
      <c r="F576">
        <v>1</v>
      </c>
      <c r="G576" s="2">
        <v>1.270448</v>
      </c>
      <c r="H576" s="2">
        <v>3.7312120000000002</v>
      </c>
      <c r="I576">
        <v>2</v>
      </c>
      <c r="J576">
        <v>0</v>
      </c>
      <c r="K576" s="2">
        <v>1.8769149999999999</v>
      </c>
      <c r="L576">
        <v>0</v>
      </c>
      <c r="M576" s="7">
        <v>2</v>
      </c>
      <c r="N576" s="7">
        <v>1</v>
      </c>
      <c r="O576">
        <v>1</v>
      </c>
      <c r="P576" t="s">
        <v>14</v>
      </c>
      <c r="Q576">
        <v>0</v>
      </c>
      <c r="R576" s="8">
        <f>(Tabela2[[#This Row],[FAF_atividade_fisica_frequente_em_horas]]+ 0.1)</f>
        <v>2.1</v>
      </c>
      <c r="S576" s="1">
        <f>(Tabela2[[#This Row],[TUE_tempo_uso_aparelhos_em_horas]]/Tabela2[[#This Row],[FAF_Var]])</f>
        <v>0.47619047619047616</v>
      </c>
      <c r="T576">
        <f>(Tabela2[[#This Row],[CAEC_lanche_entre_refeicoes]]*Tabela2[[#This Row],[FAVC_consumo_frequente_de_alimentos_mt_caloricos]])</f>
        <v>2</v>
      </c>
      <c r="U576" s="1">
        <f>IF(OR(Tabela2[[#This Row],[MTRANS]]="Walking",Tabela2[[#This Row],[MTRANS]]="Bike"),Tabela2[[#This Row],[FAF_atividade_fisica_frequente_em_horas]]+1,M576)</f>
        <v>2</v>
      </c>
      <c r="V576">
        <f>(Tabela2[[#This Row],[SMOKE]]+Tabela2[[#This Row],[CALC_bebe_alcool_frequentemente]])</f>
        <v>1</v>
      </c>
      <c r="W576" s="8">
        <f>(Tabela2[[#This Row],[Weight]]/(Tabela2[[#This Row],[Height]] ^2))</f>
        <v>17.199787526421449</v>
      </c>
    </row>
    <row r="577" spans="1:23" x14ac:dyDescent="0.25">
      <c r="A577" t="s">
        <v>13</v>
      </c>
      <c r="B577" s="7">
        <v>17.767431999999999</v>
      </c>
      <c r="C577" s="4">
        <v>1.74379</v>
      </c>
      <c r="D577" s="7">
        <v>50</v>
      </c>
      <c r="E577">
        <v>0</v>
      </c>
      <c r="F577">
        <v>1</v>
      </c>
      <c r="G577" s="2">
        <v>1.344854</v>
      </c>
      <c r="H577" s="2">
        <v>4</v>
      </c>
      <c r="I577">
        <v>2</v>
      </c>
      <c r="J577">
        <v>0</v>
      </c>
      <c r="K577" s="2">
        <v>1</v>
      </c>
      <c r="L577">
        <v>0</v>
      </c>
      <c r="M577" s="7">
        <v>2</v>
      </c>
      <c r="N577" s="7">
        <v>1</v>
      </c>
      <c r="O577">
        <v>1</v>
      </c>
      <c r="P577" t="s">
        <v>14</v>
      </c>
      <c r="Q577">
        <v>0</v>
      </c>
      <c r="R577" s="8">
        <f>(Tabela2[[#This Row],[FAF_atividade_fisica_frequente_em_horas]]+ 0.1)</f>
        <v>2.1</v>
      </c>
      <c r="S577" s="1">
        <f>(Tabela2[[#This Row],[TUE_tempo_uso_aparelhos_em_horas]]/Tabela2[[#This Row],[FAF_Var]])</f>
        <v>0.47619047619047616</v>
      </c>
      <c r="T577">
        <f>(Tabela2[[#This Row],[CAEC_lanche_entre_refeicoes]]*Tabela2[[#This Row],[FAVC_consumo_frequente_de_alimentos_mt_caloricos]])</f>
        <v>2</v>
      </c>
      <c r="U577" s="1">
        <f>IF(OR(Tabela2[[#This Row],[MTRANS]]="Walking",Tabela2[[#This Row],[MTRANS]]="Bike"),Tabela2[[#This Row],[FAF_atividade_fisica_frequente_em_horas]]+1,M577)</f>
        <v>2</v>
      </c>
      <c r="V577">
        <f>(Tabela2[[#This Row],[SMOKE]]+Tabela2[[#This Row],[CALC_bebe_alcool_frequentemente]])</f>
        <v>1</v>
      </c>
      <c r="W577" s="8">
        <f>(Tabela2[[#This Row],[Weight]]/(Tabela2[[#This Row],[Height]] ^2))</f>
        <v>16.44302203217087</v>
      </c>
    </row>
    <row r="578" spans="1:23" x14ac:dyDescent="0.25">
      <c r="A578" t="s">
        <v>13</v>
      </c>
      <c r="B578" s="7">
        <v>19.504695999999999</v>
      </c>
      <c r="C578" s="4">
        <v>1.590317</v>
      </c>
      <c r="D578" s="7">
        <v>42.367615000000001</v>
      </c>
      <c r="E578">
        <v>0</v>
      </c>
      <c r="F578">
        <v>0</v>
      </c>
      <c r="G578" s="2">
        <v>2.9596580000000001</v>
      </c>
      <c r="H578" s="2">
        <v>3</v>
      </c>
      <c r="I578">
        <v>2</v>
      </c>
      <c r="J578">
        <v>0</v>
      </c>
      <c r="K578" s="2">
        <v>1</v>
      </c>
      <c r="L578">
        <v>0</v>
      </c>
      <c r="M578" s="7">
        <v>1.5223990000000001</v>
      </c>
      <c r="N578" s="7">
        <v>0</v>
      </c>
      <c r="O578">
        <v>1</v>
      </c>
      <c r="P578" t="s">
        <v>14</v>
      </c>
      <c r="Q578">
        <v>0</v>
      </c>
      <c r="R578" s="8">
        <f>(Tabela2[[#This Row],[FAF_atividade_fisica_frequente_em_horas]]+ 0.1)</f>
        <v>1.6223990000000001</v>
      </c>
      <c r="S578" s="1">
        <f>(Tabela2[[#This Row],[TUE_tempo_uso_aparelhos_em_horas]]/Tabela2[[#This Row],[FAF_Var]])</f>
        <v>0</v>
      </c>
      <c r="T578">
        <f>(Tabela2[[#This Row],[CAEC_lanche_entre_refeicoes]]*Tabela2[[#This Row],[FAVC_consumo_frequente_de_alimentos_mt_caloricos]])</f>
        <v>0</v>
      </c>
      <c r="U578" s="1">
        <f>IF(OR(Tabela2[[#This Row],[MTRANS]]="Walking",Tabela2[[#This Row],[MTRANS]]="Bike"),Tabela2[[#This Row],[FAF_atividade_fisica_frequente_em_horas]]+1,M578)</f>
        <v>1.5223990000000001</v>
      </c>
      <c r="V578">
        <f>(Tabela2[[#This Row],[SMOKE]]+Tabela2[[#This Row],[CALC_bebe_alcool_frequentemente]])</f>
        <v>1</v>
      </c>
      <c r="W578" s="8">
        <f>(Tabela2[[#This Row],[Weight]]/(Tabela2[[#This Row],[Height]] ^2))</f>
        <v>16.751998060774227</v>
      </c>
    </row>
    <row r="579" spans="1:23" x14ac:dyDescent="0.25">
      <c r="A579" t="s">
        <v>13</v>
      </c>
      <c r="B579" s="7">
        <v>19.950604999999999</v>
      </c>
      <c r="C579" s="4">
        <v>1.5271330000000001</v>
      </c>
      <c r="D579" s="7">
        <v>42</v>
      </c>
      <c r="E579">
        <v>0</v>
      </c>
      <c r="F579">
        <v>0</v>
      </c>
      <c r="G579" s="2">
        <v>2.725282</v>
      </c>
      <c r="H579" s="2">
        <v>1.259803</v>
      </c>
      <c r="I579">
        <v>2</v>
      </c>
      <c r="J579">
        <v>0</v>
      </c>
      <c r="K579" s="2">
        <v>1</v>
      </c>
      <c r="L579">
        <v>0</v>
      </c>
      <c r="M579" s="7">
        <v>1.3746700000000001</v>
      </c>
      <c r="N579" s="7">
        <v>0</v>
      </c>
      <c r="O579">
        <v>1</v>
      </c>
      <c r="P579" t="s">
        <v>14</v>
      </c>
      <c r="Q579">
        <v>0</v>
      </c>
      <c r="R579" s="8">
        <f>(Tabela2[[#This Row],[FAF_atividade_fisica_frequente_em_horas]]+ 0.1)</f>
        <v>1.4746700000000001</v>
      </c>
      <c r="S579" s="1">
        <f>(Tabela2[[#This Row],[TUE_tempo_uso_aparelhos_em_horas]]/Tabela2[[#This Row],[FAF_Var]])</f>
        <v>0</v>
      </c>
      <c r="T579">
        <f>(Tabela2[[#This Row],[CAEC_lanche_entre_refeicoes]]*Tabela2[[#This Row],[FAVC_consumo_frequente_de_alimentos_mt_caloricos]])</f>
        <v>0</v>
      </c>
      <c r="U579" s="1">
        <f>IF(OR(Tabela2[[#This Row],[MTRANS]]="Walking",Tabela2[[#This Row],[MTRANS]]="Bike"),Tabela2[[#This Row],[FAF_atividade_fisica_frequente_em_horas]]+1,M579)</f>
        <v>1.3746700000000001</v>
      </c>
      <c r="V579">
        <f>(Tabela2[[#This Row],[SMOKE]]+Tabela2[[#This Row],[CALC_bebe_alcool_frequentemente]])</f>
        <v>1</v>
      </c>
      <c r="W579" s="8">
        <f>(Tabela2[[#This Row],[Weight]]/(Tabela2[[#This Row],[Height]] ^2))</f>
        <v>18.009247493713431</v>
      </c>
    </row>
    <row r="580" spans="1:23" x14ac:dyDescent="0.25">
      <c r="A580" t="s">
        <v>13</v>
      </c>
      <c r="B580" s="7">
        <v>19</v>
      </c>
      <c r="C580" s="4">
        <v>1.530875</v>
      </c>
      <c r="D580" s="7">
        <v>42</v>
      </c>
      <c r="E580">
        <v>0</v>
      </c>
      <c r="F580">
        <v>0</v>
      </c>
      <c r="G580" s="2">
        <v>2.8446069999999999</v>
      </c>
      <c r="H580" s="2">
        <v>1.273128</v>
      </c>
      <c r="I580">
        <v>2</v>
      </c>
      <c r="J580">
        <v>0</v>
      </c>
      <c r="K580" s="2">
        <v>1.6955100000000001</v>
      </c>
      <c r="L580">
        <v>0</v>
      </c>
      <c r="M580" s="7">
        <v>0.260079</v>
      </c>
      <c r="N580" s="7">
        <v>0.63586699999999996</v>
      </c>
      <c r="O580">
        <v>1</v>
      </c>
      <c r="P580" t="s">
        <v>14</v>
      </c>
      <c r="Q580">
        <v>0</v>
      </c>
      <c r="R580" s="8">
        <f>(Tabela2[[#This Row],[FAF_atividade_fisica_frequente_em_horas]]+ 0.1)</f>
        <v>0.36007900000000004</v>
      </c>
      <c r="S580" s="1">
        <f>(Tabela2[[#This Row],[TUE_tempo_uso_aparelhos_em_horas]]/Tabela2[[#This Row],[FAF_Var]])</f>
        <v>1.7659097031484754</v>
      </c>
      <c r="T580">
        <f>(Tabela2[[#This Row],[CAEC_lanche_entre_refeicoes]]*Tabela2[[#This Row],[FAVC_consumo_frequente_de_alimentos_mt_caloricos]])</f>
        <v>0</v>
      </c>
      <c r="U580" s="1">
        <f>IF(OR(Tabela2[[#This Row],[MTRANS]]="Walking",Tabela2[[#This Row],[MTRANS]]="Bike"),Tabela2[[#This Row],[FAF_atividade_fisica_frequente_em_horas]]+1,M580)</f>
        <v>0.260079</v>
      </c>
      <c r="V580">
        <f>(Tabela2[[#This Row],[SMOKE]]+Tabela2[[#This Row],[CALC_bebe_alcool_frequentemente]])</f>
        <v>1</v>
      </c>
      <c r="W580" s="8">
        <f>(Tabela2[[#This Row],[Weight]]/(Tabela2[[#This Row],[Height]] ^2))</f>
        <v>17.921313154352529</v>
      </c>
    </row>
    <row r="581" spans="1:23" x14ac:dyDescent="0.25">
      <c r="A581" t="s">
        <v>15</v>
      </c>
      <c r="B581" s="7">
        <v>17</v>
      </c>
      <c r="C581" s="4">
        <v>1.8482940000000001</v>
      </c>
      <c r="D581" s="7">
        <v>59.409018000000003</v>
      </c>
      <c r="E581">
        <v>1</v>
      </c>
      <c r="F581">
        <v>1</v>
      </c>
      <c r="G581" s="2">
        <v>2.4400400000000002</v>
      </c>
      <c r="H581" s="2">
        <v>3</v>
      </c>
      <c r="I581">
        <v>1</v>
      </c>
      <c r="J581">
        <v>0</v>
      </c>
      <c r="K581" s="2">
        <v>2</v>
      </c>
      <c r="L581">
        <v>0</v>
      </c>
      <c r="M581" s="7">
        <v>2.7844709999999999</v>
      </c>
      <c r="N581" s="7">
        <v>1</v>
      </c>
      <c r="O581">
        <v>0</v>
      </c>
      <c r="P581" t="s">
        <v>17</v>
      </c>
      <c r="Q581">
        <v>0</v>
      </c>
      <c r="R581" s="8">
        <f>(Tabela2[[#This Row],[FAF_atividade_fisica_frequente_em_horas]]+ 0.1)</f>
        <v>2.884471</v>
      </c>
      <c r="S581" s="1">
        <f>(Tabela2[[#This Row],[TUE_tempo_uso_aparelhos_em_horas]]/Tabela2[[#This Row],[FAF_Var]])</f>
        <v>0.34668401935744891</v>
      </c>
      <c r="T581">
        <f>(Tabela2[[#This Row],[CAEC_lanche_entre_refeicoes]]*Tabela2[[#This Row],[FAVC_consumo_frequente_de_alimentos_mt_caloricos]])</f>
        <v>1</v>
      </c>
      <c r="U581" s="1">
        <f>IF(OR(Tabela2[[#This Row],[MTRANS]]="Walking",Tabela2[[#This Row],[MTRANS]]="Bike"),Tabela2[[#This Row],[FAF_atividade_fisica_frequente_em_horas]]+1,M581)</f>
        <v>2.7844709999999999</v>
      </c>
      <c r="V581">
        <f>(Tabela2[[#This Row],[SMOKE]]+Tabela2[[#This Row],[CALC_bebe_alcool_frequentemente]])</f>
        <v>0</v>
      </c>
      <c r="W581" s="8">
        <f>(Tabela2[[#This Row],[Weight]]/(Tabela2[[#This Row],[Height]] ^2))</f>
        <v>17.390427829018297</v>
      </c>
    </row>
    <row r="582" spans="1:23" x14ac:dyDescent="0.25">
      <c r="A582" t="s">
        <v>15</v>
      </c>
      <c r="B582" s="7">
        <v>17</v>
      </c>
      <c r="C582" s="4">
        <v>1.824414</v>
      </c>
      <c r="D582" s="7">
        <v>59.295172000000001</v>
      </c>
      <c r="E582">
        <v>1</v>
      </c>
      <c r="F582">
        <v>1</v>
      </c>
      <c r="G582" s="2">
        <v>2.432302</v>
      </c>
      <c r="H582" s="2">
        <v>3</v>
      </c>
      <c r="I582">
        <v>1</v>
      </c>
      <c r="J582">
        <v>0</v>
      </c>
      <c r="K582" s="2">
        <v>2</v>
      </c>
      <c r="L582">
        <v>0</v>
      </c>
      <c r="M582" s="7">
        <v>2.3494950000000001</v>
      </c>
      <c r="N582" s="7">
        <v>1</v>
      </c>
      <c r="O582">
        <v>0</v>
      </c>
      <c r="P582" t="s">
        <v>17</v>
      </c>
      <c r="Q582">
        <v>0</v>
      </c>
      <c r="R582" s="8">
        <f>(Tabela2[[#This Row],[FAF_atividade_fisica_frequente_em_horas]]+ 0.1)</f>
        <v>2.4494950000000002</v>
      </c>
      <c r="S582" s="1">
        <f>(Tabela2[[#This Row],[TUE_tempo_uso_aparelhos_em_horas]]/Tabela2[[#This Row],[FAF_Var]])</f>
        <v>0.40824741426293987</v>
      </c>
      <c r="T582">
        <f>(Tabela2[[#This Row],[CAEC_lanche_entre_refeicoes]]*Tabela2[[#This Row],[FAVC_consumo_frequente_de_alimentos_mt_caloricos]])</f>
        <v>1</v>
      </c>
      <c r="U582" s="1">
        <f>IF(OR(Tabela2[[#This Row],[MTRANS]]="Walking",Tabela2[[#This Row],[MTRANS]]="Bike"),Tabela2[[#This Row],[FAF_atividade_fisica_frequente_em_horas]]+1,M582)</f>
        <v>2.3494950000000001</v>
      </c>
      <c r="V582">
        <f>(Tabela2[[#This Row],[SMOKE]]+Tabela2[[#This Row],[CALC_bebe_alcool_frequentemente]])</f>
        <v>0</v>
      </c>
      <c r="W582" s="8">
        <f>(Tabela2[[#This Row],[Weight]]/(Tabela2[[#This Row],[Height]] ^2))</f>
        <v>17.814455010819305</v>
      </c>
    </row>
    <row r="583" spans="1:23" x14ac:dyDescent="0.25">
      <c r="A583" t="s">
        <v>15</v>
      </c>
      <c r="B583" s="7">
        <v>18.525524999999998</v>
      </c>
      <c r="C583" s="4">
        <v>1.856633</v>
      </c>
      <c r="D583" s="7">
        <v>59.258372000000001</v>
      </c>
      <c r="E583">
        <v>1</v>
      </c>
      <c r="F583">
        <v>1</v>
      </c>
      <c r="G583" s="2">
        <v>2.592247</v>
      </c>
      <c r="H583" s="2">
        <v>3.3041230000000001</v>
      </c>
      <c r="I583">
        <v>1</v>
      </c>
      <c r="J583">
        <v>0</v>
      </c>
      <c r="K583" s="2">
        <v>2.0367639999999998</v>
      </c>
      <c r="L583">
        <v>0</v>
      </c>
      <c r="M583" s="7">
        <v>2.038653</v>
      </c>
      <c r="N583" s="7">
        <v>1.119877</v>
      </c>
      <c r="O583">
        <v>0</v>
      </c>
      <c r="P583" t="s">
        <v>17</v>
      </c>
      <c r="Q583">
        <v>0</v>
      </c>
      <c r="R583" s="8">
        <f>(Tabela2[[#This Row],[FAF_atividade_fisica_frequente_em_horas]]+ 0.1)</f>
        <v>2.1386530000000001</v>
      </c>
      <c r="S583" s="1">
        <f>(Tabela2[[#This Row],[TUE_tempo_uso_aparelhos_em_horas]]/Tabela2[[#This Row],[FAF_Var]])</f>
        <v>0.52363660678006196</v>
      </c>
      <c r="T583">
        <f>(Tabela2[[#This Row],[CAEC_lanche_entre_refeicoes]]*Tabela2[[#This Row],[FAVC_consumo_frequente_de_alimentos_mt_caloricos]])</f>
        <v>1</v>
      </c>
      <c r="U583" s="1">
        <f>IF(OR(Tabela2[[#This Row],[MTRANS]]="Walking",Tabela2[[#This Row],[MTRANS]]="Bike"),Tabela2[[#This Row],[FAF_atividade_fisica_frequente_em_horas]]+1,M583)</f>
        <v>2.038653</v>
      </c>
      <c r="V583">
        <f>(Tabela2[[#This Row],[SMOKE]]+Tabela2[[#This Row],[CALC_bebe_alcool_frequentemente]])</f>
        <v>0</v>
      </c>
      <c r="W583" s="8">
        <f>(Tabela2[[#This Row],[Weight]]/(Tabela2[[#This Row],[Height]] ^2))</f>
        <v>17.190859275873304</v>
      </c>
    </row>
    <row r="584" spans="1:23" x14ac:dyDescent="0.25">
      <c r="A584" t="s">
        <v>13</v>
      </c>
      <c r="B584" s="7">
        <v>22.926352000000001</v>
      </c>
      <c r="C584" s="4">
        <v>1.715597</v>
      </c>
      <c r="D584" s="7">
        <v>50</v>
      </c>
      <c r="E584">
        <v>1</v>
      </c>
      <c r="F584">
        <v>1</v>
      </c>
      <c r="G584" s="2">
        <v>2.4492669999999999</v>
      </c>
      <c r="H584" s="2">
        <v>3.647154</v>
      </c>
      <c r="I584">
        <v>2</v>
      </c>
      <c r="J584">
        <v>0</v>
      </c>
      <c r="K584" s="2">
        <v>1.2660180000000001</v>
      </c>
      <c r="L584">
        <v>0</v>
      </c>
      <c r="M584" s="7">
        <v>0.86604499999999995</v>
      </c>
      <c r="N584" s="7">
        <v>9.7234000000000001E-2</v>
      </c>
      <c r="O584">
        <v>0</v>
      </c>
      <c r="P584" t="s">
        <v>14</v>
      </c>
      <c r="Q584">
        <v>0</v>
      </c>
      <c r="R584" s="8">
        <f>(Tabela2[[#This Row],[FAF_atividade_fisica_frequente_em_horas]]+ 0.1)</f>
        <v>0.96604499999999993</v>
      </c>
      <c r="S584" s="1">
        <f>(Tabela2[[#This Row],[TUE_tempo_uso_aparelhos_em_horas]]/Tabela2[[#This Row],[FAF_Var]])</f>
        <v>0.10065162595945325</v>
      </c>
      <c r="T584">
        <f>(Tabela2[[#This Row],[CAEC_lanche_entre_refeicoes]]*Tabela2[[#This Row],[FAVC_consumo_frequente_de_alimentos_mt_caloricos]])</f>
        <v>2</v>
      </c>
      <c r="U584" s="1">
        <f>IF(OR(Tabela2[[#This Row],[MTRANS]]="Walking",Tabela2[[#This Row],[MTRANS]]="Bike"),Tabela2[[#This Row],[FAF_atividade_fisica_frequente_em_horas]]+1,M584)</f>
        <v>0.86604499999999995</v>
      </c>
      <c r="V584">
        <f>(Tabela2[[#This Row],[SMOKE]]+Tabela2[[#This Row],[CALC_bebe_alcool_frequentemente]])</f>
        <v>0</v>
      </c>
      <c r="W584" s="8">
        <f>(Tabela2[[#This Row],[Weight]]/(Tabela2[[#This Row],[Height]] ^2))</f>
        <v>16.987890308459729</v>
      </c>
    </row>
    <row r="585" spans="1:23" x14ac:dyDescent="0.25">
      <c r="A585" t="s">
        <v>13</v>
      </c>
      <c r="B585" s="7">
        <v>21.785350999999999</v>
      </c>
      <c r="C585" s="4">
        <v>1.675054</v>
      </c>
      <c r="D585" s="7">
        <v>49.945233000000002</v>
      </c>
      <c r="E585">
        <v>1</v>
      </c>
      <c r="F585">
        <v>1</v>
      </c>
      <c r="G585" s="2">
        <v>2.9298890000000002</v>
      </c>
      <c r="H585" s="2">
        <v>3</v>
      </c>
      <c r="I585">
        <v>2</v>
      </c>
      <c r="J585">
        <v>0</v>
      </c>
      <c r="K585" s="2">
        <v>2.7920739999999999</v>
      </c>
      <c r="L585">
        <v>0</v>
      </c>
      <c r="M585" s="7">
        <v>0.63094399999999995</v>
      </c>
      <c r="N585" s="7">
        <v>1.366355</v>
      </c>
      <c r="O585">
        <v>0</v>
      </c>
      <c r="P585" t="s">
        <v>14</v>
      </c>
      <c r="Q585">
        <v>0</v>
      </c>
      <c r="R585" s="8">
        <f>(Tabela2[[#This Row],[FAF_atividade_fisica_frequente_em_horas]]+ 0.1)</f>
        <v>0.73094399999999993</v>
      </c>
      <c r="S585" s="1">
        <f>(Tabela2[[#This Row],[TUE_tempo_uso_aparelhos_em_horas]]/Tabela2[[#This Row],[FAF_Var]])</f>
        <v>1.869301889064005</v>
      </c>
      <c r="T585">
        <f>(Tabela2[[#This Row],[CAEC_lanche_entre_refeicoes]]*Tabela2[[#This Row],[FAVC_consumo_frequente_de_alimentos_mt_caloricos]])</f>
        <v>2</v>
      </c>
      <c r="U585" s="1">
        <f>IF(OR(Tabela2[[#This Row],[MTRANS]]="Walking",Tabela2[[#This Row],[MTRANS]]="Bike"),Tabela2[[#This Row],[FAF_atividade_fisica_frequente_em_horas]]+1,M585)</f>
        <v>0.63094399999999995</v>
      </c>
      <c r="V585">
        <f>(Tabela2[[#This Row],[SMOKE]]+Tabela2[[#This Row],[CALC_bebe_alcool_frequentemente]])</f>
        <v>0</v>
      </c>
      <c r="W585" s="8">
        <f>(Tabela2[[#This Row],[Weight]]/(Tabela2[[#This Row],[Height]] ^2))</f>
        <v>17.800672864824055</v>
      </c>
    </row>
    <row r="586" spans="1:23" x14ac:dyDescent="0.25">
      <c r="A586" t="s">
        <v>13</v>
      </c>
      <c r="B586" s="7">
        <v>23</v>
      </c>
      <c r="C586" s="4">
        <v>1.7176009999999999</v>
      </c>
      <c r="D586" s="7">
        <v>51.073917999999999</v>
      </c>
      <c r="E586">
        <v>1</v>
      </c>
      <c r="F586">
        <v>1</v>
      </c>
      <c r="G586" s="2">
        <v>2</v>
      </c>
      <c r="H586" s="2">
        <v>3</v>
      </c>
      <c r="I586">
        <v>2</v>
      </c>
      <c r="J586">
        <v>0</v>
      </c>
      <c r="K586" s="2">
        <v>1.426874</v>
      </c>
      <c r="L586">
        <v>0</v>
      </c>
      <c r="M586" s="7">
        <v>2.20208</v>
      </c>
      <c r="N586" s="7">
        <v>2</v>
      </c>
      <c r="O586">
        <v>0</v>
      </c>
      <c r="P586" t="s">
        <v>14</v>
      </c>
      <c r="Q586">
        <v>0</v>
      </c>
      <c r="R586" s="8">
        <f>(Tabela2[[#This Row],[FAF_atividade_fisica_frequente_em_horas]]+ 0.1)</f>
        <v>2.3020800000000001</v>
      </c>
      <c r="S586" s="1">
        <f>(Tabela2[[#This Row],[TUE_tempo_uso_aparelhos_em_horas]]/Tabela2[[#This Row],[FAF_Var]])</f>
        <v>0.86877953850430911</v>
      </c>
      <c r="T586">
        <f>(Tabela2[[#This Row],[CAEC_lanche_entre_refeicoes]]*Tabela2[[#This Row],[FAVC_consumo_frequente_de_alimentos_mt_caloricos]])</f>
        <v>2</v>
      </c>
      <c r="U586" s="1">
        <f>IF(OR(Tabela2[[#This Row],[MTRANS]]="Walking",Tabela2[[#This Row],[MTRANS]]="Bike"),Tabela2[[#This Row],[FAF_atividade_fisica_frequente_em_horas]]+1,M586)</f>
        <v>2.20208</v>
      </c>
      <c r="V586">
        <f>(Tabela2[[#This Row],[SMOKE]]+Tabela2[[#This Row],[CALC_bebe_alcool_frequentemente]])</f>
        <v>0</v>
      </c>
      <c r="W586" s="8">
        <f>(Tabela2[[#This Row],[Weight]]/(Tabela2[[#This Row],[Height]] ^2))</f>
        <v>17.312293504988723</v>
      </c>
    </row>
    <row r="587" spans="1:23" x14ac:dyDescent="0.25">
      <c r="A587" t="s">
        <v>13</v>
      </c>
      <c r="B587" s="7">
        <v>17.402028000000001</v>
      </c>
      <c r="C587" s="4">
        <v>1.7107559999999999</v>
      </c>
      <c r="D587" s="7">
        <v>50</v>
      </c>
      <c r="E587">
        <v>0</v>
      </c>
      <c r="F587">
        <v>1</v>
      </c>
      <c r="G587" s="2">
        <v>2.0152580000000002</v>
      </c>
      <c r="H587" s="2">
        <v>3.3006660000000001</v>
      </c>
      <c r="I587">
        <v>1</v>
      </c>
      <c r="J587">
        <v>0</v>
      </c>
      <c r="K587" s="2">
        <v>1.3156080000000001</v>
      </c>
      <c r="L587">
        <v>0</v>
      </c>
      <c r="M587" s="7">
        <v>6.9802000000000003E-2</v>
      </c>
      <c r="N587" s="7">
        <v>1</v>
      </c>
      <c r="O587">
        <v>1</v>
      </c>
      <c r="P587" t="s">
        <v>14</v>
      </c>
      <c r="Q587">
        <v>0</v>
      </c>
      <c r="R587" s="8">
        <f>(Tabela2[[#This Row],[FAF_atividade_fisica_frequente_em_horas]]+ 0.1)</f>
        <v>0.16980200000000001</v>
      </c>
      <c r="S587" s="1">
        <f>(Tabela2[[#This Row],[TUE_tempo_uso_aparelhos_em_horas]]/Tabela2[[#This Row],[FAF_Var]])</f>
        <v>5.8892121411997502</v>
      </c>
      <c r="T587">
        <f>(Tabela2[[#This Row],[CAEC_lanche_entre_refeicoes]]*Tabela2[[#This Row],[FAVC_consumo_frequente_de_alimentos_mt_caloricos]])</f>
        <v>1</v>
      </c>
      <c r="U587" s="1">
        <f>IF(OR(Tabela2[[#This Row],[MTRANS]]="Walking",Tabela2[[#This Row],[MTRANS]]="Bike"),Tabela2[[#This Row],[FAF_atividade_fisica_frequente_em_horas]]+1,M587)</f>
        <v>6.9802000000000003E-2</v>
      </c>
      <c r="V587">
        <f>(Tabela2[[#This Row],[SMOKE]]+Tabela2[[#This Row],[CALC_bebe_alcool_frequentemente]])</f>
        <v>1</v>
      </c>
      <c r="W587" s="8">
        <f>(Tabela2[[#This Row],[Weight]]/(Tabela2[[#This Row],[Height]] ^2))</f>
        <v>17.084169069105297</v>
      </c>
    </row>
    <row r="588" spans="1:23" x14ac:dyDescent="0.25">
      <c r="A588" t="s">
        <v>13</v>
      </c>
      <c r="B588" s="7">
        <v>18</v>
      </c>
      <c r="C588" s="4">
        <v>1.7</v>
      </c>
      <c r="D588" s="7">
        <v>50</v>
      </c>
      <c r="E588">
        <v>0</v>
      </c>
      <c r="F588">
        <v>1</v>
      </c>
      <c r="G588" s="2">
        <v>1.0311490000000001</v>
      </c>
      <c r="H588" s="2">
        <v>3</v>
      </c>
      <c r="I588">
        <v>1</v>
      </c>
      <c r="J588">
        <v>0</v>
      </c>
      <c r="K588" s="2">
        <v>1.9636279999999999</v>
      </c>
      <c r="L588">
        <v>0</v>
      </c>
      <c r="M588" s="7">
        <v>2.8202000000000001E-2</v>
      </c>
      <c r="N588" s="7">
        <v>1</v>
      </c>
      <c r="O588">
        <v>1</v>
      </c>
      <c r="P588" t="s">
        <v>14</v>
      </c>
      <c r="Q588">
        <v>0</v>
      </c>
      <c r="R588" s="8">
        <f>(Tabela2[[#This Row],[FAF_atividade_fisica_frequente_em_horas]]+ 0.1)</f>
        <v>0.12820200000000001</v>
      </c>
      <c r="S588" s="1">
        <f>(Tabela2[[#This Row],[TUE_tempo_uso_aparelhos_em_horas]]/Tabela2[[#This Row],[FAF_Var]])</f>
        <v>7.8001903246439204</v>
      </c>
      <c r="T588">
        <f>(Tabela2[[#This Row],[CAEC_lanche_entre_refeicoes]]*Tabela2[[#This Row],[FAVC_consumo_frequente_de_alimentos_mt_caloricos]])</f>
        <v>1</v>
      </c>
      <c r="U588" s="1">
        <f>IF(OR(Tabela2[[#This Row],[MTRANS]]="Walking",Tabela2[[#This Row],[MTRANS]]="Bike"),Tabela2[[#This Row],[FAF_atividade_fisica_frequente_em_horas]]+1,M588)</f>
        <v>2.8202000000000001E-2</v>
      </c>
      <c r="V588">
        <f>(Tabela2[[#This Row],[SMOKE]]+Tabela2[[#This Row],[CALC_bebe_alcool_frequentemente]])</f>
        <v>1</v>
      </c>
      <c r="W588" s="8">
        <f>(Tabela2[[#This Row],[Weight]]/(Tabela2[[#This Row],[Height]] ^2))</f>
        <v>17.301038062283737</v>
      </c>
    </row>
    <row r="589" spans="1:23" x14ac:dyDescent="0.25">
      <c r="A589" t="s">
        <v>13</v>
      </c>
      <c r="B589" s="7">
        <v>18.48207</v>
      </c>
      <c r="C589" s="4">
        <v>1.7</v>
      </c>
      <c r="D589" s="7">
        <v>50</v>
      </c>
      <c r="E589">
        <v>0</v>
      </c>
      <c r="F589">
        <v>1</v>
      </c>
      <c r="G589" s="2">
        <v>1.5921829999999999</v>
      </c>
      <c r="H589" s="2">
        <v>3.5350160000000002</v>
      </c>
      <c r="I589">
        <v>1</v>
      </c>
      <c r="J589">
        <v>0</v>
      </c>
      <c r="K589" s="2">
        <v>1.0863910000000001</v>
      </c>
      <c r="L589">
        <v>0</v>
      </c>
      <c r="M589" s="7">
        <v>0.61891300000000005</v>
      </c>
      <c r="N589" s="7">
        <v>1</v>
      </c>
      <c r="O589">
        <v>1</v>
      </c>
      <c r="P589" t="s">
        <v>14</v>
      </c>
      <c r="Q589">
        <v>0</v>
      </c>
      <c r="R589" s="8">
        <f>(Tabela2[[#This Row],[FAF_atividade_fisica_frequente_em_horas]]+ 0.1)</f>
        <v>0.71891300000000002</v>
      </c>
      <c r="S589" s="1">
        <f>(Tabela2[[#This Row],[TUE_tempo_uso_aparelhos_em_horas]]/Tabela2[[#This Row],[FAF_Var]])</f>
        <v>1.3909888957356453</v>
      </c>
      <c r="T589">
        <f>(Tabela2[[#This Row],[CAEC_lanche_entre_refeicoes]]*Tabela2[[#This Row],[FAVC_consumo_frequente_de_alimentos_mt_caloricos]])</f>
        <v>1</v>
      </c>
      <c r="U589" s="1">
        <f>IF(OR(Tabela2[[#This Row],[MTRANS]]="Walking",Tabela2[[#This Row],[MTRANS]]="Bike"),Tabela2[[#This Row],[FAF_atividade_fisica_frequente_em_horas]]+1,M589)</f>
        <v>0.61891300000000005</v>
      </c>
      <c r="V589">
        <f>(Tabela2[[#This Row],[SMOKE]]+Tabela2[[#This Row],[CALC_bebe_alcool_frequentemente]])</f>
        <v>1</v>
      </c>
      <c r="W589" s="8">
        <f>(Tabela2[[#This Row],[Weight]]/(Tabela2[[#This Row],[Height]] ^2))</f>
        <v>17.301038062283737</v>
      </c>
    </row>
    <row r="590" spans="1:23" x14ac:dyDescent="0.25">
      <c r="A590" t="s">
        <v>13</v>
      </c>
      <c r="B590" s="7">
        <v>18.530840000000001</v>
      </c>
      <c r="C590" s="4">
        <v>1.5738160000000001</v>
      </c>
      <c r="D590" s="7">
        <v>39.850136999999997</v>
      </c>
      <c r="E590">
        <v>0</v>
      </c>
      <c r="F590">
        <v>1</v>
      </c>
      <c r="G590" s="2">
        <v>1.2149799999999999</v>
      </c>
      <c r="H590" s="2">
        <v>1.717608</v>
      </c>
      <c r="I590">
        <v>1</v>
      </c>
      <c r="J590">
        <v>0</v>
      </c>
      <c r="K590" s="2">
        <v>1.179942</v>
      </c>
      <c r="L590">
        <v>0</v>
      </c>
      <c r="M590" s="7">
        <v>0.68473899999999999</v>
      </c>
      <c r="N590" s="7">
        <v>2</v>
      </c>
      <c r="O590">
        <v>1</v>
      </c>
      <c r="P590" t="s">
        <v>14</v>
      </c>
      <c r="Q590">
        <v>0</v>
      </c>
      <c r="R590" s="8">
        <f>(Tabela2[[#This Row],[FAF_atividade_fisica_frequente_em_horas]]+ 0.1)</f>
        <v>0.78473899999999996</v>
      </c>
      <c r="S590" s="1">
        <f>(Tabela2[[#This Row],[TUE_tempo_uso_aparelhos_em_horas]]/Tabela2[[#This Row],[FAF_Var]])</f>
        <v>2.5486180755639776</v>
      </c>
      <c r="T590">
        <f>(Tabela2[[#This Row],[CAEC_lanche_entre_refeicoes]]*Tabela2[[#This Row],[FAVC_consumo_frequente_de_alimentos_mt_caloricos]])</f>
        <v>1</v>
      </c>
      <c r="U590" s="1">
        <f>IF(OR(Tabela2[[#This Row],[MTRANS]]="Walking",Tabela2[[#This Row],[MTRANS]]="Bike"),Tabela2[[#This Row],[FAF_atividade_fisica_frequente_em_horas]]+1,M590)</f>
        <v>0.68473899999999999</v>
      </c>
      <c r="V590">
        <f>(Tabela2[[#This Row],[SMOKE]]+Tabela2[[#This Row],[CALC_bebe_alcool_frequentemente]])</f>
        <v>1</v>
      </c>
      <c r="W590" s="8">
        <f>(Tabela2[[#This Row],[Weight]]/(Tabela2[[#This Row],[Height]] ^2))</f>
        <v>16.088735295769812</v>
      </c>
    </row>
    <row r="591" spans="1:23" x14ac:dyDescent="0.25">
      <c r="A591" t="s">
        <v>13</v>
      </c>
      <c r="B591" s="7">
        <v>19.948139999999999</v>
      </c>
      <c r="C591" s="4">
        <v>1.5308839999999999</v>
      </c>
      <c r="D591" s="7">
        <v>39.371523000000003</v>
      </c>
      <c r="E591">
        <v>0</v>
      </c>
      <c r="F591">
        <v>1</v>
      </c>
      <c r="G591" s="2">
        <v>1.5220009999999999</v>
      </c>
      <c r="H591" s="2">
        <v>3</v>
      </c>
      <c r="I591">
        <v>1</v>
      </c>
      <c r="J591">
        <v>0</v>
      </c>
      <c r="K591" s="2">
        <v>1.98126</v>
      </c>
      <c r="L591">
        <v>0</v>
      </c>
      <c r="M591" s="7">
        <v>2.3068439999999999</v>
      </c>
      <c r="N591" s="7">
        <v>0.72045400000000004</v>
      </c>
      <c r="O591">
        <v>1</v>
      </c>
      <c r="P591" t="s">
        <v>14</v>
      </c>
      <c r="Q591">
        <v>0</v>
      </c>
      <c r="R591" s="8">
        <f>(Tabela2[[#This Row],[FAF_atividade_fisica_frequente_em_horas]]+ 0.1)</f>
        <v>2.406844</v>
      </c>
      <c r="S591" s="1">
        <f>(Tabela2[[#This Row],[TUE_tempo_uso_aparelhos_em_horas]]/Tabela2[[#This Row],[FAF_Var]])</f>
        <v>0.29933556142400591</v>
      </c>
      <c r="T591">
        <f>(Tabela2[[#This Row],[CAEC_lanche_entre_refeicoes]]*Tabela2[[#This Row],[FAVC_consumo_frequente_de_alimentos_mt_caloricos]])</f>
        <v>1</v>
      </c>
      <c r="U591" s="1">
        <f>IF(OR(Tabela2[[#This Row],[MTRANS]]="Walking",Tabela2[[#This Row],[MTRANS]]="Bike"),Tabela2[[#This Row],[FAF_atividade_fisica_frequente_em_horas]]+1,M591)</f>
        <v>2.3068439999999999</v>
      </c>
      <c r="V591">
        <f>(Tabela2[[#This Row],[SMOKE]]+Tabela2[[#This Row],[CALC_bebe_alcool_frequentemente]])</f>
        <v>1</v>
      </c>
      <c r="W591" s="8">
        <f>(Tabela2[[#This Row],[Weight]]/(Tabela2[[#This Row],[Height]] ^2))</f>
        <v>16.799549924116445</v>
      </c>
    </row>
    <row r="592" spans="1:23" x14ac:dyDescent="0.25">
      <c r="A592" t="s">
        <v>13</v>
      </c>
      <c r="B592" s="7">
        <v>20.400053</v>
      </c>
      <c r="C592" s="4">
        <v>1.5297240000000001</v>
      </c>
      <c r="D592" s="7">
        <v>40.343463</v>
      </c>
      <c r="E592">
        <v>0</v>
      </c>
      <c r="F592">
        <v>1</v>
      </c>
      <c r="G592" s="2">
        <v>2.703436</v>
      </c>
      <c r="H592" s="2">
        <v>2.8844789999999998</v>
      </c>
      <c r="I592">
        <v>1</v>
      </c>
      <c r="J592">
        <v>0</v>
      </c>
      <c r="K592" s="2">
        <v>1.439962</v>
      </c>
      <c r="L592">
        <v>0</v>
      </c>
      <c r="M592" s="7">
        <v>0.14462700000000001</v>
      </c>
      <c r="N592" s="7">
        <v>0.32230700000000001</v>
      </c>
      <c r="O592">
        <v>1</v>
      </c>
      <c r="P592" t="s">
        <v>14</v>
      </c>
      <c r="Q592">
        <v>0</v>
      </c>
      <c r="R592" s="8">
        <f>(Tabela2[[#This Row],[FAF_atividade_fisica_frequente_em_horas]]+ 0.1)</f>
        <v>0.24462700000000001</v>
      </c>
      <c r="S592" s="1">
        <f>(Tabela2[[#This Row],[TUE_tempo_uso_aparelhos_em_horas]]/Tabela2[[#This Row],[FAF_Var]])</f>
        <v>1.3175446700486864</v>
      </c>
      <c r="T592">
        <f>(Tabela2[[#This Row],[CAEC_lanche_entre_refeicoes]]*Tabela2[[#This Row],[FAVC_consumo_frequente_de_alimentos_mt_caloricos]])</f>
        <v>1</v>
      </c>
      <c r="U592" s="1">
        <f>IF(OR(Tabela2[[#This Row],[MTRANS]]="Walking",Tabela2[[#This Row],[MTRANS]]="Bike"),Tabela2[[#This Row],[FAF_atividade_fisica_frequente_em_horas]]+1,M592)</f>
        <v>0.14462700000000001</v>
      </c>
      <c r="V592">
        <f>(Tabela2[[#This Row],[SMOKE]]+Tabela2[[#This Row],[CALC_bebe_alcool_frequentemente]])</f>
        <v>1</v>
      </c>
      <c r="W592" s="8">
        <f>(Tabela2[[#This Row],[Weight]]/(Tabela2[[#This Row],[Height]] ^2))</f>
        <v>17.24038712804867</v>
      </c>
    </row>
    <row r="593" spans="1:23" x14ac:dyDescent="0.25">
      <c r="A593" t="s">
        <v>15</v>
      </c>
      <c r="B593" s="7">
        <v>19.556729000000001</v>
      </c>
      <c r="C593" s="4">
        <v>1.767563</v>
      </c>
      <c r="D593" s="7">
        <v>56.307018999999997</v>
      </c>
      <c r="E593">
        <v>1</v>
      </c>
      <c r="F593">
        <v>1</v>
      </c>
      <c r="G593" s="2">
        <v>2.3629180000000001</v>
      </c>
      <c r="H593" s="2">
        <v>4</v>
      </c>
      <c r="I593">
        <v>1</v>
      </c>
      <c r="J593">
        <v>0</v>
      </c>
      <c r="K593" s="2">
        <v>2.3581720000000002</v>
      </c>
      <c r="L593">
        <v>0</v>
      </c>
      <c r="M593" s="7">
        <v>2</v>
      </c>
      <c r="N593" s="7">
        <v>0.93981899999999996</v>
      </c>
      <c r="O593">
        <v>0</v>
      </c>
      <c r="P593" t="s">
        <v>17</v>
      </c>
      <c r="Q593">
        <v>0</v>
      </c>
      <c r="R593" s="8">
        <f>(Tabela2[[#This Row],[FAF_atividade_fisica_frequente_em_horas]]+ 0.1)</f>
        <v>2.1</v>
      </c>
      <c r="S593" s="1">
        <f>(Tabela2[[#This Row],[TUE_tempo_uso_aparelhos_em_horas]]/Tabela2[[#This Row],[FAF_Var]])</f>
        <v>0.44753285714285712</v>
      </c>
      <c r="T593">
        <f>(Tabela2[[#This Row],[CAEC_lanche_entre_refeicoes]]*Tabela2[[#This Row],[FAVC_consumo_frequente_de_alimentos_mt_caloricos]])</f>
        <v>1</v>
      </c>
      <c r="U593" s="1">
        <f>IF(OR(Tabela2[[#This Row],[MTRANS]]="Walking",Tabela2[[#This Row],[MTRANS]]="Bike"),Tabela2[[#This Row],[FAF_atividade_fisica_frequente_em_horas]]+1,M593)</f>
        <v>2</v>
      </c>
      <c r="V593">
        <f>(Tabela2[[#This Row],[SMOKE]]+Tabela2[[#This Row],[CALC_bebe_alcool_frequentemente]])</f>
        <v>0</v>
      </c>
      <c r="W593" s="8">
        <f>(Tabela2[[#This Row],[Weight]]/(Tabela2[[#This Row],[Height]] ^2))</f>
        <v>18.02240444578646</v>
      </c>
    </row>
    <row r="594" spans="1:23" x14ac:dyDescent="0.25">
      <c r="A594" t="s">
        <v>15</v>
      </c>
      <c r="B594" s="7">
        <v>17.703679999999999</v>
      </c>
      <c r="C594" s="4">
        <v>1.883364</v>
      </c>
      <c r="D594" s="7">
        <v>60</v>
      </c>
      <c r="E594">
        <v>1</v>
      </c>
      <c r="F594">
        <v>1</v>
      </c>
      <c r="G594" s="2">
        <v>3</v>
      </c>
      <c r="H594" s="2">
        <v>3.6268150000000001</v>
      </c>
      <c r="I594">
        <v>1</v>
      </c>
      <c r="J594">
        <v>0</v>
      </c>
      <c r="K594" s="2">
        <v>2</v>
      </c>
      <c r="L594">
        <v>0</v>
      </c>
      <c r="M594" s="7">
        <v>2.0115189999999998</v>
      </c>
      <c r="N594" s="7">
        <v>0.45646199999999998</v>
      </c>
      <c r="O594">
        <v>0</v>
      </c>
      <c r="P594" t="s">
        <v>17</v>
      </c>
      <c r="Q594">
        <v>0</v>
      </c>
      <c r="R594" s="8">
        <f>(Tabela2[[#This Row],[FAF_atividade_fisica_frequente_em_horas]]+ 0.1)</f>
        <v>2.1115189999999999</v>
      </c>
      <c r="S594" s="1">
        <f>(Tabela2[[#This Row],[TUE_tempo_uso_aparelhos_em_horas]]/Tabela2[[#This Row],[FAF_Var]])</f>
        <v>0.21617707441893727</v>
      </c>
      <c r="T594">
        <f>(Tabela2[[#This Row],[CAEC_lanche_entre_refeicoes]]*Tabela2[[#This Row],[FAVC_consumo_frequente_de_alimentos_mt_caloricos]])</f>
        <v>1</v>
      </c>
      <c r="U594" s="1">
        <f>IF(OR(Tabela2[[#This Row],[MTRANS]]="Walking",Tabela2[[#This Row],[MTRANS]]="Bike"),Tabela2[[#This Row],[FAF_atividade_fisica_frequente_em_horas]]+1,M594)</f>
        <v>2.0115189999999998</v>
      </c>
      <c r="V594">
        <f>(Tabela2[[#This Row],[SMOKE]]+Tabela2[[#This Row],[CALC_bebe_alcool_frequentemente]])</f>
        <v>0</v>
      </c>
      <c r="W594" s="8">
        <f>(Tabela2[[#This Row],[Weight]]/(Tabela2[[#This Row],[Height]] ^2))</f>
        <v>16.915417482616117</v>
      </c>
    </row>
    <row r="595" spans="1:23" x14ac:dyDescent="0.25">
      <c r="A595" t="s">
        <v>15</v>
      </c>
      <c r="B595" s="7">
        <v>18.274357999999999</v>
      </c>
      <c r="C595" s="4">
        <v>1.8246549999999999</v>
      </c>
      <c r="D595" s="7">
        <v>58.621349000000002</v>
      </c>
      <c r="E595">
        <v>1</v>
      </c>
      <c r="F595">
        <v>1</v>
      </c>
      <c r="G595" s="2">
        <v>2.1408399999999999</v>
      </c>
      <c r="H595" s="2">
        <v>4</v>
      </c>
      <c r="I595">
        <v>1</v>
      </c>
      <c r="J595">
        <v>0</v>
      </c>
      <c r="K595" s="2">
        <v>2.931438</v>
      </c>
      <c r="L595">
        <v>0</v>
      </c>
      <c r="M595" s="7">
        <v>2</v>
      </c>
      <c r="N595" s="7">
        <v>1.1644570000000001</v>
      </c>
      <c r="O595">
        <v>0</v>
      </c>
      <c r="P595" t="s">
        <v>17</v>
      </c>
      <c r="Q595">
        <v>0</v>
      </c>
      <c r="R595" s="8">
        <f>(Tabela2[[#This Row],[FAF_atividade_fisica_frequente_em_horas]]+ 0.1)</f>
        <v>2.1</v>
      </c>
      <c r="S595" s="1">
        <f>(Tabela2[[#This Row],[TUE_tempo_uso_aparelhos_em_horas]]/Tabela2[[#This Row],[FAF_Var]])</f>
        <v>0.55450333333333335</v>
      </c>
      <c r="T595">
        <f>(Tabela2[[#This Row],[CAEC_lanche_entre_refeicoes]]*Tabela2[[#This Row],[FAVC_consumo_frequente_de_alimentos_mt_caloricos]])</f>
        <v>1</v>
      </c>
      <c r="U595" s="1">
        <f>IF(OR(Tabela2[[#This Row],[MTRANS]]="Walking",Tabela2[[#This Row],[MTRANS]]="Bike"),Tabela2[[#This Row],[FAF_atividade_fisica_frequente_em_horas]]+1,M595)</f>
        <v>2</v>
      </c>
      <c r="V595">
        <f>(Tabela2[[#This Row],[SMOKE]]+Tabela2[[#This Row],[CALC_bebe_alcool_frequentemente]])</f>
        <v>0</v>
      </c>
      <c r="W595" s="8">
        <f>(Tabela2[[#This Row],[Weight]]/(Tabela2[[#This Row],[Height]] ^2))</f>
        <v>17.607361673701302</v>
      </c>
    </row>
    <row r="596" spans="1:23" x14ac:dyDescent="0.25">
      <c r="A596" t="s">
        <v>15</v>
      </c>
      <c r="B596" s="7">
        <v>18</v>
      </c>
      <c r="C596" s="4">
        <v>1.8401380000000001</v>
      </c>
      <c r="D596" s="7">
        <v>60</v>
      </c>
      <c r="E596">
        <v>1</v>
      </c>
      <c r="F596">
        <v>1</v>
      </c>
      <c r="G596" s="2">
        <v>3</v>
      </c>
      <c r="H596" s="2">
        <v>4</v>
      </c>
      <c r="I596">
        <v>1</v>
      </c>
      <c r="J596">
        <v>0</v>
      </c>
      <c r="K596" s="2">
        <v>2</v>
      </c>
      <c r="L596">
        <v>0</v>
      </c>
      <c r="M596" s="7">
        <v>2</v>
      </c>
      <c r="N596" s="7">
        <v>0</v>
      </c>
      <c r="O596">
        <v>0</v>
      </c>
      <c r="P596" t="s">
        <v>17</v>
      </c>
      <c r="Q596">
        <v>0</v>
      </c>
      <c r="R596" s="8">
        <f>(Tabela2[[#This Row],[FAF_atividade_fisica_frequente_em_horas]]+ 0.1)</f>
        <v>2.1</v>
      </c>
      <c r="S596" s="1">
        <f>(Tabela2[[#This Row],[TUE_tempo_uso_aparelhos_em_horas]]/Tabela2[[#This Row],[FAF_Var]])</f>
        <v>0</v>
      </c>
      <c r="T596">
        <f>(Tabela2[[#This Row],[CAEC_lanche_entre_refeicoes]]*Tabela2[[#This Row],[FAVC_consumo_frequente_de_alimentos_mt_caloricos]])</f>
        <v>1</v>
      </c>
      <c r="U596" s="1">
        <f>IF(OR(Tabela2[[#This Row],[MTRANS]]="Walking",Tabela2[[#This Row],[MTRANS]]="Bike"),Tabela2[[#This Row],[FAF_atividade_fisica_frequente_em_horas]]+1,M596)</f>
        <v>2</v>
      </c>
      <c r="V596">
        <f>(Tabela2[[#This Row],[SMOKE]]+Tabela2[[#This Row],[CALC_bebe_alcool_frequentemente]])</f>
        <v>0</v>
      </c>
      <c r="W596" s="8">
        <f>(Tabela2[[#This Row],[Weight]]/(Tabela2[[#This Row],[Height]] ^2))</f>
        <v>17.719459183718914</v>
      </c>
    </row>
    <row r="597" spans="1:23" x14ac:dyDescent="0.25">
      <c r="A597" t="s">
        <v>15</v>
      </c>
      <c r="B597" s="7">
        <v>17.210933000000001</v>
      </c>
      <c r="C597" s="4">
        <v>1.8195570000000001</v>
      </c>
      <c r="D597" s="7">
        <v>58.325122</v>
      </c>
      <c r="E597">
        <v>1</v>
      </c>
      <c r="F597">
        <v>1</v>
      </c>
      <c r="G597" s="2">
        <v>2.5596000000000001</v>
      </c>
      <c r="H597" s="2">
        <v>4</v>
      </c>
      <c r="I597">
        <v>1</v>
      </c>
      <c r="J597">
        <v>0</v>
      </c>
      <c r="K597" s="2">
        <v>2</v>
      </c>
      <c r="L597">
        <v>0</v>
      </c>
      <c r="M597" s="7">
        <v>2</v>
      </c>
      <c r="N597" s="7">
        <v>0.33148300000000003</v>
      </c>
      <c r="O597">
        <v>0</v>
      </c>
      <c r="P597" t="s">
        <v>17</v>
      </c>
      <c r="Q597">
        <v>0</v>
      </c>
      <c r="R597" s="8">
        <f>(Tabela2[[#This Row],[FAF_atividade_fisica_frequente_em_horas]]+ 0.1)</f>
        <v>2.1</v>
      </c>
      <c r="S597" s="1">
        <f>(Tabela2[[#This Row],[TUE_tempo_uso_aparelhos_em_horas]]/Tabela2[[#This Row],[FAF_Var]])</f>
        <v>0.15784904761904764</v>
      </c>
      <c r="T597">
        <f>(Tabela2[[#This Row],[CAEC_lanche_entre_refeicoes]]*Tabela2[[#This Row],[FAVC_consumo_frequente_de_alimentos_mt_caloricos]])</f>
        <v>1</v>
      </c>
      <c r="U597" s="1">
        <f>IF(OR(Tabela2[[#This Row],[MTRANS]]="Walking",Tabela2[[#This Row],[MTRANS]]="Bike"),Tabela2[[#This Row],[FAF_atividade_fisica_frequente_em_horas]]+1,M597)</f>
        <v>2</v>
      </c>
      <c r="V597">
        <f>(Tabela2[[#This Row],[SMOKE]]+Tabela2[[#This Row],[CALC_bebe_alcool_frequentemente]])</f>
        <v>0</v>
      </c>
      <c r="W597" s="8">
        <f>(Tabela2[[#This Row],[Weight]]/(Tabela2[[#This Row],[Height]] ^2))</f>
        <v>17.61669055929319</v>
      </c>
    </row>
    <row r="598" spans="1:23" x14ac:dyDescent="0.25">
      <c r="A598" t="s">
        <v>15</v>
      </c>
      <c r="B598" s="7">
        <v>17.469417</v>
      </c>
      <c r="C598" s="4">
        <v>1.798645</v>
      </c>
      <c r="D598" s="7">
        <v>59.612717000000004</v>
      </c>
      <c r="E598">
        <v>1</v>
      </c>
      <c r="F598">
        <v>1</v>
      </c>
      <c r="G598" s="2">
        <v>2.3360439999999998</v>
      </c>
      <c r="H598" s="2">
        <v>4</v>
      </c>
      <c r="I598">
        <v>1</v>
      </c>
      <c r="J598">
        <v>0</v>
      </c>
      <c r="K598" s="2">
        <v>2</v>
      </c>
      <c r="L598">
        <v>0</v>
      </c>
      <c r="M598" s="7">
        <v>2</v>
      </c>
      <c r="N598" s="7">
        <v>0.13300500000000001</v>
      </c>
      <c r="O598">
        <v>0</v>
      </c>
      <c r="P598" t="s">
        <v>17</v>
      </c>
      <c r="Q598">
        <v>0</v>
      </c>
      <c r="R598" s="8">
        <f>(Tabela2[[#This Row],[FAF_atividade_fisica_frequente_em_horas]]+ 0.1)</f>
        <v>2.1</v>
      </c>
      <c r="S598" s="1">
        <f>(Tabela2[[#This Row],[TUE_tempo_uso_aparelhos_em_horas]]/Tabela2[[#This Row],[FAF_Var]])</f>
        <v>6.3335714285714287E-2</v>
      </c>
      <c r="T598">
        <f>(Tabela2[[#This Row],[CAEC_lanche_entre_refeicoes]]*Tabela2[[#This Row],[FAVC_consumo_frequente_de_alimentos_mt_caloricos]])</f>
        <v>1</v>
      </c>
      <c r="U598" s="1">
        <f>IF(OR(Tabela2[[#This Row],[MTRANS]]="Walking",Tabela2[[#This Row],[MTRANS]]="Bike"),Tabela2[[#This Row],[FAF_atividade_fisica_frequente_em_horas]]+1,M598)</f>
        <v>2</v>
      </c>
      <c r="V598">
        <f>(Tabela2[[#This Row],[SMOKE]]+Tabela2[[#This Row],[CALC_bebe_alcool_frequentemente]])</f>
        <v>0</v>
      </c>
      <c r="W598" s="8">
        <f>(Tabela2[[#This Row],[Weight]]/(Tabela2[[#This Row],[Height]] ^2))</f>
        <v>18.426718735208048</v>
      </c>
    </row>
    <row r="599" spans="1:23" x14ac:dyDescent="0.25">
      <c r="A599" t="s">
        <v>15</v>
      </c>
      <c r="B599" s="7">
        <v>18</v>
      </c>
      <c r="C599" s="4">
        <v>1.7108000000000001</v>
      </c>
      <c r="D599" s="7">
        <v>50.925379999999997</v>
      </c>
      <c r="E599">
        <v>1</v>
      </c>
      <c r="F599">
        <v>1</v>
      </c>
      <c r="G599" s="2">
        <v>2</v>
      </c>
      <c r="H599" s="2">
        <v>3</v>
      </c>
      <c r="I599">
        <v>1</v>
      </c>
      <c r="J599">
        <v>0</v>
      </c>
      <c r="K599" s="2">
        <v>2</v>
      </c>
      <c r="L599">
        <v>0</v>
      </c>
      <c r="M599" s="7">
        <v>0</v>
      </c>
      <c r="N599" s="7">
        <v>1.593704</v>
      </c>
      <c r="O599">
        <v>1</v>
      </c>
      <c r="P599" t="s">
        <v>14</v>
      </c>
      <c r="Q599">
        <v>0</v>
      </c>
      <c r="R599" s="8">
        <f>(Tabela2[[#This Row],[FAF_atividade_fisica_frequente_em_horas]]+ 0.1)</f>
        <v>0.1</v>
      </c>
      <c r="S599" s="1">
        <f>(Tabela2[[#This Row],[TUE_tempo_uso_aparelhos_em_horas]]/Tabela2[[#This Row],[FAF_Var]])</f>
        <v>15.93704</v>
      </c>
      <c r="T599">
        <f>(Tabela2[[#This Row],[CAEC_lanche_entre_refeicoes]]*Tabela2[[#This Row],[FAVC_consumo_frequente_de_alimentos_mt_caloricos]])</f>
        <v>1</v>
      </c>
      <c r="U599" s="1">
        <f>IF(OR(Tabela2[[#This Row],[MTRANS]]="Walking",Tabela2[[#This Row],[MTRANS]]="Bike"),Tabela2[[#This Row],[FAF_atividade_fisica_frequente_em_horas]]+1,M599)</f>
        <v>0</v>
      </c>
      <c r="V599">
        <f>(Tabela2[[#This Row],[SMOKE]]+Tabela2[[#This Row],[CALC_bebe_alcool_frequentemente]])</f>
        <v>1</v>
      </c>
      <c r="W599" s="8">
        <f>(Tabela2[[#This Row],[Weight]]/(Tabela2[[#This Row],[Height]] ^2))</f>
        <v>17.399461009890867</v>
      </c>
    </row>
    <row r="600" spans="1:23" x14ac:dyDescent="0.25">
      <c r="A600" t="s">
        <v>15</v>
      </c>
      <c r="B600" s="7">
        <v>18</v>
      </c>
      <c r="C600" s="4">
        <v>1.7065300000000001</v>
      </c>
      <c r="D600" s="7">
        <v>51.121749000000001</v>
      </c>
      <c r="E600">
        <v>1</v>
      </c>
      <c r="F600">
        <v>1</v>
      </c>
      <c r="G600" s="2">
        <v>2</v>
      </c>
      <c r="H600" s="2">
        <v>3</v>
      </c>
      <c r="I600">
        <v>1</v>
      </c>
      <c r="J600">
        <v>0</v>
      </c>
      <c r="K600" s="2">
        <v>2</v>
      </c>
      <c r="L600">
        <v>0</v>
      </c>
      <c r="M600" s="7">
        <v>0</v>
      </c>
      <c r="N600" s="7">
        <v>1.329237</v>
      </c>
      <c r="O600">
        <v>1</v>
      </c>
      <c r="P600" t="s">
        <v>14</v>
      </c>
      <c r="Q600">
        <v>0</v>
      </c>
      <c r="R600" s="8">
        <f>(Tabela2[[#This Row],[FAF_atividade_fisica_frequente_em_horas]]+ 0.1)</f>
        <v>0.1</v>
      </c>
      <c r="S600" s="1">
        <f>(Tabela2[[#This Row],[TUE_tempo_uso_aparelhos_em_horas]]/Tabela2[[#This Row],[FAF_Var]])</f>
        <v>13.29237</v>
      </c>
      <c r="T600">
        <f>(Tabela2[[#This Row],[CAEC_lanche_entre_refeicoes]]*Tabela2[[#This Row],[FAVC_consumo_frequente_de_alimentos_mt_caloricos]])</f>
        <v>1</v>
      </c>
      <c r="U600" s="1">
        <f>IF(OR(Tabela2[[#This Row],[MTRANS]]="Walking",Tabela2[[#This Row],[MTRANS]]="Bike"),Tabela2[[#This Row],[FAF_atividade_fisica_frequente_em_horas]]+1,M600)</f>
        <v>0</v>
      </c>
      <c r="V600">
        <f>(Tabela2[[#This Row],[SMOKE]]+Tabela2[[#This Row],[CALC_bebe_alcool_frequentemente]])</f>
        <v>1</v>
      </c>
      <c r="W600" s="8">
        <f>(Tabela2[[#This Row],[Weight]]/(Tabela2[[#This Row],[Height]] ^2))</f>
        <v>17.554070932791323</v>
      </c>
    </row>
    <row r="601" spans="1:23" x14ac:dyDescent="0.25">
      <c r="A601" t="s">
        <v>15</v>
      </c>
      <c r="B601" s="7">
        <v>18</v>
      </c>
      <c r="C601" s="4">
        <v>1.716691</v>
      </c>
      <c r="D601" s="7">
        <v>51.149282999999997</v>
      </c>
      <c r="E601">
        <v>1</v>
      </c>
      <c r="F601">
        <v>1</v>
      </c>
      <c r="G601" s="2">
        <v>1.813234</v>
      </c>
      <c r="H601" s="2">
        <v>3</v>
      </c>
      <c r="I601">
        <v>1</v>
      </c>
      <c r="J601">
        <v>0</v>
      </c>
      <c r="K601" s="2">
        <v>1.274815</v>
      </c>
      <c r="L601">
        <v>0</v>
      </c>
      <c r="M601" s="7">
        <v>0.52040699999999995</v>
      </c>
      <c r="N601" s="7">
        <v>1.673584</v>
      </c>
      <c r="O601">
        <v>1</v>
      </c>
      <c r="P601" t="s">
        <v>14</v>
      </c>
      <c r="Q601">
        <v>0</v>
      </c>
      <c r="R601" s="8">
        <f>(Tabela2[[#This Row],[FAF_atividade_fisica_frequente_em_horas]]+ 0.1)</f>
        <v>0.62040699999999993</v>
      </c>
      <c r="S601" s="1">
        <f>(Tabela2[[#This Row],[TUE_tempo_uso_aparelhos_em_horas]]/Tabela2[[#This Row],[FAF_Var]])</f>
        <v>2.6975582158163918</v>
      </c>
      <c r="T601">
        <f>(Tabela2[[#This Row],[CAEC_lanche_entre_refeicoes]]*Tabela2[[#This Row],[FAVC_consumo_frequente_de_alimentos_mt_caloricos]])</f>
        <v>1</v>
      </c>
      <c r="U601" s="1">
        <f>IF(OR(Tabela2[[#This Row],[MTRANS]]="Walking",Tabela2[[#This Row],[MTRANS]]="Bike"),Tabela2[[#This Row],[FAF_atividade_fisica_frequente_em_horas]]+1,M601)</f>
        <v>0.52040699999999995</v>
      </c>
      <c r="V601">
        <f>(Tabela2[[#This Row],[SMOKE]]+Tabela2[[#This Row],[CALC_bebe_alcool_frequentemente]])</f>
        <v>1</v>
      </c>
      <c r="W601" s="8">
        <f>(Tabela2[[#This Row],[Weight]]/(Tabela2[[#This Row],[Height]] ^2))</f>
        <v>17.356225723871688</v>
      </c>
    </row>
    <row r="602" spans="1:23" x14ac:dyDescent="0.25">
      <c r="A602" t="s">
        <v>13</v>
      </c>
      <c r="B602" s="7">
        <v>19.010211000000002</v>
      </c>
      <c r="C602" s="4">
        <v>1.555431</v>
      </c>
      <c r="D602" s="7">
        <v>44.188766999999999</v>
      </c>
      <c r="E602">
        <v>0</v>
      </c>
      <c r="F602">
        <v>0</v>
      </c>
      <c r="G602" s="2">
        <v>2.7242850000000001</v>
      </c>
      <c r="H602" s="2">
        <v>3</v>
      </c>
      <c r="I602">
        <v>2</v>
      </c>
      <c r="J602">
        <v>0</v>
      </c>
      <c r="K602" s="2">
        <v>1</v>
      </c>
      <c r="L602">
        <v>1</v>
      </c>
      <c r="M602" s="7">
        <v>1.0703309999999999</v>
      </c>
      <c r="N602" s="7">
        <v>0</v>
      </c>
      <c r="O602">
        <v>1</v>
      </c>
      <c r="P602" t="s">
        <v>14</v>
      </c>
      <c r="Q602">
        <v>0</v>
      </c>
      <c r="R602" s="8">
        <f>(Tabela2[[#This Row],[FAF_atividade_fisica_frequente_em_horas]]+ 0.1)</f>
        <v>1.170331</v>
      </c>
      <c r="S602" s="1">
        <f>(Tabela2[[#This Row],[TUE_tempo_uso_aparelhos_em_horas]]/Tabela2[[#This Row],[FAF_Var]])</f>
        <v>0</v>
      </c>
      <c r="T602">
        <f>(Tabela2[[#This Row],[CAEC_lanche_entre_refeicoes]]*Tabela2[[#This Row],[FAVC_consumo_frequente_de_alimentos_mt_caloricos]])</f>
        <v>0</v>
      </c>
      <c r="U602" s="1">
        <f>IF(OR(Tabela2[[#This Row],[MTRANS]]="Walking",Tabela2[[#This Row],[MTRANS]]="Bike"),Tabela2[[#This Row],[FAF_atividade_fisica_frequente_em_horas]]+1,M602)</f>
        <v>1.0703309999999999</v>
      </c>
      <c r="V602">
        <f>(Tabela2[[#This Row],[SMOKE]]+Tabela2[[#This Row],[CALC_bebe_alcool_frequentemente]])</f>
        <v>1</v>
      </c>
      <c r="W602" s="8">
        <f>(Tabela2[[#This Row],[Weight]]/(Tabela2[[#This Row],[Height]] ^2))</f>
        <v>18.264609151020281</v>
      </c>
    </row>
    <row r="603" spans="1:23" x14ac:dyDescent="0.25">
      <c r="A603" t="s">
        <v>13</v>
      </c>
      <c r="B603" s="7">
        <v>19.091346000000001</v>
      </c>
      <c r="C603" s="4">
        <v>1.603923</v>
      </c>
      <c r="D603" s="7">
        <v>45</v>
      </c>
      <c r="E603">
        <v>0</v>
      </c>
      <c r="F603">
        <v>0</v>
      </c>
      <c r="G603" s="2">
        <v>3</v>
      </c>
      <c r="H603" s="2">
        <v>3</v>
      </c>
      <c r="I603">
        <v>2</v>
      </c>
      <c r="J603">
        <v>0</v>
      </c>
      <c r="K603" s="2">
        <v>1.2824599999999999</v>
      </c>
      <c r="L603">
        <v>1</v>
      </c>
      <c r="M603" s="7">
        <v>1.60195</v>
      </c>
      <c r="N603" s="7">
        <v>0</v>
      </c>
      <c r="O603">
        <v>1</v>
      </c>
      <c r="P603" t="s">
        <v>14</v>
      </c>
      <c r="Q603">
        <v>0</v>
      </c>
      <c r="R603" s="8">
        <f>(Tabela2[[#This Row],[FAF_atividade_fisica_frequente_em_horas]]+ 0.1)</f>
        <v>1.7019500000000001</v>
      </c>
      <c r="S603" s="1">
        <f>(Tabela2[[#This Row],[TUE_tempo_uso_aparelhos_em_horas]]/Tabela2[[#This Row],[FAF_Var]])</f>
        <v>0</v>
      </c>
      <c r="T603">
        <f>(Tabela2[[#This Row],[CAEC_lanche_entre_refeicoes]]*Tabela2[[#This Row],[FAVC_consumo_frequente_de_alimentos_mt_caloricos]])</f>
        <v>0</v>
      </c>
      <c r="U603" s="1">
        <f>IF(OR(Tabela2[[#This Row],[MTRANS]]="Walking",Tabela2[[#This Row],[MTRANS]]="Bike"),Tabela2[[#This Row],[FAF_atividade_fisica_frequente_em_horas]]+1,M603)</f>
        <v>1.60195</v>
      </c>
      <c r="V603">
        <f>(Tabela2[[#This Row],[SMOKE]]+Tabela2[[#This Row],[CALC_bebe_alcool_frequentemente]])</f>
        <v>1</v>
      </c>
      <c r="W603" s="8">
        <f>(Tabela2[[#This Row],[Weight]]/(Tabela2[[#This Row],[Height]] ^2))</f>
        <v>17.492242259066469</v>
      </c>
    </row>
    <row r="604" spans="1:23" x14ac:dyDescent="0.25">
      <c r="A604" t="s">
        <v>13</v>
      </c>
      <c r="B604" s="7">
        <v>19.773302999999999</v>
      </c>
      <c r="C604" s="4">
        <v>1.602082</v>
      </c>
      <c r="D604" s="7">
        <v>45</v>
      </c>
      <c r="E604">
        <v>0</v>
      </c>
      <c r="F604">
        <v>0</v>
      </c>
      <c r="G604" s="2">
        <v>3</v>
      </c>
      <c r="H604" s="2">
        <v>3</v>
      </c>
      <c r="I604">
        <v>2</v>
      </c>
      <c r="J604">
        <v>0</v>
      </c>
      <c r="K604" s="2">
        <v>2.8755829999999998</v>
      </c>
      <c r="L604">
        <v>1</v>
      </c>
      <c r="M604" s="7">
        <v>1.2585040000000001</v>
      </c>
      <c r="N604" s="7">
        <v>0</v>
      </c>
      <c r="O604">
        <v>1</v>
      </c>
      <c r="P604" t="s">
        <v>14</v>
      </c>
      <c r="Q604">
        <v>0</v>
      </c>
      <c r="R604" s="8">
        <f>(Tabela2[[#This Row],[FAF_atividade_fisica_frequente_em_horas]]+ 0.1)</f>
        <v>1.3585040000000002</v>
      </c>
      <c r="S604" s="1">
        <f>(Tabela2[[#This Row],[TUE_tempo_uso_aparelhos_em_horas]]/Tabela2[[#This Row],[FAF_Var]])</f>
        <v>0</v>
      </c>
      <c r="T604">
        <f>(Tabela2[[#This Row],[CAEC_lanche_entre_refeicoes]]*Tabela2[[#This Row],[FAVC_consumo_frequente_de_alimentos_mt_caloricos]])</f>
        <v>0</v>
      </c>
      <c r="U604" s="1">
        <f>IF(OR(Tabela2[[#This Row],[MTRANS]]="Walking",Tabela2[[#This Row],[MTRANS]]="Bike"),Tabela2[[#This Row],[FAF_atividade_fisica_frequente_em_horas]]+1,M604)</f>
        <v>1.2585040000000001</v>
      </c>
      <c r="V604">
        <f>(Tabela2[[#This Row],[SMOKE]]+Tabela2[[#This Row],[CALC_bebe_alcool_frequentemente]])</f>
        <v>1</v>
      </c>
      <c r="W604" s="8">
        <f>(Tabela2[[#This Row],[Weight]]/(Tabela2[[#This Row],[Height]] ^2))</f>
        <v>17.532467067579368</v>
      </c>
    </row>
    <row r="605" spans="1:23" x14ac:dyDescent="0.25">
      <c r="A605" t="s">
        <v>13</v>
      </c>
      <c r="B605" s="7">
        <v>19.483035999999998</v>
      </c>
      <c r="C605" s="4">
        <v>1.5377700000000001</v>
      </c>
      <c r="D605" s="7">
        <v>42</v>
      </c>
      <c r="E605">
        <v>0</v>
      </c>
      <c r="F605">
        <v>1</v>
      </c>
      <c r="G605" s="2">
        <v>3</v>
      </c>
      <c r="H605" s="2">
        <v>1</v>
      </c>
      <c r="I605">
        <v>2</v>
      </c>
      <c r="J605">
        <v>0</v>
      </c>
      <c r="K605" s="2">
        <v>1.3875310000000001</v>
      </c>
      <c r="L605">
        <v>0</v>
      </c>
      <c r="M605" s="7">
        <v>0</v>
      </c>
      <c r="N605" s="7">
        <v>0.466169</v>
      </c>
      <c r="O605">
        <v>1</v>
      </c>
      <c r="P605" t="s">
        <v>14</v>
      </c>
      <c r="Q605">
        <v>0</v>
      </c>
      <c r="R605" s="8">
        <f>(Tabela2[[#This Row],[FAF_atividade_fisica_frequente_em_horas]]+ 0.1)</f>
        <v>0.1</v>
      </c>
      <c r="S605" s="1">
        <f>(Tabela2[[#This Row],[TUE_tempo_uso_aparelhos_em_horas]]/Tabela2[[#This Row],[FAF_Var]])</f>
        <v>4.6616900000000001</v>
      </c>
      <c r="T605">
        <f>(Tabela2[[#This Row],[CAEC_lanche_entre_refeicoes]]*Tabela2[[#This Row],[FAVC_consumo_frequente_de_alimentos_mt_caloricos]])</f>
        <v>2</v>
      </c>
      <c r="U605" s="1">
        <f>IF(OR(Tabela2[[#This Row],[MTRANS]]="Walking",Tabela2[[#This Row],[MTRANS]]="Bike"),Tabela2[[#This Row],[FAF_atividade_fisica_frequente_em_horas]]+1,M605)</f>
        <v>0</v>
      </c>
      <c r="V605">
        <f>(Tabela2[[#This Row],[SMOKE]]+Tabela2[[#This Row],[CALC_bebe_alcool_frequentemente]])</f>
        <v>1</v>
      </c>
      <c r="W605" s="8">
        <f>(Tabela2[[#This Row],[Weight]]/(Tabela2[[#This Row],[Height]] ^2))</f>
        <v>17.760963517595197</v>
      </c>
    </row>
    <row r="606" spans="1:23" x14ac:dyDescent="0.25">
      <c r="A606" t="s">
        <v>13</v>
      </c>
      <c r="B606" s="7">
        <v>19</v>
      </c>
      <c r="C606" s="4">
        <v>1.5383979999999999</v>
      </c>
      <c r="D606" s="7">
        <v>42</v>
      </c>
      <c r="E606">
        <v>0</v>
      </c>
      <c r="F606">
        <v>1</v>
      </c>
      <c r="G606" s="2">
        <v>2.7189700000000001</v>
      </c>
      <c r="H606" s="2">
        <v>1.473088</v>
      </c>
      <c r="I606">
        <v>2</v>
      </c>
      <c r="J606">
        <v>0</v>
      </c>
      <c r="K606" s="2">
        <v>1.164644</v>
      </c>
      <c r="L606">
        <v>0</v>
      </c>
      <c r="M606" s="7">
        <v>1.2356750000000001</v>
      </c>
      <c r="N606" s="7">
        <v>0.93092600000000003</v>
      </c>
      <c r="O606">
        <v>1</v>
      </c>
      <c r="P606" t="s">
        <v>14</v>
      </c>
      <c r="Q606">
        <v>0</v>
      </c>
      <c r="R606" s="8">
        <f>(Tabela2[[#This Row],[FAF_atividade_fisica_frequente_em_horas]]+ 0.1)</f>
        <v>1.3356750000000002</v>
      </c>
      <c r="S606" s="1">
        <f>(Tabela2[[#This Row],[TUE_tempo_uso_aparelhos_em_horas]]/Tabela2[[#This Row],[FAF_Var]])</f>
        <v>0.69697044565481869</v>
      </c>
      <c r="T606">
        <f>(Tabela2[[#This Row],[CAEC_lanche_entre_refeicoes]]*Tabela2[[#This Row],[FAVC_consumo_frequente_de_alimentos_mt_caloricos]])</f>
        <v>2</v>
      </c>
      <c r="U606" s="1">
        <f>IF(OR(Tabela2[[#This Row],[MTRANS]]="Walking",Tabela2[[#This Row],[MTRANS]]="Bike"),Tabela2[[#This Row],[FAF_atividade_fisica_frequente_em_horas]]+1,M606)</f>
        <v>1.2356750000000001</v>
      </c>
      <c r="V606">
        <f>(Tabela2[[#This Row],[SMOKE]]+Tabela2[[#This Row],[CALC_bebe_alcool_frequentemente]])</f>
        <v>1</v>
      </c>
      <c r="W606" s="8">
        <f>(Tabela2[[#This Row],[Weight]]/(Tabela2[[#This Row],[Height]] ^2))</f>
        <v>17.746465827807409</v>
      </c>
    </row>
    <row r="607" spans="1:23" x14ac:dyDescent="0.25">
      <c r="A607" t="s">
        <v>13</v>
      </c>
      <c r="B607" s="7">
        <v>19.407204</v>
      </c>
      <c r="C607" s="4">
        <v>1.5208619999999999</v>
      </c>
      <c r="D607" s="7">
        <v>42</v>
      </c>
      <c r="E607">
        <v>0</v>
      </c>
      <c r="F607">
        <v>1</v>
      </c>
      <c r="G607" s="2">
        <v>3</v>
      </c>
      <c r="H607" s="2">
        <v>1</v>
      </c>
      <c r="I607">
        <v>2</v>
      </c>
      <c r="J607">
        <v>0</v>
      </c>
      <c r="K607" s="2">
        <v>1.848703</v>
      </c>
      <c r="L607">
        <v>0</v>
      </c>
      <c r="M607" s="7">
        <v>0</v>
      </c>
      <c r="N607" s="7">
        <v>0.74455499999999997</v>
      </c>
      <c r="O607">
        <v>1</v>
      </c>
      <c r="P607" t="s">
        <v>14</v>
      </c>
      <c r="Q607">
        <v>0</v>
      </c>
      <c r="R607" s="8">
        <f>(Tabela2[[#This Row],[FAF_atividade_fisica_frequente_em_horas]]+ 0.1)</f>
        <v>0.1</v>
      </c>
      <c r="S607" s="1">
        <f>(Tabela2[[#This Row],[TUE_tempo_uso_aparelhos_em_horas]]/Tabela2[[#This Row],[FAF_Var]])</f>
        <v>7.445549999999999</v>
      </c>
      <c r="T607">
        <f>(Tabela2[[#This Row],[CAEC_lanche_entre_refeicoes]]*Tabela2[[#This Row],[FAVC_consumo_frequente_de_alimentos_mt_caloricos]])</f>
        <v>2</v>
      </c>
      <c r="U607" s="1">
        <f>IF(OR(Tabela2[[#This Row],[MTRANS]]="Walking",Tabela2[[#This Row],[MTRANS]]="Bike"),Tabela2[[#This Row],[FAF_atividade_fisica_frequente_em_horas]]+1,M607)</f>
        <v>0</v>
      </c>
      <c r="V607">
        <f>(Tabela2[[#This Row],[SMOKE]]+Tabela2[[#This Row],[CALC_bebe_alcool_frequentemente]])</f>
        <v>1</v>
      </c>
      <c r="W607" s="8">
        <f>(Tabela2[[#This Row],[Weight]]/(Tabela2[[#This Row],[Height]] ^2))</f>
        <v>18.158069446819361</v>
      </c>
    </row>
    <row r="608" spans="1:23" x14ac:dyDescent="0.25">
      <c r="A608" t="s">
        <v>15</v>
      </c>
      <c r="B608" s="7">
        <v>18</v>
      </c>
      <c r="C608" s="4">
        <v>1.7178260000000001</v>
      </c>
      <c r="D608" s="7">
        <v>51.732500000000002</v>
      </c>
      <c r="E608">
        <v>1</v>
      </c>
      <c r="F608">
        <v>1</v>
      </c>
      <c r="G608" s="2">
        <v>1.1338440000000001</v>
      </c>
      <c r="H608" s="2">
        <v>3</v>
      </c>
      <c r="I608">
        <v>1</v>
      </c>
      <c r="J608">
        <v>0</v>
      </c>
      <c r="K608" s="2">
        <v>1.325326</v>
      </c>
      <c r="L608">
        <v>0</v>
      </c>
      <c r="M608" s="7">
        <v>0.22798499999999999</v>
      </c>
      <c r="N608" s="7">
        <v>1.7083090000000001</v>
      </c>
      <c r="O608">
        <v>1</v>
      </c>
      <c r="P608" t="s">
        <v>14</v>
      </c>
      <c r="Q608">
        <v>0</v>
      </c>
      <c r="R608" s="8">
        <f>(Tabela2[[#This Row],[FAF_atividade_fisica_frequente_em_horas]]+ 0.1)</f>
        <v>0.32798499999999997</v>
      </c>
      <c r="S608" s="1">
        <f>(Tabela2[[#This Row],[TUE_tempo_uso_aparelhos_em_horas]]/Tabela2[[#This Row],[FAF_Var]])</f>
        <v>5.2084973398173702</v>
      </c>
      <c r="T608">
        <f>(Tabela2[[#This Row],[CAEC_lanche_entre_refeicoes]]*Tabela2[[#This Row],[FAVC_consumo_frequente_de_alimentos_mt_caloricos]])</f>
        <v>1</v>
      </c>
      <c r="U608" s="1">
        <f>IF(OR(Tabela2[[#This Row],[MTRANS]]="Walking",Tabela2[[#This Row],[MTRANS]]="Bike"),Tabela2[[#This Row],[FAF_atividade_fisica_frequente_em_horas]]+1,M608)</f>
        <v>0.22798499999999999</v>
      </c>
      <c r="V608">
        <f>(Tabela2[[#This Row],[SMOKE]]+Tabela2[[#This Row],[CALC_bebe_alcool_frequentemente]])</f>
        <v>1</v>
      </c>
      <c r="W608" s="8">
        <f>(Tabela2[[#This Row],[Weight]]/(Tabela2[[#This Row],[Height]] ^2))</f>
        <v>17.530936758504264</v>
      </c>
    </row>
    <row r="609" spans="1:23" x14ac:dyDescent="0.25">
      <c r="A609" t="s">
        <v>15</v>
      </c>
      <c r="B609" s="7">
        <v>18.424941</v>
      </c>
      <c r="C609" s="4">
        <v>1.7533890000000001</v>
      </c>
      <c r="D609" s="7">
        <v>54.121924999999997</v>
      </c>
      <c r="E609">
        <v>1</v>
      </c>
      <c r="F609">
        <v>1</v>
      </c>
      <c r="G609" s="2">
        <v>2</v>
      </c>
      <c r="H609" s="2">
        <v>3.1664500000000002</v>
      </c>
      <c r="I609">
        <v>1</v>
      </c>
      <c r="J609">
        <v>0</v>
      </c>
      <c r="K609" s="2">
        <v>2.278578</v>
      </c>
      <c r="L609">
        <v>0</v>
      </c>
      <c r="M609" s="7">
        <v>1.838881</v>
      </c>
      <c r="N609" s="7">
        <v>2</v>
      </c>
      <c r="O609">
        <v>1</v>
      </c>
      <c r="P609" t="s">
        <v>14</v>
      </c>
      <c r="Q609">
        <v>0</v>
      </c>
      <c r="R609" s="8">
        <f>(Tabela2[[#This Row],[FAF_atividade_fisica_frequente_em_horas]]+ 0.1)</f>
        <v>1.9388810000000001</v>
      </c>
      <c r="S609" s="1">
        <f>(Tabela2[[#This Row],[TUE_tempo_uso_aparelhos_em_horas]]/Tabela2[[#This Row],[FAF_Var]])</f>
        <v>1.0315228216687873</v>
      </c>
      <c r="T609">
        <f>(Tabela2[[#This Row],[CAEC_lanche_entre_refeicoes]]*Tabela2[[#This Row],[FAVC_consumo_frequente_de_alimentos_mt_caloricos]])</f>
        <v>1</v>
      </c>
      <c r="U609" s="1">
        <f>IF(OR(Tabela2[[#This Row],[MTRANS]]="Walking",Tabela2[[#This Row],[MTRANS]]="Bike"),Tabela2[[#This Row],[FAF_atividade_fisica_frequente_em_horas]]+1,M609)</f>
        <v>1.838881</v>
      </c>
      <c r="V609">
        <f>(Tabela2[[#This Row],[SMOKE]]+Tabela2[[#This Row],[CALC_bebe_alcool_frequentemente]])</f>
        <v>1</v>
      </c>
      <c r="W609" s="8">
        <f>(Tabela2[[#This Row],[Weight]]/(Tabela2[[#This Row],[Height]] ^2))</f>
        <v>17.604215642803354</v>
      </c>
    </row>
    <row r="610" spans="1:23" x14ac:dyDescent="0.25">
      <c r="A610" t="s">
        <v>15</v>
      </c>
      <c r="B610" s="7">
        <v>18</v>
      </c>
      <c r="C610" s="4">
        <v>1.7016500000000001</v>
      </c>
      <c r="D610" s="7">
        <v>50.157707000000002</v>
      </c>
      <c r="E610">
        <v>1</v>
      </c>
      <c r="F610">
        <v>1</v>
      </c>
      <c r="G610" s="2">
        <v>1.757466</v>
      </c>
      <c r="H610" s="2">
        <v>3</v>
      </c>
      <c r="I610">
        <v>1</v>
      </c>
      <c r="J610">
        <v>0</v>
      </c>
      <c r="K610" s="2">
        <v>1.153559</v>
      </c>
      <c r="L610">
        <v>0</v>
      </c>
      <c r="M610" s="7">
        <v>0.83397600000000005</v>
      </c>
      <c r="N610" s="7">
        <v>1.616045</v>
      </c>
      <c r="O610">
        <v>1</v>
      </c>
      <c r="P610" t="s">
        <v>14</v>
      </c>
      <c r="Q610">
        <v>0</v>
      </c>
      <c r="R610" s="8">
        <f>(Tabela2[[#This Row],[FAF_atividade_fisica_frequente_em_horas]]+ 0.1)</f>
        <v>0.93397600000000003</v>
      </c>
      <c r="S610" s="1">
        <f>(Tabela2[[#This Row],[TUE_tempo_uso_aparelhos_em_horas]]/Tabela2[[#This Row],[FAF_Var]])</f>
        <v>1.7302853606516655</v>
      </c>
      <c r="T610">
        <f>(Tabela2[[#This Row],[CAEC_lanche_entre_refeicoes]]*Tabela2[[#This Row],[FAVC_consumo_frequente_de_alimentos_mt_caloricos]])</f>
        <v>1</v>
      </c>
      <c r="U610" s="1">
        <f>IF(OR(Tabela2[[#This Row],[MTRANS]]="Walking",Tabela2[[#This Row],[MTRANS]]="Bike"),Tabela2[[#This Row],[FAF_atividade_fisica_frequente_em_horas]]+1,M610)</f>
        <v>0.83397600000000005</v>
      </c>
      <c r="V610">
        <f>(Tabela2[[#This Row],[SMOKE]]+Tabela2[[#This Row],[CALC_bebe_alcool_frequentemente]])</f>
        <v>1</v>
      </c>
      <c r="W610" s="8">
        <f>(Tabela2[[#This Row],[Weight]]/(Tabela2[[#This Row],[Height]] ^2))</f>
        <v>17.321966646387391</v>
      </c>
    </row>
    <row r="611" spans="1:23" x14ac:dyDescent="0.25">
      <c r="A611" t="s">
        <v>15</v>
      </c>
      <c r="B611" s="7">
        <v>19.979810000000001</v>
      </c>
      <c r="C611" s="4">
        <v>1.75336</v>
      </c>
      <c r="D611" s="7">
        <v>54.997374000000001</v>
      </c>
      <c r="E611">
        <v>1</v>
      </c>
      <c r="F611">
        <v>1</v>
      </c>
      <c r="G611" s="2">
        <v>2</v>
      </c>
      <c r="H611" s="2">
        <v>3.4948489999999999</v>
      </c>
      <c r="I611">
        <v>1</v>
      </c>
      <c r="J611">
        <v>0</v>
      </c>
      <c r="K611" s="2">
        <v>2.9766720000000002</v>
      </c>
      <c r="L611">
        <v>0</v>
      </c>
      <c r="M611" s="7">
        <v>1.9490700000000001</v>
      </c>
      <c r="N611" s="7">
        <v>2</v>
      </c>
      <c r="O611">
        <v>0</v>
      </c>
      <c r="P611" t="s">
        <v>14</v>
      </c>
      <c r="Q611">
        <v>0</v>
      </c>
      <c r="R611" s="8">
        <f>(Tabela2[[#This Row],[FAF_atividade_fisica_frequente_em_horas]]+ 0.1)</f>
        <v>2.0490699999999999</v>
      </c>
      <c r="S611" s="1">
        <f>(Tabela2[[#This Row],[TUE_tempo_uso_aparelhos_em_horas]]/Tabela2[[#This Row],[FAF_Var]])</f>
        <v>0.97605255066932806</v>
      </c>
      <c r="T611">
        <f>(Tabela2[[#This Row],[CAEC_lanche_entre_refeicoes]]*Tabela2[[#This Row],[FAVC_consumo_frequente_de_alimentos_mt_caloricos]])</f>
        <v>1</v>
      </c>
      <c r="U611" s="1">
        <f>IF(OR(Tabela2[[#This Row],[MTRANS]]="Walking",Tabela2[[#This Row],[MTRANS]]="Bike"),Tabela2[[#This Row],[FAF_atividade_fisica_frequente_em_horas]]+1,M611)</f>
        <v>1.9490700000000001</v>
      </c>
      <c r="V611">
        <f>(Tabela2[[#This Row],[SMOKE]]+Tabela2[[#This Row],[CALC_bebe_alcool_frequentemente]])</f>
        <v>0</v>
      </c>
      <c r="W611" s="8">
        <f>(Tabela2[[#This Row],[Weight]]/(Tabela2[[#This Row],[Height]] ^2))</f>
        <v>17.889564328968451</v>
      </c>
    </row>
    <row r="612" spans="1:23" x14ac:dyDescent="0.25">
      <c r="A612" t="s">
        <v>13</v>
      </c>
      <c r="B612" s="7">
        <v>21.798856000000001</v>
      </c>
      <c r="C612" s="4">
        <v>1.672007</v>
      </c>
      <c r="D612" s="7">
        <v>49.980967999999997</v>
      </c>
      <c r="E612">
        <v>1</v>
      </c>
      <c r="F612">
        <v>1</v>
      </c>
      <c r="G612" s="2">
        <v>2.9793829999999999</v>
      </c>
      <c r="H612" s="2">
        <v>3</v>
      </c>
      <c r="I612">
        <v>2</v>
      </c>
      <c r="J612">
        <v>0</v>
      </c>
      <c r="K612" s="2">
        <v>2.9758870000000002</v>
      </c>
      <c r="L612">
        <v>0</v>
      </c>
      <c r="M612" s="7">
        <v>0.94509299999999996</v>
      </c>
      <c r="N612" s="7">
        <v>1.2417549999999999</v>
      </c>
      <c r="O612">
        <v>0</v>
      </c>
      <c r="P612" t="s">
        <v>14</v>
      </c>
      <c r="Q612">
        <v>0</v>
      </c>
      <c r="R612" s="8">
        <f>(Tabela2[[#This Row],[FAF_atividade_fisica_frequente_em_horas]]+ 0.1)</f>
        <v>1.045093</v>
      </c>
      <c r="S612" s="1">
        <f>(Tabela2[[#This Row],[TUE_tempo_uso_aparelhos_em_horas]]/Tabela2[[#This Row],[FAF_Var]])</f>
        <v>1.1881765546224115</v>
      </c>
      <c r="T612">
        <f>(Tabela2[[#This Row],[CAEC_lanche_entre_refeicoes]]*Tabela2[[#This Row],[FAVC_consumo_frequente_de_alimentos_mt_caloricos]])</f>
        <v>2</v>
      </c>
      <c r="U612" s="1">
        <f>IF(OR(Tabela2[[#This Row],[MTRANS]]="Walking",Tabela2[[#This Row],[MTRANS]]="Bike"),Tabela2[[#This Row],[FAF_atividade_fisica_frequente_em_horas]]+1,M612)</f>
        <v>0.94509299999999996</v>
      </c>
      <c r="V612">
        <f>(Tabela2[[#This Row],[SMOKE]]+Tabela2[[#This Row],[CALC_bebe_alcool_frequentemente]])</f>
        <v>0</v>
      </c>
      <c r="W612" s="8">
        <f>(Tabela2[[#This Row],[Weight]]/(Tabela2[[#This Row],[Height]] ^2))</f>
        <v>17.87839303047231</v>
      </c>
    </row>
    <row r="613" spans="1:23" x14ac:dyDescent="0.25">
      <c r="A613" t="s">
        <v>13</v>
      </c>
      <c r="B613" s="7">
        <v>22.209706000000001</v>
      </c>
      <c r="C613" s="4">
        <v>1.593847</v>
      </c>
      <c r="D613" s="7">
        <v>44.050251000000003</v>
      </c>
      <c r="E613">
        <v>0</v>
      </c>
      <c r="F613">
        <v>0</v>
      </c>
      <c r="G613" s="2">
        <v>3</v>
      </c>
      <c r="H613" s="2">
        <v>2.9932099999999999</v>
      </c>
      <c r="I613">
        <v>2</v>
      </c>
      <c r="J613">
        <v>0</v>
      </c>
      <c r="K613" s="2">
        <v>2.7027830000000002</v>
      </c>
      <c r="L613">
        <v>0</v>
      </c>
      <c r="M613" s="7">
        <v>1.9672339999999999</v>
      </c>
      <c r="N613" s="7">
        <v>0</v>
      </c>
      <c r="O613">
        <v>0</v>
      </c>
      <c r="P613" t="s">
        <v>14</v>
      </c>
      <c r="Q613">
        <v>0</v>
      </c>
      <c r="R613" s="8">
        <f>(Tabela2[[#This Row],[FAF_atividade_fisica_frequente_em_horas]]+ 0.1)</f>
        <v>2.067234</v>
      </c>
      <c r="S613" s="1">
        <f>(Tabela2[[#This Row],[TUE_tempo_uso_aparelhos_em_horas]]/Tabela2[[#This Row],[FAF_Var]])</f>
        <v>0</v>
      </c>
      <c r="T613">
        <f>(Tabela2[[#This Row],[CAEC_lanche_entre_refeicoes]]*Tabela2[[#This Row],[FAVC_consumo_frequente_de_alimentos_mt_caloricos]])</f>
        <v>0</v>
      </c>
      <c r="U613" s="1">
        <f>IF(OR(Tabela2[[#This Row],[MTRANS]]="Walking",Tabela2[[#This Row],[MTRANS]]="Bike"),Tabela2[[#This Row],[FAF_atividade_fisica_frequente_em_horas]]+1,M613)</f>
        <v>1.9672339999999999</v>
      </c>
      <c r="V613">
        <f>(Tabela2[[#This Row],[SMOKE]]+Tabela2[[#This Row],[CALC_bebe_alcool_frequentemente]])</f>
        <v>0</v>
      </c>
      <c r="W613" s="8">
        <f>(Tabela2[[#This Row],[Weight]]/(Tabela2[[#This Row],[Height]] ^2))</f>
        <v>17.340240983434331</v>
      </c>
    </row>
    <row r="614" spans="1:23" x14ac:dyDescent="0.25">
      <c r="A614" t="s">
        <v>13</v>
      </c>
      <c r="B614" s="7">
        <v>23.018443000000001</v>
      </c>
      <c r="C614" s="4">
        <v>1.5847850000000001</v>
      </c>
      <c r="D614" s="7">
        <v>44.376637000000002</v>
      </c>
      <c r="E614">
        <v>0</v>
      </c>
      <c r="F614">
        <v>0</v>
      </c>
      <c r="G614" s="2">
        <v>2.204914</v>
      </c>
      <c r="H614" s="2">
        <v>2.1277970000000002</v>
      </c>
      <c r="I614">
        <v>2</v>
      </c>
      <c r="J614">
        <v>0</v>
      </c>
      <c r="K614" s="2">
        <v>2.1202920000000001</v>
      </c>
      <c r="L614">
        <v>0</v>
      </c>
      <c r="M614" s="7">
        <v>0.99573500000000004</v>
      </c>
      <c r="N614" s="7">
        <v>0</v>
      </c>
      <c r="O614">
        <v>0</v>
      </c>
      <c r="P614" t="s">
        <v>14</v>
      </c>
      <c r="Q614">
        <v>0</v>
      </c>
      <c r="R614" s="8">
        <f>(Tabela2[[#This Row],[FAF_atividade_fisica_frequente_em_horas]]+ 0.1)</f>
        <v>1.0957350000000001</v>
      </c>
      <c r="S614" s="1">
        <f>(Tabela2[[#This Row],[TUE_tempo_uso_aparelhos_em_horas]]/Tabela2[[#This Row],[FAF_Var]])</f>
        <v>0</v>
      </c>
      <c r="T614">
        <f>(Tabela2[[#This Row],[CAEC_lanche_entre_refeicoes]]*Tabela2[[#This Row],[FAVC_consumo_frequente_de_alimentos_mt_caloricos]])</f>
        <v>0</v>
      </c>
      <c r="U614" s="1">
        <f>IF(OR(Tabela2[[#This Row],[MTRANS]]="Walking",Tabela2[[#This Row],[MTRANS]]="Bike"),Tabela2[[#This Row],[FAF_atividade_fisica_frequente_em_horas]]+1,M614)</f>
        <v>0.99573500000000004</v>
      </c>
      <c r="V614">
        <f>(Tabela2[[#This Row],[SMOKE]]+Tabela2[[#This Row],[CALC_bebe_alcool_frequentemente]])</f>
        <v>0</v>
      </c>
      <c r="W614" s="8">
        <f>(Tabela2[[#This Row],[Weight]]/(Tabela2[[#This Row],[Height]] ^2))</f>
        <v>17.66906966441184</v>
      </c>
    </row>
    <row r="615" spans="1:23" x14ac:dyDescent="0.25">
      <c r="A615" t="s">
        <v>13</v>
      </c>
      <c r="B615" s="7">
        <v>19.376996999999999</v>
      </c>
      <c r="C615" s="4">
        <v>1.6002639999999999</v>
      </c>
      <c r="D615" s="7">
        <v>45</v>
      </c>
      <c r="E615">
        <v>0</v>
      </c>
      <c r="F615">
        <v>0</v>
      </c>
      <c r="G615" s="2">
        <v>3</v>
      </c>
      <c r="H615" s="2">
        <v>3</v>
      </c>
      <c r="I615">
        <v>2</v>
      </c>
      <c r="J615">
        <v>0</v>
      </c>
      <c r="K615" s="2">
        <v>2.9494189999999998</v>
      </c>
      <c r="L615">
        <v>1</v>
      </c>
      <c r="M615" s="7">
        <v>1.2956970000000001</v>
      </c>
      <c r="N615" s="7">
        <v>0</v>
      </c>
      <c r="O615">
        <v>1</v>
      </c>
      <c r="P615" t="s">
        <v>14</v>
      </c>
      <c r="Q615">
        <v>0</v>
      </c>
      <c r="R615" s="8">
        <f>(Tabela2[[#This Row],[FAF_atividade_fisica_frequente_em_horas]]+ 0.1)</f>
        <v>1.3956970000000002</v>
      </c>
      <c r="S615" s="1">
        <f>(Tabela2[[#This Row],[TUE_tempo_uso_aparelhos_em_horas]]/Tabela2[[#This Row],[FAF_Var]])</f>
        <v>0</v>
      </c>
      <c r="T615">
        <f>(Tabela2[[#This Row],[CAEC_lanche_entre_refeicoes]]*Tabela2[[#This Row],[FAVC_consumo_frequente_de_alimentos_mt_caloricos]])</f>
        <v>0</v>
      </c>
      <c r="U615" s="1">
        <f>IF(OR(Tabela2[[#This Row],[MTRANS]]="Walking",Tabela2[[#This Row],[MTRANS]]="Bike"),Tabela2[[#This Row],[FAF_atividade_fisica_frequente_em_horas]]+1,M615)</f>
        <v>1.2956970000000001</v>
      </c>
      <c r="V615">
        <f>(Tabela2[[#This Row],[SMOKE]]+Tabela2[[#This Row],[CALC_bebe_alcool_frequentemente]])</f>
        <v>1</v>
      </c>
      <c r="W615" s="8">
        <f>(Tabela2[[#This Row],[Weight]]/(Tabela2[[#This Row],[Height]] ^2))</f>
        <v>17.572325654127575</v>
      </c>
    </row>
    <row r="616" spans="1:23" x14ac:dyDescent="0.25">
      <c r="A616" t="s">
        <v>13</v>
      </c>
      <c r="B616" s="7">
        <v>20.971429000000001</v>
      </c>
      <c r="C616" s="4">
        <v>1.5493110000000001</v>
      </c>
      <c r="D616" s="7">
        <v>41.557468</v>
      </c>
      <c r="E616">
        <v>0</v>
      </c>
      <c r="F616">
        <v>1</v>
      </c>
      <c r="G616" s="2">
        <v>2.9272179999999999</v>
      </c>
      <c r="H616" s="2">
        <v>1</v>
      </c>
      <c r="I616">
        <v>2</v>
      </c>
      <c r="J616">
        <v>0</v>
      </c>
      <c r="K616" s="2">
        <v>1</v>
      </c>
      <c r="L616">
        <v>0</v>
      </c>
      <c r="M616" s="7">
        <v>0</v>
      </c>
      <c r="N616" s="7">
        <v>0.276592</v>
      </c>
      <c r="O616">
        <v>1</v>
      </c>
      <c r="P616" t="s">
        <v>14</v>
      </c>
      <c r="Q616">
        <v>0</v>
      </c>
      <c r="R616" s="8">
        <f>(Tabela2[[#This Row],[FAF_atividade_fisica_frequente_em_horas]]+ 0.1)</f>
        <v>0.1</v>
      </c>
      <c r="S616" s="1">
        <f>(Tabela2[[#This Row],[TUE_tempo_uso_aparelhos_em_horas]]/Tabela2[[#This Row],[FAF_Var]])</f>
        <v>2.7659199999999999</v>
      </c>
      <c r="T616">
        <f>(Tabela2[[#This Row],[CAEC_lanche_entre_refeicoes]]*Tabela2[[#This Row],[FAVC_consumo_frequente_de_alimentos_mt_caloricos]])</f>
        <v>2</v>
      </c>
      <c r="U616" s="1">
        <f>IF(OR(Tabela2[[#This Row],[MTRANS]]="Walking",Tabela2[[#This Row],[MTRANS]]="Bike"),Tabela2[[#This Row],[FAF_atividade_fisica_frequente_em_horas]]+1,M616)</f>
        <v>0</v>
      </c>
      <c r="V616">
        <f>(Tabela2[[#This Row],[SMOKE]]+Tabela2[[#This Row],[CALC_bebe_alcool_frequentemente]])</f>
        <v>1</v>
      </c>
      <c r="W616" s="8">
        <f>(Tabela2[[#This Row],[Weight]]/(Tabela2[[#This Row],[Height]] ^2))</f>
        <v>17.312981718550116</v>
      </c>
    </row>
    <row r="617" spans="1:23" x14ac:dyDescent="0.25">
      <c r="A617" t="s">
        <v>13</v>
      </c>
      <c r="B617" s="7">
        <v>20.345161000000001</v>
      </c>
      <c r="C617" s="4">
        <v>1.5343850000000001</v>
      </c>
      <c r="D617" s="7">
        <v>41.965249999999997</v>
      </c>
      <c r="E617">
        <v>0</v>
      </c>
      <c r="F617">
        <v>1</v>
      </c>
      <c r="G617" s="2">
        <v>2.8885299999999998</v>
      </c>
      <c r="H617" s="2">
        <v>1</v>
      </c>
      <c r="I617">
        <v>2</v>
      </c>
      <c r="J617">
        <v>0</v>
      </c>
      <c r="K617" s="2">
        <v>1</v>
      </c>
      <c r="L617">
        <v>0</v>
      </c>
      <c r="M617" s="7">
        <v>0</v>
      </c>
      <c r="N617" s="7">
        <v>0.19622400000000001</v>
      </c>
      <c r="O617">
        <v>1</v>
      </c>
      <c r="P617" t="s">
        <v>14</v>
      </c>
      <c r="Q617">
        <v>0</v>
      </c>
      <c r="R617" s="8">
        <f>(Tabela2[[#This Row],[FAF_atividade_fisica_frequente_em_horas]]+ 0.1)</f>
        <v>0.1</v>
      </c>
      <c r="S617" s="1">
        <f>(Tabela2[[#This Row],[TUE_tempo_uso_aparelhos_em_horas]]/Tabela2[[#This Row],[FAF_Var]])</f>
        <v>1.96224</v>
      </c>
      <c r="T617">
        <f>(Tabela2[[#This Row],[CAEC_lanche_entre_refeicoes]]*Tabela2[[#This Row],[FAVC_consumo_frequente_de_alimentos_mt_caloricos]])</f>
        <v>2</v>
      </c>
      <c r="U617" s="1">
        <f>IF(OR(Tabela2[[#This Row],[MTRANS]]="Walking",Tabela2[[#This Row],[MTRANS]]="Bike"),Tabela2[[#This Row],[FAF_atividade_fisica_frequente_em_horas]]+1,M617)</f>
        <v>0</v>
      </c>
      <c r="V617">
        <f>(Tabela2[[#This Row],[SMOKE]]+Tabela2[[#This Row],[CALC_bebe_alcool_frequentemente]])</f>
        <v>1</v>
      </c>
      <c r="W617" s="8">
        <f>(Tabela2[[#This Row],[Weight]]/(Tabela2[[#This Row],[Height]] ^2))</f>
        <v>17.824654732734817</v>
      </c>
    </row>
    <row r="618" spans="1:23" x14ac:dyDescent="0.25">
      <c r="A618" t="s">
        <v>13</v>
      </c>
      <c r="B618" s="7">
        <v>20.519915999999998</v>
      </c>
      <c r="C618" s="4">
        <v>1.7255480000000001</v>
      </c>
      <c r="D618" s="7">
        <v>49.815598999999999</v>
      </c>
      <c r="E618">
        <v>1</v>
      </c>
      <c r="F618">
        <v>0</v>
      </c>
      <c r="G618" s="2">
        <v>2.8905349999999999</v>
      </c>
      <c r="H618" s="2">
        <v>3.9077899999999999</v>
      </c>
      <c r="I618">
        <v>2</v>
      </c>
      <c r="J618">
        <v>0</v>
      </c>
      <c r="K618" s="2">
        <v>1.1091150000000001</v>
      </c>
      <c r="L618">
        <v>0</v>
      </c>
      <c r="M618" s="7">
        <v>1.548953</v>
      </c>
      <c r="N618" s="7">
        <v>0.55546799999999996</v>
      </c>
      <c r="O618">
        <v>0</v>
      </c>
      <c r="P618" t="s">
        <v>14</v>
      </c>
      <c r="Q618">
        <v>0</v>
      </c>
      <c r="R618" s="8">
        <f>(Tabela2[[#This Row],[FAF_atividade_fisica_frequente_em_horas]]+ 0.1)</f>
        <v>1.6489530000000001</v>
      </c>
      <c r="S618" s="1">
        <f>(Tabela2[[#This Row],[TUE_tempo_uso_aparelhos_em_horas]]/Tabela2[[#This Row],[FAF_Var]])</f>
        <v>0.33686102636036319</v>
      </c>
      <c r="T618">
        <f>(Tabela2[[#This Row],[CAEC_lanche_entre_refeicoes]]*Tabela2[[#This Row],[FAVC_consumo_frequente_de_alimentos_mt_caloricos]])</f>
        <v>0</v>
      </c>
      <c r="U618" s="1">
        <f>IF(OR(Tabela2[[#This Row],[MTRANS]]="Walking",Tabela2[[#This Row],[MTRANS]]="Bike"),Tabela2[[#This Row],[FAF_atividade_fisica_frequente_em_horas]]+1,M618)</f>
        <v>1.548953</v>
      </c>
      <c r="V618">
        <f>(Tabela2[[#This Row],[SMOKE]]+Tabela2[[#This Row],[CALC_bebe_alcool_frequentemente]])</f>
        <v>0</v>
      </c>
      <c r="W618" s="8">
        <f>(Tabela2[[#This Row],[Weight]]/(Tabela2[[#This Row],[Height]] ^2))</f>
        <v>16.730590420999565</v>
      </c>
    </row>
    <row r="619" spans="1:23" x14ac:dyDescent="0.25">
      <c r="A619" t="s">
        <v>15</v>
      </c>
      <c r="B619" s="7">
        <v>20.406065999999999</v>
      </c>
      <c r="C619" s="4">
        <v>1.8689309999999999</v>
      </c>
      <c r="D619" s="7">
        <v>63.199725999999998</v>
      </c>
      <c r="E619">
        <v>1</v>
      </c>
      <c r="F619">
        <v>1</v>
      </c>
      <c r="G619" s="2">
        <v>3</v>
      </c>
      <c r="H619" s="2">
        <v>3.6995939999999998</v>
      </c>
      <c r="I619">
        <v>1</v>
      </c>
      <c r="J619">
        <v>0</v>
      </c>
      <c r="K619" s="2">
        <v>2.8256290000000002</v>
      </c>
      <c r="L619">
        <v>0</v>
      </c>
      <c r="M619" s="7">
        <v>1.699592</v>
      </c>
      <c r="N619" s="7">
        <v>7.1027999999999994E-2</v>
      </c>
      <c r="O619">
        <v>1</v>
      </c>
      <c r="P619" t="s">
        <v>17</v>
      </c>
      <c r="Q619">
        <v>0</v>
      </c>
      <c r="R619" s="8">
        <f>(Tabela2[[#This Row],[FAF_atividade_fisica_frequente_em_horas]]+ 0.1)</f>
        <v>1.7995920000000001</v>
      </c>
      <c r="S619" s="1">
        <f>(Tabela2[[#This Row],[TUE_tempo_uso_aparelhos_em_horas]]/Tabela2[[#This Row],[FAF_Var]])</f>
        <v>3.9468946294493414E-2</v>
      </c>
      <c r="T619">
        <f>(Tabela2[[#This Row],[CAEC_lanche_entre_refeicoes]]*Tabela2[[#This Row],[FAVC_consumo_frequente_de_alimentos_mt_caloricos]])</f>
        <v>1</v>
      </c>
      <c r="U619" s="1">
        <f>IF(OR(Tabela2[[#This Row],[MTRANS]]="Walking",Tabela2[[#This Row],[MTRANS]]="Bike"),Tabela2[[#This Row],[FAF_atividade_fisica_frequente_em_horas]]+1,M619)</f>
        <v>1.699592</v>
      </c>
      <c r="V619">
        <f>(Tabela2[[#This Row],[SMOKE]]+Tabela2[[#This Row],[CALC_bebe_alcool_frequentemente]])</f>
        <v>1</v>
      </c>
      <c r="W619" s="8">
        <f>(Tabela2[[#This Row],[Weight]]/(Tabela2[[#This Row],[Height]] ^2))</f>
        <v>18.093753105237365</v>
      </c>
    </row>
    <row r="620" spans="1:23" x14ac:dyDescent="0.25">
      <c r="A620" t="s">
        <v>13</v>
      </c>
      <c r="B620" s="7">
        <v>21.478496</v>
      </c>
      <c r="C620" s="4">
        <v>1.686936</v>
      </c>
      <c r="D620" s="7">
        <v>51.256059</v>
      </c>
      <c r="E620">
        <v>1</v>
      </c>
      <c r="F620">
        <v>1</v>
      </c>
      <c r="G620" s="2">
        <v>3</v>
      </c>
      <c r="H620" s="2">
        <v>3.1799949999999999</v>
      </c>
      <c r="I620">
        <v>2</v>
      </c>
      <c r="J620">
        <v>0</v>
      </c>
      <c r="K620" s="2">
        <v>1.9103779999999999</v>
      </c>
      <c r="L620">
        <v>0</v>
      </c>
      <c r="M620" s="7">
        <v>0.48061399999999999</v>
      </c>
      <c r="N620" s="7">
        <v>0.62507900000000005</v>
      </c>
      <c r="O620">
        <v>0</v>
      </c>
      <c r="P620" t="s">
        <v>14</v>
      </c>
      <c r="Q620">
        <v>0</v>
      </c>
      <c r="R620" s="8">
        <f>(Tabela2[[#This Row],[FAF_atividade_fisica_frequente_em_horas]]+ 0.1)</f>
        <v>0.58061399999999996</v>
      </c>
      <c r="S620" s="1">
        <f>(Tabela2[[#This Row],[TUE_tempo_uso_aparelhos_em_horas]]/Tabela2[[#This Row],[FAF_Var]])</f>
        <v>1.0765827210504744</v>
      </c>
      <c r="T620">
        <f>(Tabela2[[#This Row],[CAEC_lanche_entre_refeicoes]]*Tabela2[[#This Row],[FAVC_consumo_frequente_de_alimentos_mt_caloricos]])</f>
        <v>2</v>
      </c>
      <c r="U620" s="1">
        <f>IF(OR(Tabela2[[#This Row],[MTRANS]]="Walking",Tabela2[[#This Row],[MTRANS]]="Bike"),Tabela2[[#This Row],[FAF_atividade_fisica_frequente_em_horas]]+1,M620)</f>
        <v>0.48061399999999999</v>
      </c>
      <c r="V620">
        <f>(Tabela2[[#This Row],[SMOKE]]+Tabela2[[#This Row],[CALC_bebe_alcool_frequentemente]])</f>
        <v>0</v>
      </c>
      <c r="W620" s="8">
        <f>(Tabela2[[#This Row],[Weight]]/(Tabela2[[#This Row],[Height]] ^2))</f>
        <v>18.011421853370344</v>
      </c>
    </row>
    <row r="621" spans="1:23" x14ac:dyDescent="0.25">
      <c r="A621" t="s">
        <v>13</v>
      </c>
      <c r="B621" s="7">
        <v>18.372563</v>
      </c>
      <c r="C621" s="4">
        <v>1.5898289999999999</v>
      </c>
      <c r="D621" s="7">
        <v>40.202773000000001</v>
      </c>
      <c r="E621">
        <v>0</v>
      </c>
      <c r="F621">
        <v>1</v>
      </c>
      <c r="G621" s="2">
        <v>2</v>
      </c>
      <c r="H621" s="2">
        <v>1.075553</v>
      </c>
      <c r="I621">
        <v>1</v>
      </c>
      <c r="J621">
        <v>0</v>
      </c>
      <c r="K621" s="2">
        <v>1</v>
      </c>
      <c r="L621">
        <v>0</v>
      </c>
      <c r="M621" s="7">
        <v>0.12742500000000001</v>
      </c>
      <c r="N621" s="7">
        <v>1.6794420000000001</v>
      </c>
      <c r="O621">
        <v>1</v>
      </c>
      <c r="P621" t="s">
        <v>14</v>
      </c>
      <c r="Q621">
        <v>0</v>
      </c>
      <c r="R621" s="8">
        <f>(Tabela2[[#This Row],[FAF_atividade_fisica_frequente_em_horas]]+ 0.1)</f>
        <v>0.22742500000000002</v>
      </c>
      <c r="S621" s="1">
        <f>(Tabela2[[#This Row],[TUE_tempo_uso_aparelhos_em_horas]]/Tabela2[[#This Row],[FAF_Var]])</f>
        <v>7.384597119929647</v>
      </c>
      <c r="T621">
        <f>(Tabela2[[#This Row],[CAEC_lanche_entre_refeicoes]]*Tabela2[[#This Row],[FAVC_consumo_frequente_de_alimentos_mt_caloricos]])</f>
        <v>1</v>
      </c>
      <c r="U621" s="1">
        <f>IF(OR(Tabela2[[#This Row],[MTRANS]]="Walking",Tabela2[[#This Row],[MTRANS]]="Bike"),Tabela2[[#This Row],[FAF_atividade_fisica_frequente_em_horas]]+1,M621)</f>
        <v>0.12742500000000001</v>
      </c>
      <c r="V621">
        <f>(Tabela2[[#This Row],[SMOKE]]+Tabela2[[#This Row],[CALC_bebe_alcool_frequentemente]])</f>
        <v>1</v>
      </c>
      <c r="W621" s="8">
        <f>(Tabela2[[#This Row],[Weight]]/(Tabela2[[#This Row],[Height]] ^2))</f>
        <v>15.905787660342869</v>
      </c>
    </row>
    <row r="622" spans="1:23" x14ac:dyDescent="0.25">
      <c r="A622" t="s">
        <v>13</v>
      </c>
      <c r="B622" s="7">
        <v>19.931667000000001</v>
      </c>
      <c r="C622" s="4">
        <v>1.6532089999999999</v>
      </c>
      <c r="D622" s="7">
        <v>49.026214000000003</v>
      </c>
      <c r="E622">
        <v>0</v>
      </c>
      <c r="F622">
        <v>0</v>
      </c>
      <c r="G622" s="2">
        <v>2.5300660000000001</v>
      </c>
      <c r="H622" s="2">
        <v>3</v>
      </c>
      <c r="I622">
        <v>1</v>
      </c>
      <c r="J622">
        <v>0</v>
      </c>
      <c r="K622" s="2">
        <v>1.9652369999999999</v>
      </c>
      <c r="L622">
        <v>0</v>
      </c>
      <c r="M622" s="7">
        <v>2</v>
      </c>
      <c r="N622" s="7">
        <v>1</v>
      </c>
      <c r="O622">
        <v>1</v>
      </c>
      <c r="P622" t="s">
        <v>14</v>
      </c>
      <c r="Q622">
        <v>0</v>
      </c>
      <c r="R622" s="8">
        <f>(Tabela2[[#This Row],[FAF_atividade_fisica_frequente_em_horas]]+ 0.1)</f>
        <v>2.1</v>
      </c>
      <c r="S622" s="1">
        <f>(Tabela2[[#This Row],[TUE_tempo_uso_aparelhos_em_horas]]/Tabela2[[#This Row],[FAF_Var]])</f>
        <v>0.47619047619047616</v>
      </c>
      <c r="T622">
        <f>(Tabela2[[#This Row],[CAEC_lanche_entre_refeicoes]]*Tabela2[[#This Row],[FAVC_consumo_frequente_de_alimentos_mt_caloricos]])</f>
        <v>0</v>
      </c>
      <c r="U622" s="1">
        <f>IF(OR(Tabela2[[#This Row],[MTRANS]]="Walking",Tabela2[[#This Row],[MTRANS]]="Bike"),Tabela2[[#This Row],[FAF_atividade_fisica_frequente_em_horas]]+1,M622)</f>
        <v>2</v>
      </c>
      <c r="V622">
        <f>(Tabela2[[#This Row],[SMOKE]]+Tabela2[[#This Row],[CALC_bebe_alcool_frequentemente]])</f>
        <v>1</v>
      </c>
      <c r="W622" s="8">
        <f>(Tabela2[[#This Row],[Weight]]/(Tabela2[[#This Row],[Height]] ^2))</f>
        <v>17.93795105982149</v>
      </c>
    </row>
    <row r="623" spans="1:23" x14ac:dyDescent="0.25">
      <c r="A623" t="s">
        <v>13</v>
      </c>
      <c r="B623" s="7">
        <v>22.998709000000002</v>
      </c>
      <c r="C623" s="4">
        <v>1.740108</v>
      </c>
      <c r="D623" s="7">
        <v>53.657269999999997</v>
      </c>
      <c r="E623">
        <v>1</v>
      </c>
      <c r="F623">
        <v>1</v>
      </c>
      <c r="G623" s="2">
        <v>2.241606</v>
      </c>
      <c r="H623" s="2">
        <v>3</v>
      </c>
      <c r="I623">
        <v>2</v>
      </c>
      <c r="J623">
        <v>0</v>
      </c>
      <c r="K623" s="2">
        <v>1.8466260000000001</v>
      </c>
      <c r="L623">
        <v>0</v>
      </c>
      <c r="M623" s="7">
        <v>2.4602379999999999</v>
      </c>
      <c r="N623" s="7">
        <v>0.81451799999999996</v>
      </c>
      <c r="O623">
        <v>0</v>
      </c>
      <c r="P623" t="s">
        <v>14</v>
      </c>
      <c r="Q623">
        <v>0</v>
      </c>
      <c r="R623" s="8">
        <f>(Tabela2[[#This Row],[FAF_atividade_fisica_frequente_em_horas]]+ 0.1)</f>
        <v>2.560238</v>
      </c>
      <c r="S623" s="1">
        <f>(Tabela2[[#This Row],[TUE_tempo_uso_aparelhos_em_horas]]/Tabela2[[#This Row],[FAF_Var]])</f>
        <v>0.31814151653088502</v>
      </c>
      <c r="T623">
        <f>(Tabela2[[#This Row],[CAEC_lanche_entre_refeicoes]]*Tabela2[[#This Row],[FAVC_consumo_frequente_de_alimentos_mt_caloricos]])</f>
        <v>2</v>
      </c>
      <c r="U623" s="1">
        <f>IF(OR(Tabela2[[#This Row],[MTRANS]]="Walking",Tabela2[[#This Row],[MTRANS]]="Bike"),Tabela2[[#This Row],[FAF_atividade_fisica_frequente_em_horas]]+1,M623)</f>
        <v>2.4602379999999999</v>
      </c>
      <c r="V623">
        <f>(Tabela2[[#This Row],[SMOKE]]+Tabela2[[#This Row],[CALC_bebe_alcool_frequentemente]])</f>
        <v>0</v>
      </c>
      <c r="W623" s="8">
        <f>(Tabela2[[#This Row],[Weight]]/(Tabela2[[#This Row],[Height]] ^2))</f>
        <v>17.720507899860916</v>
      </c>
    </row>
    <row r="624" spans="1:23" x14ac:dyDescent="0.25">
      <c r="A624" t="s">
        <v>13</v>
      </c>
      <c r="B624" s="7">
        <v>18.006741999999999</v>
      </c>
      <c r="C624" s="4">
        <v>1.7</v>
      </c>
      <c r="D624" s="7">
        <v>50</v>
      </c>
      <c r="E624">
        <v>0</v>
      </c>
      <c r="F624">
        <v>1</v>
      </c>
      <c r="G624" s="2">
        <v>1.003566</v>
      </c>
      <c r="H624" s="2">
        <v>3.2382580000000001</v>
      </c>
      <c r="I624">
        <v>2</v>
      </c>
      <c r="J624">
        <v>0</v>
      </c>
      <c r="K624" s="2">
        <v>1.014634</v>
      </c>
      <c r="L624">
        <v>0</v>
      </c>
      <c r="M624" s="7">
        <v>0.78367600000000004</v>
      </c>
      <c r="N624" s="7">
        <v>1</v>
      </c>
      <c r="O624">
        <v>1</v>
      </c>
      <c r="P624" t="s">
        <v>14</v>
      </c>
      <c r="Q624">
        <v>0</v>
      </c>
      <c r="R624" s="8">
        <f>(Tabela2[[#This Row],[FAF_atividade_fisica_frequente_em_horas]]+ 0.1)</f>
        <v>0.88367600000000002</v>
      </c>
      <c r="S624" s="1">
        <f>(Tabela2[[#This Row],[TUE_tempo_uso_aparelhos_em_horas]]/Tabela2[[#This Row],[FAF_Var]])</f>
        <v>1.1316364821495661</v>
      </c>
      <c r="T624">
        <f>(Tabela2[[#This Row],[CAEC_lanche_entre_refeicoes]]*Tabela2[[#This Row],[FAVC_consumo_frequente_de_alimentos_mt_caloricos]])</f>
        <v>2</v>
      </c>
      <c r="U624" s="1">
        <f>IF(OR(Tabela2[[#This Row],[MTRANS]]="Walking",Tabela2[[#This Row],[MTRANS]]="Bike"),Tabela2[[#This Row],[FAF_atividade_fisica_frequente_em_horas]]+1,M624)</f>
        <v>0.78367600000000004</v>
      </c>
      <c r="V624">
        <f>(Tabela2[[#This Row],[SMOKE]]+Tabela2[[#This Row],[CALC_bebe_alcool_frequentemente]])</f>
        <v>1</v>
      </c>
      <c r="W624" s="8">
        <f>(Tabela2[[#This Row],[Weight]]/(Tabela2[[#This Row],[Height]] ^2))</f>
        <v>17.301038062283737</v>
      </c>
    </row>
    <row r="625" spans="1:23" x14ac:dyDescent="0.25">
      <c r="A625" t="s">
        <v>13</v>
      </c>
      <c r="B625" s="7">
        <v>34.799518999999997</v>
      </c>
      <c r="C625" s="4">
        <v>1.689141</v>
      </c>
      <c r="D625" s="7">
        <v>50</v>
      </c>
      <c r="E625">
        <v>1</v>
      </c>
      <c r="F625">
        <v>1</v>
      </c>
      <c r="G625" s="2">
        <v>2.6527790000000002</v>
      </c>
      <c r="H625" s="2">
        <v>3.8049439999999999</v>
      </c>
      <c r="I625">
        <v>2</v>
      </c>
      <c r="J625">
        <v>0</v>
      </c>
      <c r="K625" s="2">
        <v>1.60114</v>
      </c>
      <c r="L625">
        <v>0</v>
      </c>
      <c r="M625" s="7">
        <v>0.17469199999999999</v>
      </c>
      <c r="N625" s="7">
        <v>9.6981999999999999E-2</v>
      </c>
      <c r="O625">
        <v>0</v>
      </c>
      <c r="P625" t="s">
        <v>14</v>
      </c>
      <c r="Q625">
        <v>0</v>
      </c>
      <c r="R625" s="8">
        <f>(Tabela2[[#This Row],[FAF_atividade_fisica_frequente_em_horas]]+ 0.1)</f>
        <v>0.27469199999999999</v>
      </c>
      <c r="S625" s="1">
        <f>(Tabela2[[#This Row],[TUE_tempo_uso_aparelhos_em_horas]]/Tabela2[[#This Row],[FAF_Var]])</f>
        <v>0.35305724229318658</v>
      </c>
      <c r="T625">
        <f>(Tabela2[[#This Row],[CAEC_lanche_entre_refeicoes]]*Tabela2[[#This Row],[FAVC_consumo_frequente_de_alimentos_mt_caloricos]])</f>
        <v>2</v>
      </c>
      <c r="U625" s="1">
        <f>IF(OR(Tabela2[[#This Row],[MTRANS]]="Walking",Tabela2[[#This Row],[MTRANS]]="Bike"),Tabela2[[#This Row],[FAF_atividade_fisica_frequente_em_horas]]+1,M625)</f>
        <v>0.17469199999999999</v>
      </c>
      <c r="V625">
        <f>(Tabela2[[#This Row],[SMOKE]]+Tabela2[[#This Row],[CALC_bebe_alcool_frequentemente]])</f>
        <v>0</v>
      </c>
      <c r="W625" s="8">
        <f>(Tabela2[[#This Row],[Weight]]/(Tabela2[[#This Row],[Height]] ^2))</f>
        <v>17.524199846484429</v>
      </c>
    </row>
    <row r="626" spans="1:23" x14ac:dyDescent="0.25">
      <c r="A626" t="s">
        <v>15</v>
      </c>
      <c r="B626" s="7">
        <v>16.496977999999999</v>
      </c>
      <c r="C626" s="4">
        <v>1.691206</v>
      </c>
      <c r="D626" s="7">
        <v>50</v>
      </c>
      <c r="E626">
        <v>0</v>
      </c>
      <c r="F626">
        <v>1</v>
      </c>
      <c r="G626" s="2">
        <v>2</v>
      </c>
      <c r="H626" s="2">
        <v>1.630846</v>
      </c>
      <c r="I626">
        <v>1</v>
      </c>
      <c r="J626">
        <v>0</v>
      </c>
      <c r="K626" s="2">
        <v>2.9755280000000002</v>
      </c>
      <c r="L626">
        <v>0</v>
      </c>
      <c r="M626" s="7">
        <v>0.54899100000000001</v>
      </c>
      <c r="N626" s="7">
        <v>0.36913400000000002</v>
      </c>
      <c r="O626">
        <v>1</v>
      </c>
      <c r="P626" t="s">
        <v>14</v>
      </c>
      <c r="Q626">
        <v>0</v>
      </c>
      <c r="R626" s="8">
        <f>(Tabela2[[#This Row],[FAF_atividade_fisica_frequente_em_horas]]+ 0.1)</f>
        <v>0.64899099999999998</v>
      </c>
      <c r="S626" s="1">
        <f>(Tabela2[[#This Row],[TUE_tempo_uso_aparelhos_em_horas]]/Tabela2[[#This Row],[FAF_Var]])</f>
        <v>0.56878138525803901</v>
      </c>
      <c r="T626">
        <f>(Tabela2[[#This Row],[CAEC_lanche_entre_refeicoes]]*Tabela2[[#This Row],[FAVC_consumo_frequente_de_alimentos_mt_caloricos]])</f>
        <v>1</v>
      </c>
      <c r="U626" s="1">
        <f>IF(OR(Tabela2[[#This Row],[MTRANS]]="Walking",Tabela2[[#This Row],[MTRANS]]="Bike"),Tabela2[[#This Row],[FAF_atividade_fisica_frequente_em_horas]]+1,M626)</f>
        <v>0.54899100000000001</v>
      </c>
      <c r="V626">
        <f>(Tabela2[[#This Row],[SMOKE]]+Tabela2[[#This Row],[CALC_bebe_alcool_frequentemente]])</f>
        <v>1</v>
      </c>
      <c r="W626" s="8">
        <f>(Tabela2[[#This Row],[Weight]]/(Tabela2[[#This Row],[Height]] ^2))</f>
        <v>17.481431100595408</v>
      </c>
    </row>
    <row r="627" spans="1:23" x14ac:dyDescent="0.25">
      <c r="A627" t="s">
        <v>15</v>
      </c>
      <c r="B627" s="7">
        <v>18</v>
      </c>
      <c r="C627" s="4">
        <v>1.788459</v>
      </c>
      <c r="D627" s="7">
        <v>51.552594999999997</v>
      </c>
      <c r="E627">
        <v>0</v>
      </c>
      <c r="F627">
        <v>1</v>
      </c>
      <c r="G627" s="2">
        <v>2.8978989999999998</v>
      </c>
      <c r="H627" s="2">
        <v>3</v>
      </c>
      <c r="I627">
        <v>1</v>
      </c>
      <c r="J627">
        <v>0</v>
      </c>
      <c r="K627" s="2">
        <v>1.835545</v>
      </c>
      <c r="L627">
        <v>0</v>
      </c>
      <c r="M627" s="7">
        <v>1.1625190000000001</v>
      </c>
      <c r="N627" s="7">
        <v>1</v>
      </c>
      <c r="O627">
        <v>1</v>
      </c>
      <c r="P627" t="s">
        <v>14</v>
      </c>
      <c r="Q627">
        <v>0</v>
      </c>
      <c r="R627" s="8">
        <f>(Tabela2[[#This Row],[FAF_atividade_fisica_frequente_em_horas]]+ 0.1)</f>
        <v>1.2625190000000002</v>
      </c>
      <c r="S627" s="1">
        <f>(Tabela2[[#This Row],[TUE_tempo_uso_aparelhos_em_horas]]/Tabela2[[#This Row],[FAF_Var]])</f>
        <v>0.79206728770022461</v>
      </c>
      <c r="T627">
        <f>(Tabela2[[#This Row],[CAEC_lanche_entre_refeicoes]]*Tabela2[[#This Row],[FAVC_consumo_frequente_de_alimentos_mt_caloricos]])</f>
        <v>1</v>
      </c>
      <c r="U627" s="1">
        <f>IF(OR(Tabela2[[#This Row],[MTRANS]]="Walking",Tabela2[[#This Row],[MTRANS]]="Bike"),Tabela2[[#This Row],[FAF_atividade_fisica_frequente_em_horas]]+1,M627)</f>
        <v>1.1625190000000001</v>
      </c>
      <c r="V627">
        <f>(Tabela2[[#This Row],[SMOKE]]+Tabela2[[#This Row],[CALC_bebe_alcool_frequentemente]])</f>
        <v>1</v>
      </c>
      <c r="W627" s="8">
        <f>(Tabela2[[#This Row],[Weight]]/(Tabela2[[#This Row],[Height]] ^2))</f>
        <v>16.117309815228321</v>
      </c>
    </row>
    <row r="628" spans="1:23" x14ac:dyDescent="0.25">
      <c r="A628" t="s">
        <v>15</v>
      </c>
      <c r="B628" s="7">
        <v>17.377130999999999</v>
      </c>
      <c r="C628" s="4">
        <v>1.8112379999999999</v>
      </c>
      <c r="D628" s="7">
        <v>58.830710000000003</v>
      </c>
      <c r="E628">
        <v>1</v>
      </c>
      <c r="F628">
        <v>1</v>
      </c>
      <c r="G628" s="2">
        <v>2.4839790000000002</v>
      </c>
      <c r="H628" s="2">
        <v>3.762778</v>
      </c>
      <c r="I628">
        <v>1</v>
      </c>
      <c r="J628">
        <v>0</v>
      </c>
      <c r="K628" s="2">
        <v>2</v>
      </c>
      <c r="L628">
        <v>0</v>
      </c>
      <c r="M628" s="7">
        <v>2</v>
      </c>
      <c r="N628" s="7">
        <v>0.93005099999999996</v>
      </c>
      <c r="O628">
        <v>0</v>
      </c>
      <c r="P628" t="s">
        <v>17</v>
      </c>
      <c r="Q628">
        <v>0</v>
      </c>
      <c r="R628" s="8">
        <f>(Tabela2[[#This Row],[FAF_atividade_fisica_frequente_em_horas]]+ 0.1)</f>
        <v>2.1</v>
      </c>
      <c r="S628" s="1">
        <f>(Tabela2[[#This Row],[TUE_tempo_uso_aparelhos_em_horas]]/Tabela2[[#This Row],[FAF_Var]])</f>
        <v>0.44288142857142854</v>
      </c>
      <c r="T628">
        <f>(Tabela2[[#This Row],[CAEC_lanche_entre_refeicoes]]*Tabela2[[#This Row],[FAVC_consumo_frequente_de_alimentos_mt_caloricos]])</f>
        <v>1</v>
      </c>
      <c r="U628" s="1">
        <f>IF(OR(Tabela2[[#This Row],[MTRANS]]="Walking",Tabela2[[#This Row],[MTRANS]]="Bike"),Tabela2[[#This Row],[FAF_atividade_fisica_frequente_em_horas]]+1,M628)</f>
        <v>2</v>
      </c>
      <c r="V628">
        <f>(Tabela2[[#This Row],[SMOKE]]+Tabela2[[#This Row],[CALC_bebe_alcool_frequentemente]])</f>
        <v>0</v>
      </c>
      <c r="W628" s="8">
        <f>(Tabela2[[#This Row],[Weight]]/(Tabela2[[#This Row],[Height]] ^2))</f>
        <v>17.933004084522409</v>
      </c>
    </row>
    <row r="629" spans="1:23" x14ac:dyDescent="0.25">
      <c r="A629" t="s">
        <v>13</v>
      </c>
      <c r="B629" s="7">
        <v>16.611837000000001</v>
      </c>
      <c r="C629" s="4">
        <v>1.830068</v>
      </c>
      <c r="D629" s="7">
        <v>43.534531000000001</v>
      </c>
      <c r="E629">
        <v>0</v>
      </c>
      <c r="F629">
        <v>1</v>
      </c>
      <c r="G629" s="2">
        <v>2.945967</v>
      </c>
      <c r="H629" s="2">
        <v>3</v>
      </c>
      <c r="I629">
        <v>1</v>
      </c>
      <c r="J629">
        <v>0</v>
      </c>
      <c r="K629" s="2">
        <v>2.953192</v>
      </c>
      <c r="L629">
        <v>0</v>
      </c>
      <c r="M629" s="7">
        <v>2.830911</v>
      </c>
      <c r="N629" s="7">
        <v>1.4666669999999999</v>
      </c>
      <c r="O629">
        <v>1</v>
      </c>
      <c r="P629" t="s">
        <v>14</v>
      </c>
      <c r="Q629">
        <v>0</v>
      </c>
      <c r="R629" s="8">
        <f>(Tabela2[[#This Row],[FAF_atividade_fisica_frequente_em_horas]]+ 0.1)</f>
        <v>2.930911</v>
      </c>
      <c r="S629" s="1">
        <f>(Tabela2[[#This Row],[TUE_tempo_uso_aparelhos_em_horas]]/Tabela2[[#This Row],[FAF_Var]])</f>
        <v>0.50041335270842413</v>
      </c>
      <c r="T629">
        <f>(Tabela2[[#This Row],[CAEC_lanche_entre_refeicoes]]*Tabela2[[#This Row],[FAVC_consumo_frequente_de_alimentos_mt_caloricos]])</f>
        <v>1</v>
      </c>
      <c r="U629" s="1">
        <f>IF(OR(Tabela2[[#This Row],[MTRANS]]="Walking",Tabela2[[#This Row],[MTRANS]]="Bike"),Tabela2[[#This Row],[FAF_atividade_fisica_frequente_em_horas]]+1,M629)</f>
        <v>2.830911</v>
      </c>
      <c r="V629">
        <f>(Tabela2[[#This Row],[SMOKE]]+Tabela2[[#This Row],[CALC_bebe_alcool_frequentemente]])</f>
        <v>1</v>
      </c>
      <c r="W629" s="8">
        <f>(Tabela2[[#This Row],[Weight]]/(Tabela2[[#This Row],[Height]] ^2))</f>
        <v>12.998684889724604</v>
      </c>
    </row>
    <row r="630" spans="1:23" x14ac:dyDescent="0.25">
      <c r="A630" t="s">
        <v>15</v>
      </c>
      <c r="B630" s="7">
        <v>17.080493000000001</v>
      </c>
      <c r="C630" s="4">
        <v>1.782756</v>
      </c>
      <c r="D630" s="7">
        <v>56.029418</v>
      </c>
      <c r="E630">
        <v>1</v>
      </c>
      <c r="F630">
        <v>1</v>
      </c>
      <c r="G630" s="2">
        <v>2</v>
      </c>
      <c r="H630" s="2">
        <v>4</v>
      </c>
      <c r="I630">
        <v>1</v>
      </c>
      <c r="J630">
        <v>0</v>
      </c>
      <c r="K630" s="2">
        <v>2.28525</v>
      </c>
      <c r="L630">
        <v>0</v>
      </c>
      <c r="M630" s="7">
        <v>2</v>
      </c>
      <c r="N630" s="7">
        <v>1.162801</v>
      </c>
      <c r="O630">
        <v>0</v>
      </c>
      <c r="P630" t="s">
        <v>17</v>
      </c>
      <c r="Q630">
        <v>0</v>
      </c>
      <c r="R630" s="8">
        <f>(Tabela2[[#This Row],[FAF_atividade_fisica_frequente_em_horas]]+ 0.1)</f>
        <v>2.1</v>
      </c>
      <c r="S630" s="1">
        <f>(Tabela2[[#This Row],[TUE_tempo_uso_aparelhos_em_horas]]/Tabela2[[#This Row],[FAF_Var]])</f>
        <v>0.55371476190476188</v>
      </c>
      <c r="T630">
        <f>(Tabela2[[#This Row],[CAEC_lanche_entre_refeicoes]]*Tabela2[[#This Row],[FAVC_consumo_frequente_de_alimentos_mt_caloricos]])</f>
        <v>1</v>
      </c>
      <c r="U630" s="1">
        <f>IF(OR(Tabela2[[#This Row],[MTRANS]]="Walking",Tabela2[[#This Row],[MTRANS]]="Bike"),Tabela2[[#This Row],[FAF_atividade_fisica_frequente_em_horas]]+1,M630)</f>
        <v>2</v>
      </c>
      <c r="V630">
        <f>(Tabela2[[#This Row],[SMOKE]]+Tabela2[[#This Row],[CALC_bebe_alcool_frequentemente]])</f>
        <v>0</v>
      </c>
      <c r="W630" s="8">
        <f>(Tabela2[[#This Row],[Weight]]/(Tabela2[[#This Row],[Height]] ^2))</f>
        <v>17.629187536750678</v>
      </c>
    </row>
    <row r="631" spans="1:23" x14ac:dyDescent="0.25">
      <c r="A631" t="s">
        <v>13</v>
      </c>
      <c r="B631" s="7">
        <v>22.970655000000001</v>
      </c>
      <c r="C631" s="4">
        <v>1.7516910000000001</v>
      </c>
      <c r="D631" s="7">
        <v>55.967655000000001</v>
      </c>
      <c r="E631">
        <v>1</v>
      </c>
      <c r="F631">
        <v>1</v>
      </c>
      <c r="G631" s="2">
        <v>2.478891</v>
      </c>
      <c r="H631" s="2">
        <v>3.3718319999999999</v>
      </c>
      <c r="I631">
        <v>2</v>
      </c>
      <c r="J631">
        <v>0</v>
      </c>
      <c r="K631" s="2">
        <v>2.0041259999999999</v>
      </c>
      <c r="L631">
        <v>0</v>
      </c>
      <c r="M631" s="7">
        <v>2</v>
      </c>
      <c r="N631" s="7">
        <v>0.327376</v>
      </c>
      <c r="O631">
        <v>0</v>
      </c>
      <c r="P631" t="s">
        <v>14</v>
      </c>
      <c r="Q631">
        <v>0</v>
      </c>
      <c r="R631" s="8">
        <f>(Tabela2[[#This Row],[FAF_atividade_fisica_frequente_em_horas]]+ 0.1)</f>
        <v>2.1</v>
      </c>
      <c r="S631" s="1">
        <f>(Tabela2[[#This Row],[TUE_tempo_uso_aparelhos_em_horas]]/Tabela2[[#This Row],[FAF_Var]])</f>
        <v>0.15589333333333333</v>
      </c>
      <c r="T631">
        <f>(Tabela2[[#This Row],[CAEC_lanche_entre_refeicoes]]*Tabela2[[#This Row],[FAVC_consumo_frequente_de_alimentos_mt_caloricos]])</f>
        <v>2</v>
      </c>
      <c r="U631" s="1">
        <f>IF(OR(Tabela2[[#This Row],[MTRANS]]="Walking",Tabela2[[#This Row],[MTRANS]]="Bike"),Tabela2[[#This Row],[FAF_atividade_fisica_frequente_em_horas]]+1,M631)</f>
        <v>2</v>
      </c>
      <c r="V631">
        <f>(Tabela2[[#This Row],[SMOKE]]+Tabela2[[#This Row],[CALC_bebe_alcool_frequentemente]])</f>
        <v>0</v>
      </c>
      <c r="W631" s="8">
        <f>(Tabela2[[#This Row],[Weight]]/(Tabela2[[#This Row],[Height]] ^2))</f>
        <v>18.239885740290408</v>
      </c>
    </row>
    <row r="632" spans="1:23" x14ac:dyDescent="0.25">
      <c r="A632" t="s">
        <v>13</v>
      </c>
      <c r="B632" s="7">
        <v>17.764764</v>
      </c>
      <c r="C632" s="4">
        <v>1.7865599999999999</v>
      </c>
      <c r="D632" s="7">
        <v>50</v>
      </c>
      <c r="E632">
        <v>0</v>
      </c>
      <c r="F632">
        <v>1</v>
      </c>
      <c r="G632" s="2">
        <v>2.7844639999999998</v>
      </c>
      <c r="H632" s="2">
        <v>4</v>
      </c>
      <c r="I632">
        <v>1</v>
      </c>
      <c r="J632">
        <v>0</v>
      </c>
      <c r="K632" s="2">
        <v>1</v>
      </c>
      <c r="L632">
        <v>0</v>
      </c>
      <c r="M632" s="7">
        <v>2</v>
      </c>
      <c r="N632" s="7">
        <v>1</v>
      </c>
      <c r="O632">
        <v>1</v>
      </c>
      <c r="P632" t="s">
        <v>14</v>
      </c>
      <c r="Q632">
        <v>0</v>
      </c>
      <c r="R632" s="8">
        <f>(Tabela2[[#This Row],[FAF_atividade_fisica_frequente_em_horas]]+ 0.1)</f>
        <v>2.1</v>
      </c>
      <c r="S632" s="1">
        <f>(Tabela2[[#This Row],[TUE_tempo_uso_aparelhos_em_horas]]/Tabela2[[#This Row],[FAF_Var]])</f>
        <v>0.47619047619047616</v>
      </c>
      <c r="T632">
        <f>(Tabela2[[#This Row],[CAEC_lanche_entre_refeicoes]]*Tabela2[[#This Row],[FAVC_consumo_frequente_de_alimentos_mt_caloricos]])</f>
        <v>1</v>
      </c>
      <c r="U632" s="1">
        <f>IF(OR(Tabela2[[#This Row],[MTRANS]]="Walking",Tabela2[[#This Row],[MTRANS]]="Bike"),Tabela2[[#This Row],[FAF_atividade_fisica_frequente_em_horas]]+1,M632)</f>
        <v>2</v>
      </c>
      <c r="V632">
        <f>(Tabela2[[#This Row],[SMOKE]]+Tabela2[[#This Row],[CALC_bebe_alcool_frequentemente]])</f>
        <v>1</v>
      </c>
      <c r="W632" s="8">
        <f>(Tabela2[[#This Row],[Weight]]/(Tabela2[[#This Row],[Height]] ^2))</f>
        <v>15.665158448270383</v>
      </c>
    </row>
    <row r="633" spans="1:23" x14ac:dyDescent="0.25">
      <c r="A633" t="s">
        <v>13</v>
      </c>
      <c r="B633" s="7">
        <v>19.272573000000001</v>
      </c>
      <c r="C633" s="4">
        <v>1.71367</v>
      </c>
      <c r="D633" s="7">
        <v>50</v>
      </c>
      <c r="E633">
        <v>0</v>
      </c>
      <c r="F633">
        <v>1</v>
      </c>
      <c r="G633" s="2">
        <v>1.0055780000000001</v>
      </c>
      <c r="H633" s="2">
        <v>4</v>
      </c>
      <c r="I633">
        <v>2</v>
      </c>
      <c r="J633">
        <v>0</v>
      </c>
      <c r="K633" s="2">
        <v>1</v>
      </c>
      <c r="L633">
        <v>0</v>
      </c>
      <c r="M633" s="7">
        <v>1.6839569999999999</v>
      </c>
      <c r="N633" s="7">
        <v>0.70497799999999999</v>
      </c>
      <c r="O633">
        <v>1</v>
      </c>
      <c r="P633" t="s">
        <v>14</v>
      </c>
      <c r="Q633">
        <v>0</v>
      </c>
      <c r="R633" s="8">
        <f>(Tabela2[[#This Row],[FAF_atividade_fisica_frequente_em_horas]]+ 0.1)</f>
        <v>1.783957</v>
      </c>
      <c r="S633" s="1">
        <f>(Tabela2[[#This Row],[TUE_tempo_uso_aparelhos_em_horas]]/Tabela2[[#This Row],[FAF_Var]])</f>
        <v>0.39517656535443396</v>
      </c>
      <c r="T633">
        <f>(Tabela2[[#This Row],[CAEC_lanche_entre_refeicoes]]*Tabela2[[#This Row],[FAVC_consumo_frequente_de_alimentos_mt_caloricos]])</f>
        <v>2</v>
      </c>
      <c r="U633" s="1">
        <f>IF(OR(Tabela2[[#This Row],[MTRANS]]="Walking",Tabela2[[#This Row],[MTRANS]]="Bike"),Tabela2[[#This Row],[FAF_atividade_fisica_frequente_em_horas]]+1,M633)</f>
        <v>1.6839569999999999</v>
      </c>
      <c r="V633">
        <f>(Tabela2[[#This Row],[SMOKE]]+Tabela2[[#This Row],[CALC_bebe_alcool_frequentemente]])</f>
        <v>1</v>
      </c>
      <c r="W633" s="8">
        <f>(Tabela2[[#This Row],[Weight]]/(Tabela2[[#This Row],[Height]] ^2))</f>
        <v>17.026117119972472</v>
      </c>
    </row>
    <row r="634" spans="1:23" x14ac:dyDescent="0.25">
      <c r="A634" t="s">
        <v>13</v>
      </c>
      <c r="B634" s="7">
        <v>19</v>
      </c>
      <c r="C634" s="4">
        <v>1.540375</v>
      </c>
      <c r="D634" s="7">
        <v>42.006281999999999</v>
      </c>
      <c r="E634">
        <v>0</v>
      </c>
      <c r="F634">
        <v>0</v>
      </c>
      <c r="G634" s="2">
        <v>2.9380310000000001</v>
      </c>
      <c r="H634" s="2">
        <v>2.7054450000000001</v>
      </c>
      <c r="I634">
        <v>2</v>
      </c>
      <c r="J634">
        <v>0</v>
      </c>
      <c r="K634" s="2">
        <v>1.333807</v>
      </c>
      <c r="L634">
        <v>1</v>
      </c>
      <c r="M634" s="7">
        <v>1.8773690000000001</v>
      </c>
      <c r="N634" s="7">
        <v>0.370973</v>
      </c>
      <c r="O634">
        <v>1</v>
      </c>
      <c r="P634" t="s">
        <v>14</v>
      </c>
      <c r="Q634">
        <v>0</v>
      </c>
      <c r="R634" s="8">
        <f>(Tabela2[[#This Row],[FAF_atividade_fisica_frequente_em_horas]]+ 0.1)</f>
        <v>1.9773690000000002</v>
      </c>
      <c r="S634" s="1">
        <f>(Tabela2[[#This Row],[TUE_tempo_uso_aparelhos_em_horas]]/Tabela2[[#This Row],[FAF_Var]])</f>
        <v>0.18760939409892638</v>
      </c>
      <c r="T634">
        <f>(Tabela2[[#This Row],[CAEC_lanche_entre_refeicoes]]*Tabela2[[#This Row],[FAVC_consumo_frequente_de_alimentos_mt_caloricos]])</f>
        <v>0</v>
      </c>
      <c r="U634" s="1">
        <f>IF(OR(Tabela2[[#This Row],[MTRANS]]="Walking",Tabela2[[#This Row],[MTRANS]]="Bike"),Tabela2[[#This Row],[FAF_atividade_fisica_frequente_em_horas]]+1,M634)</f>
        <v>1.8773690000000001</v>
      </c>
      <c r="V634">
        <f>(Tabela2[[#This Row],[SMOKE]]+Tabela2[[#This Row],[CALC_bebe_alcool_frequentemente]])</f>
        <v>1</v>
      </c>
      <c r="W634" s="8">
        <f>(Tabela2[[#This Row],[Weight]]/(Tabela2[[#This Row],[Height]] ^2))</f>
        <v>17.703589081229534</v>
      </c>
    </row>
    <row r="635" spans="1:23" x14ac:dyDescent="0.25">
      <c r="A635" t="s">
        <v>15</v>
      </c>
      <c r="B635" s="7">
        <v>17.067129999999999</v>
      </c>
      <c r="C635" s="4">
        <v>1.8967339999999999</v>
      </c>
      <c r="D635" s="7">
        <v>59.895052</v>
      </c>
      <c r="E635">
        <v>1</v>
      </c>
      <c r="F635">
        <v>1</v>
      </c>
      <c r="G635" s="2">
        <v>2.8421020000000001</v>
      </c>
      <c r="H635" s="2">
        <v>3.3417500000000002</v>
      </c>
      <c r="I635">
        <v>1</v>
      </c>
      <c r="J635">
        <v>0</v>
      </c>
      <c r="K635" s="2">
        <v>2</v>
      </c>
      <c r="L635">
        <v>0</v>
      </c>
      <c r="M635" s="7">
        <v>2.5111569999999999</v>
      </c>
      <c r="N635" s="7">
        <v>0.56035100000000004</v>
      </c>
      <c r="O635">
        <v>0</v>
      </c>
      <c r="P635" t="s">
        <v>17</v>
      </c>
      <c r="Q635">
        <v>0</v>
      </c>
      <c r="R635" s="8">
        <f>(Tabela2[[#This Row],[FAF_atividade_fisica_frequente_em_horas]]+ 0.1)</f>
        <v>2.611157</v>
      </c>
      <c r="S635" s="1">
        <f>(Tabela2[[#This Row],[TUE_tempo_uso_aparelhos_em_horas]]/Tabela2[[#This Row],[FAF_Var]])</f>
        <v>0.21459873917960506</v>
      </c>
      <c r="T635">
        <f>(Tabela2[[#This Row],[CAEC_lanche_entre_refeicoes]]*Tabela2[[#This Row],[FAVC_consumo_frequente_de_alimentos_mt_caloricos]])</f>
        <v>1</v>
      </c>
      <c r="U635" s="1">
        <f>IF(OR(Tabela2[[#This Row],[MTRANS]]="Walking",Tabela2[[#This Row],[MTRANS]]="Bike"),Tabela2[[#This Row],[FAF_atividade_fisica_frequente_em_horas]]+1,M635)</f>
        <v>2.5111569999999999</v>
      </c>
      <c r="V635">
        <f>(Tabela2[[#This Row],[SMOKE]]+Tabela2[[#This Row],[CALC_bebe_alcool_frequentemente]])</f>
        <v>0</v>
      </c>
      <c r="W635" s="8">
        <f>(Tabela2[[#This Row],[Weight]]/(Tabela2[[#This Row],[Height]] ^2))</f>
        <v>16.648614136737812</v>
      </c>
    </row>
    <row r="636" spans="1:23" x14ac:dyDescent="0.25">
      <c r="A636" t="s">
        <v>13</v>
      </c>
      <c r="B636" s="7">
        <v>23</v>
      </c>
      <c r="C636" s="4">
        <v>1.710129</v>
      </c>
      <c r="D636" s="7">
        <v>50.079991</v>
      </c>
      <c r="E636">
        <v>1</v>
      </c>
      <c r="F636">
        <v>1</v>
      </c>
      <c r="G636" s="2">
        <v>2</v>
      </c>
      <c r="H636" s="2">
        <v>3</v>
      </c>
      <c r="I636">
        <v>2</v>
      </c>
      <c r="J636">
        <v>0</v>
      </c>
      <c r="K636" s="2">
        <v>2.6858420000000001</v>
      </c>
      <c r="L636">
        <v>0</v>
      </c>
      <c r="M636" s="7">
        <v>0.37318600000000002</v>
      </c>
      <c r="N636" s="7">
        <v>2</v>
      </c>
      <c r="O636">
        <v>0</v>
      </c>
      <c r="P636" t="s">
        <v>14</v>
      </c>
      <c r="Q636">
        <v>0</v>
      </c>
      <c r="R636" s="8">
        <f>(Tabela2[[#This Row],[FAF_atividade_fisica_frequente_em_horas]]+ 0.1)</f>
        <v>0.473186</v>
      </c>
      <c r="S636" s="1">
        <f>(Tabela2[[#This Row],[TUE_tempo_uso_aparelhos_em_horas]]/Tabela2[[#This Row],[FAF_Var]])</f>
        <v>4.2266677374224937</v>
      </c>
      <c r="T636">
        <f>(Tabela2[[#This Row],[CAEC_lanche_entre_refeicoes]]*Tabela2[[#This Row],[FAVC_consumo_frequente_de_alimentos_mt_caloricos]])</f>
        <v>2</v>
      </c>
      <c r="U636" s="1">
        <f>IF(OR(Tabela2[[#This Row],[MTRANS]]="Walking",Tabela2[[#This Row],[MTRANS]]="Bike"),Tabela2[[#This Row],[FAF_atividade_fisica_frequente_em_horas]]+1,M636)</f>
        <v>0.37318600000000002</v>
      </c>
      <c r="V636">
        <f>(Tabela2[[#This Row],[SMOKE]]+Tabela2[[#This Row],[CALC_bebe_alcool_frequentemente]])</f>
        <v>0</v>
      </c>
      <c r="W636" s="8">
        <f>(Tabela2[[#This Row],[Weight]]/(Tabela2[[#This Row],[Height]] ^2))</f>
        <v>17.12405045192035</v>
      </c>
    </row>
    <row r="637" spans="1:23" x14ac:dyDescent="0.25">
      <c r="A637" t="s">
        <v>13</v>
      </c>
      <c r="B637" s="7">
        <v>18</v>
      </c>
      <c r="C637" s="4">
        <v>1.7041930000000001</v>
      </c>
      <c r="D637" s="7">
        <v>50.631889000000001</v>
      </c>
      <c r="E637">
        <v>0</v>
      </c>
      <c r="F637">
        <v>1</v>
      </c>
      <c r="G637" s="2">
        <v>2</v>
      </c>
      <c r="H637" s="2">
        <v>3</v>
      </c>
      <c r="I637">
        <v>1</v>
      </c>
      <c r="J637">
        <v>0</v>
      </c>
      <c r="K637" s="2">
        <v>2</v>
      </c>
      <c r="L637">
        <v>0</v>
      </c>
      <c r="M637" s="7">
        <v>0</v>
      </c>
      <c r="N637" s="7">
        <v>1.5255970000000001</v>
      </c>
      <c r="O637">
        <v>1</v>
      </c>
      <c r="P637" t="s">
        <v>14</v>
      </c>
      <c r="Q637">
        <v>0</v>
      </c>
      <c r="R637" s="8">
        <f>(Tabela2[[#This Row],[FAF_atividade_fisica_frequente_em_horas]]+ 0.1)</f>
        <v>0.1</v>
      </c>
      <c r="S637" s="1">
        <f>(Tabela2[[#This Row],[TUE_tempo_uso_aparelhos_em_horas]]/Tabela2[[#This Row],[FAF_Var]])</f>
        <v>15.25597</v>
      </c>
      <c r="T637">
        <f>(Tabela2[[#This Row],[CAEC_lanche_entre_refeicoes]]*Tabela2[[#This Row],[FAVC_consumo_frequente_de_alimentos_mt_caloricos]])</f>
        <v>1</v>
      </c>
      <c r="U637" s="1">
        <f>IF(OR(Tabela2[[#This Row],[MTRANS]]="Walking",Tabela2[[#This Row],[MTRANS]]="Bike"),Tabela2[[#This Row],[FAF_atividade_fisica_frequente_em_horas]]+1,M637)</f>
        <v>0</v>
      </c>
      <c r="V637">
        <f>(Tabela2[[#This Row],[SMOKE]]+Tabela2[[#This Row],[CALC_bebe_alcool_frequentemente]])</f>
        <v>1</v>
      </c>
      <c r="W637" s="8">
        <f>(Tabela2[[#This Row],[Weight]]/(Tabela2[[#This Row],[Height]] ^2))</f>
        <v>17.433579894188025</v>
      </c>
    </row>
    <row r="638" spans="1:23" x14ac:dyDescent="0.25">
      <c r="A638" t="s">
        <v>13</v>
      </c>
      <c r="B638" s="7">
        <v>19.054008</v>
      </c>
      <c r="C638" s="4">
        <v>1.556611</v>
      </c>
      <c r="D638" s="7">
        <v>39.695295000000002</v>
      </c>
      <c r="E638">
        <v>0</v>
      </c>
      <c r="F638">
        <v>1</v>
      </c>
      <c r="G638" s="2">
        <v>1.8891990000000001</v>
      </c>
      <c r="H638" s="2">
        <v>2.217651</v>
      </c>
      <c r="I638">
        <v>1</v>
      </c>
      <c r="J638">
        <v>0</v>
      </c>
      <c r="K638" s="2">
        <v>2.0136050000000001</v>
      </c>
      <c r="L638">
        <v>0</v>
      </c>
      <c r="M638" s="7">
        <v>2.0752929999999998</v>
      </c>
      <c r="N638" s="7">
        <v>1.6832609999999999</v>
      </c>
      <c r="O638">
        <v>1</v>
      </c>
      <c r="P638" t="s">
        <v>14</v>
      </c>
      <c r="Q638">
        <v>0</v>
      </c>
      <c r="R638" s="8">
        <f>(Tabela2[[#This Row],[FAF_atividade_fisica_frequente_em_horas]]+ 0.1)</f>
        <v>2.1752929999999999</v>
      </c>
      <c r="S638" s="1">
        <f>(Tabela2[[#This Row],[TUE_tempo_uso_aparelhos_em_horas]]/Tabela2[[#This Row],[FAF_Var]])</f>
        <v>0.77380886161082663</v>
      </c>
      <c r="T638">
        <f>(Tabela2[[#This Row],[CAEC_lanche_entre_refeicoes]]*Tabela2[[#This Row],[FAVC_consumo_frequente_de_alimentos_mt_caloricos]])</f>
        <v>1</v>
      </c>
      <c r="U638" s="1">
        <f>IF(OR(Tabela2[[#This Row],[MTRANS]]="Walking",Tabela2[[#This Row],[MTRANS]]="Bike"),Tabela2[[#This Row],[FAF_atividade_fisica_frequente_em_horas]]+1,M638)</f>
        <v>2.0752929999999998</v>
      </c>
      <c r="V638">
        <f>(Tabela2[[#This Row],[SMOKE]]+Tabela2[[#This Row],[CALC_bebe_alcool_frequentemente]])</f>
        <v>1</v>
      </c>
      <c r="W638" s="8">
        <f>(Tabela2[[#This Row],[Weight]]/(Tabela2[[#This Row],[Height]] ^2))</f>
        <v>16.382449713673054</v>
      </c>
    </row>
    <row r="639" spans="1:23" x14ac:dyDescent="0.25">
      <c r="A639" t="s">
        <v>15</v>
      </c>
      <c r="B639" s="7">
        <v>18</v>
      </c>
      <c r="C639" s="4">
        <v>1.845399</v>
      </c>
      <c r="D639" s="7">
        <v>60</v>
      </c>
      <c r="E639">
        <v>1</v>
      </c>
      <c r="F639">
        <v>1</v>
      </c>
      <c r="G639" s="2">
        <v>3</v>
      </c>
      <c r="H639" s="2">
        <v>4</v>
      </c>
      <c r="I639">
        <v>1</v>
      </c>
      <c r="J639">
        <v>0</v>
      </c>
      <c r="K639" s="2">
        <v>2</v>
      </c>
      <c r="L639">
        <v>0</v>
      </c>
      <c r="M639" s="7">
        <v>2</v>
      </c>
      <c r="N639" s="7">
        <v>0</v>
      </c>
      <c r="O639">
        <v>0</v>
      </c>
      <c r="P639" t="s">
        <v>17</v>
      </c>
      <c r="Q639">
        <v>0</v>
      </c>
      <c r="R639" s="8">
        <f>(Tabela2[[#This Row],[FAF_atividade_fisica_frequente_em_horas]]+ 0.1)</f>
        <v>2.1</v>
      </c>
      <c r="S639" s="1">
        <f>(Tabela2[[#This Row],[TUE_tempo_uso_aparelhos_em_horas]]/Tabela2[[#This Row],[FAF_Var]])</f>
        <v>0</v>
      </c>
      <c r="T639">
        <f>(Tabela2[[#This Row],[CAEC_lanche_entre_refeicoes]]*Tabela2[[#This Row],[FAVC_consumo_frequente_de_alimentos_mt_caloricos]])</f>
        <v>1</v>
      </c>
      <c r="U639" s="1">
        <f>IF(OR(Tabela2[[#This Row],[MTRANS]]="Walking",Tabela2[[#This Row],[MTRANS]]="Bike"),Tabela2[[#This Row],[FAF_atividade_fisica_frequente_em_horas]]+1,M639)</f>
        <v>2</v>
      </c>
      <c r="V639">
        <f>(Tabela2[[#This Row],[SMOKE]]+Tabela2[[#This Row],[CALC_bebe_alcool_frequentemente]])</f>
        <v>0</v>
      </c>
      <c r="W639" s="8">
        <f>(Tabela2[[#This Row],[Weight]]/(Tabela2[[#This Row],[Height]] ^2))</f>
        <v>17.618571307902702</v>
      </c>
    </row>
    <row r="640" spans="1:23" x14ac:dyDescent="0.25">
      <c r="A640" t="s">
        <v>15</v>
      </c>
      <c r="B640" s="7">
        <v>17.491271999999999</v>
      </c>
      <c r="C640" s="4">
        <v>1.8346370000000001</v>
      </c>
      <c r="D640" s="7">
        <v>59.990861000000002</v>
      </c>
      <c r="E640">
        <v>1</v>
      </c>
      <c r="F640">
        <v>1</v>
      </c>
      <c r="G640" s="2">
        <v>2.9437489999999999</v>
      </c>
      <c r="H640" s="2">
        <v>4</v>
      </c>
      <c r="I640">
        <v>1</v>
      </c>
      <c r="J640">
        <v>0</v>
      </c>
      <c r="K640" s="2">
        <v>2</v>
      </c>
      <c r="L640">
        <v>0</v>
      </c>
      <c r="M640" s="7">
        <v>2</v>
      </c>
      <c r="N640" s="7">
        <v>0.12889500000000001</v>
      </c>
      <c r="O640">
        <v>0</v>
      </c>
      <c r="P640" t="s">
        <v>17</v>
      </c>
      <c r="Q640">
        <v>0</v>
      </c>
      <c r="R640" s="8">
        <f>(Tabela2[[#This Row],[FAF_atividade_fisica_frequente_em_horas]]+ 0.1)</f>
        <v>2.1</v>
      </c>
      <c r="S640" s="1">
        <f>(Tabela2[[#This Row],[TUE_tempo_uso_aparelhos_em_horas]]/Tabela2[[#This Row],[FAF_Var]])</f>
        <v>6.1378571428571428E-2</v>
      </c>
      <c r="T640">
        <f>(Tabela2[[#This Row],[CAEC_lanche_entre_refeicoes]]*Tabela2[[#This Row],[FAVC_consumo_frequente_de_alimentos_mt_caloricos]])</f>
        <v>1</v>
      </c>
      <c r="U640" s="1">
        <f>IF(OR(Tabela2[[#This Row],[MTRANS]]="Walking",Tabela2[[#This Row],[MTRANS]]="Bike"),Tabela2[[#This Row],[FAF_atividade_fisica_frequente_em_horas]]+1,M640)</f>
        <v>2</v>
      </c>
      <c r="V640">
        <f>(Tabela2[[#This Row],[SMOKE]]+Tabela2[[#This Row],[CALC_bebe_alcool_frequentemente]])</f>
        <v>0</v>
      </c>
      <c r="W640" s="8">
        <f>(Tabela2[[#This Row],[Weight]]/(Tabela2[[#This Row],[Height]] ^2))</f>
        <v>17.823163836260964</v>
      </c>
    </row>
    <row r="641" spans="1:23" x14ac:dyDescent="0.25">
      <c r="A641" t="s">
        <v>15</v>
      </c>
      <c r="B641" s="7">
        <v>18</v>
      </c>
      <c r="C641" s="4">
        <v>1.721854</v>
      </c>
      <c r="D641" s="7">
        <v>52.514302000000001</v>
      </c>
      <c r="E641">
        <v>1</v>
      </c>
      <c r="F641">
        <v>1</v>
      </c>
      <c r="G641" s="2">
        <v>2.3399800000000002</v>
      </c>
      <c r="H641" s="2">
        <v>3</v>
      </c>
      <c r="I641">
        <v>1</v>
      </c>
      <c r="J641">
        <v>0</v>
      </c>
      <c r="K641" s="2">
        <v>2</v>
      </c>
      <c r="L641">
        <v>0</v>
      </c>
      <c r="M641" s="7">
        <v>2.7432999999999999E-2</v>
      </c>
      <c r="N641" s="7">
        <v>1.8841380000000001</v>
      </c>
      <c r="O641">
        <v>1</v>
      </c>
      <c r="P641" t="s">
        <v>14</v>
      </c>
      <c r="Q641">
        <v>0</v>
      </c>
      <c r="R641" s="8">
        <f>(Tabela2[[#This Row],[FAF_atividade_fisica_frequente_em_horas]]+ 0.1)</f>
        <v>0.12743300000000002</v>
      </c>
      <c r="S641" s="1">
        <f>(Tabela2[[#This Row],[TUE_tempo_uso_aparelhos_em_horas]]/Tabela2[[#This Row],[FAF_Var]])</f>
        <v>14.785322483187242</v>
      </c>
      <c r="T641">
        <f>(Tabela2[[#This Row],[CAEC_lanche_entre_refeicoes]]*Tabela2[[#This Row],[FAVC_consumo_frequente_de_alimentos_mt_caloricos]])</f>
        <v>1</v>
      </c>
      <c r="U641" s="1">
        <f>IF(OR(Tabela2[[#This Row],[MTRANS]]="Walking",Tabela2[[#This Row],[MTRANS]]="Bike"),Tabela2[[#This Row],[FAF_atividade_fisica_frequente_em_horas]]+1,M641)</f>
        <v>2.7432999999999999E-2</v>
      </c>
      <c r="V641">
        <f>(Tabela2[[#This Row],[SMOKE]]+Tabela2[[#This Row],[CALC_bebe_alcool_frequentemente]])</f>
        <v>1</v>
      </c>
      <c r="W641" s="8">
        <f>(Tabela2[[#This Row],[Weight]]/(Tabela2[[#This Row],[Height]] ^2))</f>
        <v>17.712707449555101</v>
      </c>
    </row>
    <row r="642" spans="1:23" x14ac:dyDescent="0.25">
      <c r="A642" t="s">
        <v>13</v>
      </c>
      <c r="B642" s="7">
        <v>20.172661000000002</v>
      </c>
      <c r="C642" s="4">
        <v>1.605521</v>
      </c>
      <c r="D642" s="7">
        <v>44.661461000000003</v>
      </c>
      <c r="E642">
        <v>0</v>
      </c>
      <c r="F642">
        <v>0</v>
      </c>
      <c r="G642" s="2">
        <v>3</v>
      </c>
      <c r="H642" s="2">
        <v>2.8937780000000002</v>
      </c>
      <c r="I642">
        <v>2</v>
      </c>
      <c r="J642">
        <v>0</v>
      </c>
      <c r="K642" s="2">
        <v>1</v>
      </c>
      <c r="L642">
        <v>1</v>
      </c>
      <c r="M642" s="7">
        <v>0.76972600000000002</v>
      </c>
      <c r="N642" s="7">
        <v>0</v>
      </c>
      <c r="O642">
        <v>1</v>
      </c>
      <c r="P642" t="s">
        <v>14</v>
      </c>
      <c r="Q642">
        <v>0</v>
      </c>
      <c r="R642" s="8">
        <f>(Tabela2[[#This Row],[FAF_atividade_fisica_frequente_em_horas]]+ 0.1)</f>
        <v>0.869726</v>
      </c>
      <c r="S642" s="1">
        <f>(Tabela2[[#This Row],[TUE_tempo_uso_aparelhos_em_horas]]/Tabela2[[#This Row],[FAF_Var]])</f>
        <v>0</v>
      </c>
      <c r="T642">
        <f>(Tabela2[[#This Row],[CAEC_lanche_entre_refeicoes]]*Tabela2[[#This Row],[FAVC_consumo_frequente_de_alimentos_mt_caloricos]])</f>
        <v>0</v>
      </c>
      <c r="U642" s="1">
        <f>IF(OR(Tabela2[[#This Row],[MTRANS]]="Walking",Tabela2[[#This Row],[MTRANS]]="Bike"),Tabela2[[#This Row],[FAF_atividade_fisica_frequente_em_horas]]+1,M642)</f>
        <v>0.76972600000000002</v>
      </c>
      <c r="V642">
        <f>(Tabela2[[#This Row],[SMOKE]]+Tabela2[[#This Row],[CALC_bebe_alcool_frequentemente]])</f>
        <v>1</v>
      </c>
      <c r="W642" s="8">
        <f>(Tabela2[[#This Row],[Weight]]/(Tabela2[[#This Row],[Height]] ^2))</f>
        <v>17.326105121463698</v>
      </c>
    </row>
    <row r="643" spans="1:23" x14ac:dyDescent="0.25">
      <c r="A643" t="s">
        <v>13</v>
      </c>
      <c r="B643" s="7">
        <v>19.220108</v>
      </c>
      <c r="C643" s="4">
        <v>1.5302659999999999</v>
      </c>
      <c r="D643" s="7">
        <v>42</v>
      </c>
      <c r="E643">
        <v>0</v>
      </c>
      <c r="F643">
        <v>1</v>
      </c>
      <c r="G643" s="2">
        <v>3</v>
      </c>
      <c r="H643" s="2">
        <v>1</v>
      </c>
      <c r="I643">
        <v>2</v>
      </c>
      <c r="J643">
        <v>0</v>
      </c>
      <c r="K643" s="2">
        <v>1.9548890000000001</v>
      </c>
      <c r="L643">
        <v>0</v>
      </c>
      <c r="M643" s="7">
        <v>0</v>
      </c>
      <c r="N643" s="7">
        <v>0.90786800000000001</v>
      </c>
      <c r="O643">
        <v>1</v>
      </c>
      <c r="P643" t="s">
        <v>14</v>
      </c>
      <c r="Q643">
        <v>0</v>
      </c>
      <c r="R643" s="8">
        <f>(Tabela2[[#This Row],[FAF_atividade_fisica_frequente_em_horas]]+ 0.1)</f>
        <v>0.1</v>
      </c>
      <c r="S643" s="1">
        <f>(Tabela2[[#This Row],[TUE_tempo_uso_aparelhos_em_horas]]/Tabela2[[#This Row],[FAF_Var]])</f>
        <v>9.0786800000000003</v>
      </c>
      <c r="T643">
        <f>(Tabela2[[#This Row],[CAEC_lanche_entre_refeicoes]]*Tabela2[[#This Row],[FAVC_consumo_frequente_de_alimentos_mt_caloricos]])</f>
        <v>2</v>
      </c>
      <c r="U643" s="1">
        <f>IF(OR(Tabela2[[#This Row],[MTRANS]]="Walking",Tabela2[[#This Row],[MTRANS]]="Bike"),Tabela2[[#This Row],[FAF_atividade_fisica_frequente_em_horas]]+1,M643)</f>
        <v>0</v>
      </c>
      <c r="V643">
        <f>(Tabela2[[#This Row],[SMOKE]]+Tabela2[[#This Row],[CALC_bebe_alcool_frequentemente]])</f>
        <v>1</v>
      </c>
      <c r="W643" s="8">
        <f>(Tabela2[[#This Row],[Weight]]/(Tabela2[[#This Row],[Height]] ^2))</f>
        <v>17.935580283661157</v>
      </c>
    </row>
    <row r="644" spans="1:23" x14ac:dyDescent="0.25">
      <c r="A644" t="s">
        <v>15</v>
      </c>
      <c r="B644" s="7">
        <v>18</v>
      </c>
      <c r="C644" s="4">
        <v>1.71889</v>
      </c>
      <c r="D644" s="7">
        <v>52.058335</v>
      </c>
      <c r="E644">
        <v>1</v>
      </c>
      <c r="F644">
        <v>1</v>
      </c>
      <c r="G644" s="2">
        <v>1.950742</v>
      </c>
      <c r="H644" s="2">
        <v>3</v>
      </c>
      <c r="I644">
        <v>1</v>
      </c>
      <c r="J644">
        <v>0</v>
      </c>
      <c r="K644" s="2">
        <v>1.7517229999999999</v>
      </c>
      <c r="L644">
        <v>0</v>
      </c>
      <c r="M644" s="7">
        <v>0.20113600000000001</v>
      </c>
      <c r="N644" s="7">
        <v>1.7433190000000001</v>
      </c>
      <c r="O644">
        <v>1</v>
      </c>
      <c r="P644" t="s">
        <v>14</v>
      </c>
      <c r="Q644">
        <v>0</v>
      </c>
      <c r="R644" s="8">
        <f>(Tabela2[[#This Row],[FAF_atividade_fisica_frequente_em_horas]]+ 0.1)</f>
        <v>0.30113600000000001</v>
      </c>
      <c r="S644" s="1">
        <f>(Tabela2[[#This Row],[TUE_tempo_uso_aparelhos_em_horas]]/Tabela2[[#This Row],[FAF_Var]])</f>
        <v>5.7891417831146059</v>
      </c>
      <c r="T644">
        <f>(Tabela2[[#This Row],[CAEC_lanche_entre_refeicoes]]*Tabela2[[#This Row],[FAVC_consumo_frequente_de_alimentos_mt_caloricos]])</f>
        <v>1</v>
      </c>
      <c r="U644" s="1">
        <f>IF(OR(Tabela2[[#This Row],[MTRANS]]="Walking",Tabela2[[#This Row],[MTRANS]]="Bike"),Tabela2[[#This Row],[FAF_atividade_fisica_frequente_em_horas]]+1,M644)</f>
        <v>0.20113600000000001</v>
      </c>
      <c r="V644">
        <f>(Tabela2[[#This Row],[SMOKE]]+Tabela2[[#This Row],[CALC_bebe_alcool_frequentemente]])</f>
        <v>1</v>
      </c>
      <c r="W644" s="8">
        <f>(Tabela2[[#This Row],[Weight]]/(Tabela2[[#This Row],[Height]] ^2))</f>
        <v>17.61952125166821</v>
      </c>
    </row>
    <row r="645" spans="1:23" x14ac:dyDescent="0.25">
      <c r="A645" t="s">
        <v>15</v>
      </c>
      <c r="B645" s="7">
        <v>19.96247</v>
      </c>
      <c r="C645" s="4">
        <v>1.756338</v>
      </c>
      <c r="D645" s="7">
        <v>54.982340000000001</v>
      </c>
      <c r="E645">
        <v>1</v>
      </c>
      <c r="F645">
        <v>1</v>
      </c>
      <c r="G645" s="2">
        <v>2.2774359999999998</v>
      </c>
      <c r="H645" s="2">
        <v>3.5026039999999998</v>
      </c>
      <c r="I645">
        <v>1</v>
      </c>
      <c r="J645">
        <v>0</v>
      </c>
      <c r="K645" s="2">
        <v>2.8917130000000002</v>
      </c>
      <c r="L645">
        <v>0</v>
      </c>
      <c r="M645" s="7">
        <v>1.696294</v>
      </c>
      <c r="N645" s="7">
        <v>1.8949020000000001</v>
      </c>
      <c r="O645">
        <v>0</v>
      </c>
      <c r="P645" t="s">
        <v>14</v>
      </c>
      <c r="Q645">
        <v>0</v>
      </c>
      <c r="R645" s="8">
        <f>(Tabela2[[#This Row],[FAF_atividade_fisica_frequente_em_horas]]+ 0.1)</f>
        <v>1.7962940000000001</v>
      </c>
      <c r="S645" s="1">
        <f>(Tabela2[[#This Row],[TUE_tempo_uso_aparelhos_em_horas]]/Tabela2[[#This Row],[FAF_Var]])</f>
        <v>1.0548952454330973</v>
      </c>
      <c r="T645">
        <f>(Tabela2[[#This Row],[CAEC_lanche_entre_refeicoes]]*Tabela2[[#This Row],[FAVC_consumo_frequente_de_alimentos_mt_caloricos]])</f>
        <v>1</v>
      </c>
      <c r="U645" s="1">
        <f>IF(OR(Tabela2[[#This Row],[MTRANS]]="Walking",Tabela2[[#This Row],[MTRANS]]="Bike"),Tabela2[[#This Row],[FAF_atividade_fisica_frequente_em_horas]]+1,M645)</f>
        <v>1.696294</v>
      </c>
      <c r="V645">
        <f>(Tabela2[[#This Row],[SMOKE]]+Tabela2[[#This Row],[CALC_bebe_alcool_frequentemente]])</f>
        <v>0</v>
      </c>
      <c r="W645" s="8">
        <f>(Tabela2[[#This Row],[Weight]]/(Tabela2[[#This Row],[Height]] ^2))</f>
        <v>17.824075926933478</v>
      </c>
    </row>
    <row r="646" spans="1:23" x14ac:dyDescent="0.25">
      <c r="A646" t="s">
        <v>15</v>
      </c>
      <c r="B646" s="7">
        <v>17.580627</v>
      </c>
      <c r="C646" s="4">
        <v>1.770324</v>
      </c>
      <c r="D646" s="7">
        <v>55.695253000000001</v>
      </c>
      <c r="E646">
        <v>1</v>
      </c>
      <c r="F646">
        <v>1</v>
      </c>
      <c r="G646" s="2">
        <v>2</v>
      </c>
      <c r="H646" s="2">
        <v>4</v>
      </c>
      <c r="I646">
        <v>1</v>
      </c>
      <c r="J646">
        <v>0</v>
      </c>
      <c r="K646" s="2">
        <v>2.3696269999999999</v>
      </c>
      <c r="L646">
        <v>0</v>
      </c>
      <c r="M646" s="7">
        <v>2</v>
      </c>
      <c r="N646" s="7">
        <v>1.612466</v>
      </c>
      <c r="O646">
        <v>0</v>
      </c>
      <c r="P646" t="s">
        <v>17</v>
      </c>
      <c r="Q646">
        <v>0</v>
      </c>
      <c r="R646" s="8">
        <f>(Tabela2[[#This Row],[FAF_atividade_fisica_frequente_em_horas]]+ 0.1)</f>
        <v>2.1</v>
      </c>
      <c r="S646" s="1">
        <f>(Tabela2[[#This Row],[TUE_tempo_uso_aparelhos_em_horas]]/Tabela2[[#This Row],[FAF_Var]])</f>
        <v>0.76784095238095229</v>
      </c>
      <c r="T646">
        <f>(Tabela2[[#This Row],[CAEC_lanche_entre_refeicoes]]*Tabela2[[#This Row],[FAVC_consumo_frequente_de_alimentos_mt_caloricos]])</f>
        <v>1</v>
      </c>
      <c r="U646" s="1">
        <f>IF(OR(Tabela2[[#This Row],[MTRANS]]="Walking",Tabela2[[#This Row],[MTRANS]]="Bike"),Tabela2[[#This Row],[FAF_atividade_fisica_frequente_em_horas]]+1,M646)</f>
        <v>2</v>
      </c>
      <c r="V646">
        <f>(Tabela2[[#This Row],[SMOKE]]+Tabela2[[#This Row],[CALC_bebe_alcool_frequentemente]])</f>
        <v>0</v>
      </c>
      <c r="W646" s="8">
        <f>(Tabela2[[#This Row],[Weight]]/(Tabela2[[#This Row],[Height]] ^2))</f>
        <v>17.77103273987575</v>
      </c>
    </row>
    <row r="647" spans="1:23" x14ac:dyDescent="0.25">
      <c r="A647" t="s">
        <v>13</v>
      </c>
      <c r="B647" s="7">
        <v>21.125098000000001</v>
      </c>
      <c r="C647" s="4">
        <v>1.767479</v>
      </c>
      <c r="D647" s="7">
        <v>56.265959000000002</v>
      </c>
      <c r="E647">
        <v>1</v>
      </c>
      <c r="F647">
        <v>1</v>
      </c>
      <c r="G647" s="2">
        <v>2.3713380000000002</v>
      </c>
      <c r="H647" s="2">
        <v>3.9987659999999998</v>
      </c>
      <c r="I647">
        <v>2</v>
      </c>
      <c r="J647">
        <v>0</v>
      </c>
      <c r="K647" s="2">
        <v>2.2634660000000002</v>
      </c>
      <c r="L647">
        <v>0</v>
      </c>
      <c r="M647" s="7">
        <v>2</v>
      </c>
      <c r="N647" s="7">
        <v>0.84400399999999998</v>
      </c>
      <c r="O647">
        <v>0</v>
      </c>
      <c r="P647" t="s">
        <v>14</v>
      </c>
      <c r="Q647">
        <v>0</v>
      </c>
      <c r="R647" s="8">
        <f>(Tabela2[[#This Row],[FAF_atividade_fisica_frequente_em_horas]]+ 0.1)</f>
        <v>2.1</v>
      </c>
      <c r="S647" s="1">
        <f>(Tabela2[[#This Row],[TUE_tempo_uso_aparelhos_em_horas]]/Tabela2[[#This Row],[FAF_Var]])</f>
        <v>0.40190666666666663</v>
      </c>
      <c r="T647">
        <f>(Tabela2[[#This Row],[CAEC_lanche_entre_refeicoes]]*Tabela2[[#This Row],[FAVC_consumo_frequente_de_alimentos_mt_caloricos]])</f>
        <v>2</v>
      </c>
      <c r="U647" s="1">
        <f>IF(OR(Tabela2[[#This Row],[MTRANS]]="Walking",Tabela2[[#This Row],[MTRANS]]="Bike"),Tabela2[[#This Row],[FAF_atividade_fisica_frequente_em_horas]]+1,M647)</f>
        <v>2</v>
      </c>
      <c r="V647">
        <f>(Tabela2[[#This Row],[SMOKE]]+Tabela2[[#This Row],[CALC_bebe_alcool_frequentemente]])</f>
        <v>0</v>
      </c>
      <c r="W647" s="8">
        <f>(Tabela2[[#This Row],[Weight]]/(Tabela2[[#This Row],[Height]] ^2))</f>
        <v>18.01097404591081</v>
      </c>
    </row>
    <row r="648" spans="1:23" x14ac:dyDescent="0.25">
      <c r="A648" t="s">
        <v>13</v>
      </c>
      <c r="B648" s="7">
        <v>22.033128999999999</v>
      </c>
      <c r="C648" s="4">
        <v>1.704223</v>
      </c>
      <c r="D648" s="7">
        <v>51.437984999999998</v>
      </c>
      <c r="E648">
        <v>1</v>
      </c>
      <c r="F648">
        <v>1</v>
      </c>
      <c r="G648" s="2">
        <v>2.9844249999999999</v>
      </c>
      <c r="H648" s="2">
        <v>3</v>
      </c>
      <c r="I648">
        <v>2</v>
      </c>
      <c r="J648">
        <v>0</v>
      </c>
      <c r="K648" s="2">
        <v>2.0446939999999998</v>
      </c>
      <c r="L648">
        <v>0</v>
      </c>
      <c r="M648" s="7">
        <v>2.0082559999999998</v>
      </c>
      <c r="N648" s="7">
        <v>1.2508710000000001</v>
      </c>
      <c r="O648">
        <v>0</v>
      </c>
      <c r="P648" t="s">
        <v>14</v>
      </c>
      <c r="Q648">
        <v>0</v>
      </c>
      <c r="R648" s="8">
        <f>(Tabela2[[#This Row],[FAF_atividade_fisica_frequente_em_horas]]+ 0.1)</f>
        <v>2.1082559999999999</v>
      </c>
      <c r="S648" s="1">
        <f>(Tabela2[[#This Row],[TUE_tempo_uso_aparelhos_em_horas]]/Tabela2[[#This Row],[FAF_Var]])</f>
        <v>0.59332026091708034</v>
      </c>
      <c r="T648">
        <f>(Tabela2[[#This Row],[CAEC_lanche_entre_refeicoes]]*Tabela2[[#This Row],[FAVC_consumo_frequente_de_alimentos_mt_caloricos]])</f>
        <v>2</v>
      </c>
      <c r="U648" s="1">
        <f>IF(OR(Tabela2[[#This Row],[MTRANS]]="Walking",Tabela2[[#This Row],[MTRANS]]="Bike"),Tabela2[[#This Row],[FAF_atividade_fisica_frequente_em_horas]]+1,M648)</f>
        <v>2.0082559999999998</v>
      </c>
      <c r="V648">
        <f>(Tabela2[[#This Row],[SMOKE]]+Tabela2[[#This Row],[CALC_bebe_alcool_frequentemente]])</f>
        <v>0</v>
      </c>
      <c r="W648" s="8">
        <f>(Tabela2[[#This Row],[Weight]]/(Tabela2[[#This Row],[Height]] ^2))</f>
        <v>17.71051144984057</v>
      </c>
    </row>
    <row r="649" spans="1:23" x14ac:dyDescent="0.25">
      <c r="A649" t="s">
        <v>13</v>
      </c>
      <c r="B649" s="7">
        <v>20.744838999999999</v>
      </c>
      <c r="C649" s="4">
        <v>1.6678519999999999</v>
      </c>
      <c r="D649" s="7">
        <v>49.803921000000003</v>
      </c>
      <c r="E649">
        <v>1</v>
      </c>
      <c r="F649">
        <v>1</v>
      </c>
      <c r="G649" s="2">
        <v>2.9770180000000002</v>
      </c>
      <c r="H649" s="2">
        <v>3.1936710000000001</v>
      </c>
      <c r="I649">
        <v>2</v>
      </c>
      <c r="J649">
        <v>0</v>
      </c>
      <c r="K649" s="2">
        <v>2.4829330000000001</v>
      </c>
      <c r="L649">
        <v>0</v>
      </c>
      <c r="M649" s="7">
        <v>2</v>
      </c>
      <c r="N649" s="7">
        <v>1</v>
      </c>
      <c r="O649">
        <v>0</v>
      </c>
      <c r="P649" t="s">
        <v>14</v>
      </c>
      <c r="Q649">
        <v>0</v>
      </c>
      <c r="R649" s="8">
        <f>(Tabela2[[#This Row],[FAF_atividade_fisica_frequente_em_horas]]+ 0.1)</f>
        <v>2.1</v>
      </c>
      <c r="S649" s="1">
        <f>(Tabela2[[#This Row],[TUE_tempo_uso_aparelhos_em_horas]]/Tabela2[[#This Row],[FAF_Var]])</f>
        <v>0.47619047619047616</v>
      </c>
      <c r="T649">
        <f>(Tabela2[[#This Row],[CAEC_lanche_entre_refeicoes]]*Tabela2[[#This Row],[FAVC_consumo_frequente_de_alimentos_mt_caloricos]])</f>
        <v>2</v>
      </c>
      <c r="U649" s="1">
        <f>IF(OR(Tabela2[[#This Row],[MTRANS]]="Walking",Tabela2[[#This Row],[MTRANS]]="Bike"),Tabela2[[#This Row],[FAF_atividade_fisica_frequente_em_horas]]+1,M649)</f>
        <v>2</v>
      </c>
      <c r="V649">
        <f>(Tabela2[[#This Row],[SMOKE]]+Tabela2[[#This Row],[CALC_bebe_alcool_frequentemente]])</f>
        <v>0</v>
      </c>
      <c r="W649" s="8">
        <f>(Tabela2[[#This Row],[Weight]]/(Tabela2[[#This Row],[Height]] ^2))</f>
        <v>17.903935945602779</v>
      </c>
    </row>
    <row r="650" spans="1:23" x14ac:dyDescent="0.25">
      <c r="A650" t="s">
        <v>13</v>
      </c>
      <c r="B650" s="7">
        <v>22.547298000000001</v>
      </c>
      <c r="C650" s="4">
        <v>1.722461</v>
      </c>
      <c r="D650" s="7">
        <v>51.881262999999997</v>
      </c>
      <c r="E650">
        <v>1</v>
      </c>
      <c r="F650">
        <v>1</v>
      </c>
      <c r="G650" s="2">
        <v>2.663421</v>
      </c>
      <c r="H650" s="2">
        <v>3</v>
      </c>
      <c r="I650">
        <v>2</v>
      </c>
      <c r="J650">
        <v>0</v>
      </c>
      <c r="K650" s="2">
        <v>1.04111</v>
      </c>
      <c r="L650">
        <v>0</v>
      </c>
      <c r="M650" s="7">
        <v>0.79440200000000005</v>
      </c>
      <c r="N650" s="7">
        <v>1.391948</v>
      </c>
      <c r="O650">
        <v>0</v>
      </c>
      <c r="P650" t="s">
        <v>14</v>
      </c>
      <c r="Q650">
        <v>0</v>
      </c>
      <c r="R650" s="8">
        <f>(Tabela2[[#This Row],[FAF_atividade_fisica_frequente_em_horas]]+ 0.1)</f>
        <v>0.89440200000000003</v>
      </c>
      <c r="S650" s="1">
        <f>(Tabela2[[#This Row],[TUE_tempo_uso_aparelhos_em_horas]]/Tabela2[[#This Row],[FAF_Var]])</f>
        <v>1.5562890065093771</v>
      </c>
      <c r="T650">
        <f>(Tabela2[[#This Row],[CAEC_lanche_entre_refeicoes]]*Tabela2[[#This Row],[FAVC_consumo_frequente_de_alimentos_mt_caloricos]])</f>
        <v>2</v>
      </c>
      <c r="U650" s="1">
        <f>IF(OR(Tabela2[[#This Row],[MTRANS]]="Walking",Tabela2[[#This Row],[MTRANS]]="Bike"),Tabela2[[#This Row],[FAF_atividade_fisica_frequente_em_horas]]+1,M650)</f>
        <v>0.79440200000000005</v>
      </c>
      <c r="V650">
        <f>(Tabela2[[#This Row],[SMOKE]]+Tabela2[[#This Row],[CALC_bebe_alcool_frequentemente]])</f>
        <v>0</v>
      </c>
      <c r="W650" s="8">
        <f>(Tabela2[[#This Row],[Weight]]/(Tabela2[[#This Row],[Height]] ^2))</f>
        <v>17.486856463481544</v>
      </c>
    </row>
    <row r="651" spans="1:23" x14ac:dyDescent="0.25">
      <c r="A651" t="s">
        <v>13</v>
      </c>
      <c r="B651" s="7">
        <v>21.837996</v>
      </c>
      <c r="C651" s="4">
        <v>1.5880460000000001</v>
      </c>
      <c r="D651" s="7">
        <v>44.236066999999998</v>
      </c>
      <c r="E651">
        <v>0</v>
      </c>
      <c r="F651">
        <v>0</v>
      </c>
      <c r="G651" s="2">
        <v>3</v>
      </c>
      <c r="H651" s="2">
        <v>1.69608</v>
      </c>
      <c r="I651">
        <v>2</v>
      </c>
      <c r="J651">
        <v>0</v>
      </c>
      <c r="K651" s="2">
        <v>2.5503070000000001</v>
      </c>
      <c r="L651">
        <v>0</v>
      </c>
      <c r="M651" s="7">
        <v>1.098862</v>
      </c>
      <c r="N651" s="7">
        <v>0</v>
      </c>
      <c r="O651">
        <v>0</v>
      </c>
      <c r="P651" t="s">
        <v>14</v>
      </c>
      <c r="Q651">
        <v>0</v>
      </c>
      <c r="R651" s="8">
        <f>(Tabela2[[#This Row],[FAF_atividade_fisica_frequente_em_horas]]+ 0.1)</f>
        <v>1.1988620000000001</v>
      </c>
      <c r="S651" s="1">
        <f>(Tabela2[[#This Row],[TUE_tempo_uso_aparelhos_em_horas]]/Tabela2[[#This Row],[FAF_Var]])</f>
        <v>0</v>
      </c>
      <c r="T651">
        <f>(Tabela2[[#This Row],[CAEC_lanche_entre_refeicoes]]*Tabela2[[#This Row],[FAVC_consumo_frequente_de_alimentos_mt_caloricos]])</f>
        <v>0</v>
      </c>
      <c r="U651" s="1">
        <f>IF(OR(Tabela2[[#This Row],[MTRANS]]="Walking",Tabela2[[#This Row],[MTRANS]]="Bike"),Tabela2[[#This Row],[FAF_atividade_fisica_frequente_em_horas]]+1,M651)</f>
        <v>1.098862</v>
      </c>
      <c r="V651">
        <f>(Tabela2[[#This Row],[SMOKE]]+Tabela2[[#This Row],[CALC_bebe_alcool_frequentemente]])</f>
        <v>0</v>
      </c>
      <c r="W651" s="8">
        <f>(Tabela2[[#This Row],[Weight]]/(Tabela2[[#This Row],[Height]] ^2))</f>
        <v>17.540838529421617</v>
      </c>
    </row>
    <row r="652" spans="1:23" x14ac:dyDescent="0.25">
      <c r="A652" t="s">
        <v>13</v>
      </c>
      <c r="B652" s="7">
        <v>23.035829</v>
      </c>
      <c r="C652" s="4">
        <v>1.5986119999999999</v>
      </c>
      <c r="D652" s="7">
        <v>42.993937000000003</v>
      </c>
      <c r="E652">
        <v>0</v>
      </c>
      <c r="F652">
        <v>0</v>
      </c>
      <c r="G652" s="2">
        <v>2.753752</v>
      </c>
      <c r="H652" s="2">
        <v>2.8123770000000001</v>
      </c>
      <c r="I652">
        <v>2</v>
      </c>
      <c r="J652">
        <v>0</v>
      </c>
      <c r="K652" s="2">
        <v>2.3466469999999999</v>
      </c>
      <c r="L652">
        <v>0</v>
      </c>
      <c r="M652" s="7">
        <v>1.6122479999999999</v>
      </c>
      <c r="N652" s="7">
        <v>0</v>
      </c>
      <c r="O652">
        <v>0</v>
      </c>
      <c r="P652" t="s">
        <v>14</v>
      </c>
      <c r="Q652">
        <v>0</v>
      </c>
      <c r="R652" s="8">
        <f>(Tabela2[[#This Row],[FAF_atividade_fisica_frequente_em_horas]]+ 0.1)</f>
        <v>1.712248</v>
      </c>
      <c r="S652" s="1">
        <f>(Tabela2[[#This Row],[TUE_tempo_uso_aparelhos_em_horas]]/Tabela2[[#This Row],[FAF_Var]])</f>
        <v>0</v>
      </c>
      <c r="T652">
        <f>(Tabela2[[#This Row],[CAEC_lanche_entre_refeicoes]]*Tabela2[[#This Row],[FAVC_consumo_frequente_de_alimentos_mt_caloricos]])</f>
        <v>0</v>
      </c>
      <c r="U652" s="1">
        <f>IF(OR(Tabela2[[#This Row],[MTRANS]]="Walking",Tabela2[[#This Row],[MTRANS]]="Bike"),Tabela2[[#This Row],[FAF_atividade_fisica_frequente_em_horas]]+1,M652)</f>
        <v>1.6122479999999999</v>
      </c>
      <c r="V652">
        <f>(Tabela2[[#This Row],[SMOKE]]+Tabela2[[#This Row],[CALC_bebe_alcool_frequentemente]])</f>
        <v>0</v>
      </c>
      <c r="W652" s="8">
        <f>(Tabela2[[#This Row],[Weight]]/(Tabela2[[#This Row],[Height]] ^2))</f>
        <v>16.823683069983581</v>
      </c>
    </row>
    <row r="653" spans="1:23" x14ac:dyDescent="0.25">
      <c r="A653" t="s">
        <v>13</v>
      </c>
      <c r="B653" s="7">
        <v>21.529439</v>
      </c>
      <c r="C653" s="4">
        <v>1.592379</v>
      </c>
      <c r="D653" s="7">
        <v>44.009450000000001</v>
      </c>
      <c r="E653">
        <v>0</v>
      </c>
      <c r="F653">
        <v>0</v>
      </c>
      <c r="G653" s="2">
        <v>3</v>
      </c>
      <c r="H653" s="2">
        <v>1.6127469999999999</v>
      </c>
      <c r="I653">
        <v>2</v>
      </c>
      <c r="J653">
        <v>0</v>
      </c>
      <c r="K653" s="2">
        <v>2.5666289999999998</v>
      </c>
      <c r="L653">
        <v>0</v>
      </c>
      <c r="M653" s="7">
        <v>1.1904650000000001</v>
      </c>
      <c r="N653" s="7">
        <v>0</v>
      </c>
      <c r="O653">
        <v>0</v>
      </c>
      <c r="P653" t="s">
        <v>14</v>
      </c>
      <c r="Q653">
        <v>0</v>
      </c>
      <c r="R653" s="8">
        <f>(Tabela2[[#This Row],[FAF_atividade_fisica_frequente_em_horas]]+ 0.1)</f>
        <v>1.2904650000000002</v>
      </c>
      <c r="S653" s="1">
        <f>(Tabela2[[#This Row],[TUE_tempo_uso_aparelhos_em_horas]]/Tabela2[[#This Row],[FAF_Var]])</f>
        <v>0</v>
      </c>
      <c r="T653">
        <f>(Tabela2[[#This Row],[CAEC_lanche_entre_refeicoes]]*Tabela2[[#This Row],[FAVC_consumo_frequente_de_alimentos_mt_caloricos]])</f>
        <v>0</v>
      </c>
      <c r="U653" s="1">
        <f>IF(OR(Tabela2[[#This Row],[MTRANS]]="Walking",Tabela2[[#This Row],[MTRANS]]="Bike"),Tabela2[[#This Row],[FAF_atividade_fisica_frequente_em_horas]]+1,M653)</f>
        <v>1.1904650000000001</v>
      </c>
      <c r="V653">
        <f>(Tabela2[[#This Row],[SMOKE]]+Tabela2[[#This Row],[CALC_bebe_alcool_frequentemente]])</f>
        <v>0</v>
      </c>
      <c r="W653" s="8">
        <f>(Tabela2[[#This Row],[Weight]]/(Tabela2[[#This Row],[Height]] ^2))</f>
        <v>17.356136537022049</v>
      </c>
    </row>
    <row r="654" spans="1:23" x14ac:dyDescent="0.25">
      <c r="A654" t="s">
        <v>13</v>
      </c>
      <c r="B654" s="7">
        <v>21.287998999999999</v>
      </c>
      <c r="C654" s="4">
        <v>1.5557780000000001</v>
      </c>
      <c r="D654" s="7">
        <v>42.360100000000003</v>
      </c>
      <c r="E654">
        <v>0</v>
      </c>
      <c r="F654">
        <v>0</v>
      </c>
      <c r="G654" s="2">
        <v>2.3183549999999999</v>
      </c>
      <c r="H654" s="2">
        <v>1.0823039999999999</v>
      </c>
      <c r="I654">
        <v>2</v>
      </c>
      <c r="J654">
        <v>0</v>
      </c>
      <c r="K654" s="2">
        <v>1.2203649999999999</v>
      </c>
      <c r="L654">
        <v>0</v>
      </c>
      <c r="M654" s="7">
        <v>3.3328000000000003E-2</v>
      </c>
      <c r="N654" s="7">
        <v>0</v>
      </c>
      <c r="O654">
        <v>0</v>
      </c>
      <c r="P654" t="s">
        <v>14</v>
      </c>
      <c r="Q654">
        <v>0</v>
      </c>
      <c r="R654" s="8">
        <f>(Tabela2[[#This Row],[FAF_atividade_fisica_frequente_em_horas]]+ 0.1)</f>
        <v>0.133328</v>
      </c>
      <c r="S654" s="1">
        <f>(Tabela2[[#This Row],[TUE_tempo_uso_aparelhos_em_horas]]/Tabela2[[#This Row],[FAF_Var]])</f>
        <v>0</v>
      </c>
      <c r="T654">
        <f>(Tabela2[[#This Row],[CAEC_lanche_entre_refeicoes]]*Tabela2[[#This Row],[FAVC_consumo_frequente_de_alimentos_mt_caloricos]])</f>
        <v>0</v>
      </c>
      <c r="U654" s="1">
        <f>IF(OR(Tabela2[[#This Row],[MTRANS]]="Walking",Tabela2[[#This Row],[MTRANS]]="Bike"),Tabela2[[#This Row],[FAF_atividade_fisica_frequente_em_horas]]+1,M654)</f>
        <v>3.3328000000000003E-2</v>
      </c>
      <c r="V654">
        <f>(Tabela2[[#This Row],[SMOKE]]+Tabela2[[#This Row],[CALC_bebe_alcool_frequentemente]])</f>
        <v>0</v>
      </c>
      <c r="W654" s="8">
        <f>(Tabela2[[#This Row],[Weight]]/(Tabela2[[#This Row],[Height]] ^2))</f>
        <v>17.500954063138479</v>
      </c>
    </row>
    <row r="655" spans="1:23" x14ac:dyDescent="0.25">
      <c r="A655" t="s">
        <v>13</v>
      </c>
      <c r="B655" s="7">
        <v>23.444286000000002</v>
      </c>
      <c r="C655" s="4">
        <v>1.5964659999999999</v>
      </c>
      <c r="D655" s="7">
        <v>44.594588000000002</v>
      </c>
      <c r="E655">
        <v>0</v>
      </c>
      <c r="F655">
        <v>0</v>
      </c>
      <c r="G655" s="2">
        <v>2.5946530000000001</v>
      </c>
      <c r="H655" s="2">
        <v>1.882158</v>
      </c>
      <c r="I655">
        <v>2</v>
      </c>
      <c r="J655">
        <v>0</v>
      </c>
      <c r="K655" s="2">
        <v>1.916812</v>
      </c>
      <c r="L655">
        <v>0</v>
      </c>
      <c r="M655" s="7">
        <v>0.41711900000000002</v>
      </c>
      <c r="N655" s="7">
        <v>0</v>
      </c>
      <c r="O655">
        <v>0</v>
      </c>
      <c r="P655" t="s">
        <v>14</v>
      </c>
      <c r="Q655">
        <v>0</v>
      </c>
      <c r="R655" s="8">
        <f>(Tabela2[[#This Row],[FAF_atividade_fisica_frequente_em_horas]]+ 0.1)</f>
        <v>0.517119</v>
      </c>
      <c r="S655" s="1">
        <f>(Tabela2[[#This Row],[TUE_tempo_uso_aparelhos_em_horas]]/Tabela2[[#This Row],[FAF_Var]])</f>
        <v>0</v>
      </c>
      <c r="T655">
        <f>(Tabela2[[#This Row],[CAEC_lanche_entre_refeicoes]]*Tabela2[[#This Row],[FAVC_consumo_frequente_de_alimentos_mt_caloricos]])</f>
        <v>0</v>
      </c>
      <c r="U655" s="1">
        <f>IF(OR(Tabela2[[#This Row],[MTRANS]]="Walking",Tabela2[[#This Row],[MTRANS]]="Bike"),Tabela2[[#This Row],[FAF_atividade_fisica_frequente_em_horas]]+1,M655)</f>
        <v>0.41711900000000002</v>
      </c>
      <c r="V655">
        <f>(Tabela2[[#This Row],[SMOKE]]+Tabela2[[#This Row],[CALC_bebe_alcool_frequentemente]])</f>
        <v>0</v>
      </c>
      <c r="W655" s="8">
        <f>(Tabela2[[#This Row],[Weight]]/(Tabela2[[#This Row],[Height]] ^2))</f>
        <v>17.496968435262652</v>
      </c>
    </row>
    <row r="656" spans="1:23" x14ac:dyDescent="0.25">
      <c r="A656" t="s">
        <v>13</v>
      </c>
      <c r="B656" s="7">
        <v>22.329041</v>
      </c>
      <c r="C656" s="4">
        <v>1.598393</v>
      </c>
      <c r="D656" s="7">
        <v>44.918255000000002</v>
      </c>
      <c r="E656">
        <v>0</v>
      </c>
      <c r="F656">
        <v>0</v>
      </c>
      <c r="G656" s="2">
        <v>2.8861569999999999</v>
      </c>
      <c r="H656" s="2">
        <v>2.3262330000000002</v>
      </c>
      <c r="I656">
        <v>2</v>
      </c>
      <c r="J656">
        <v>0</v>
      </c>
      <c r="K656" s="2">
        <v>2.3068209999999998</v>
      </c>
      <c r="L656">
        <v>0</v>
      </c>
      <c r="M656" s="7">
        <v>1.4223699999999999</v>
      </c>
      <c r="N656" s="7">
        <v>0</v>
      </c>
      <c r="O656">
        <v>0</v>
      </c>
      <c r="P656" t="s">
        <v>14</v>
      </c>
      <c r="Q656">
        <v>0</v>
      </c>
      <c r="R656" s="8">
        <f>(Tabela2[[#This Row],[FAF_atividade_fisica_frequente_em_horas]]+ 0.1)</f>
        <v>1.52237</v>
      </c>
      <c r="S656" s="1">
        <f>(Tabela2[[#This Row],[TUE_tempo_uso_aparelhos_em_horas]]/Tabela2[[#This Row],[FAF_Var]])</f>
        <v>0</v>
      </c>
      <c r="T656">
        <f>(Tabela2[[#This Row],[CAEC_lanche_entre_refeicoes]]*Tabela2[[#This Row],[FAVC_consumo_frequente_de_alimentos_mt_caloricos]])</f>
        <v>0</v>
      </c>
      <c r="U656" s="1">
        <f>IF(OR(Tabela2[[#This Row],[MTRANS]]="Walking",Tabela2[[#This Row],[MTRANS]]="Bike"),Tabela2[[#This Row],[FAF_atividade_fisica_frequente_em_horas]]+1,M656)</f>
        <v>1.4223699999999999</v>
      </c>
      <c r="V656">
        <f>(Tabela2[[#This Row],[SMOKE]]+Tabela2[[#This Row],[CALC_bebe_alcool_frequentemente]])</f>
        <v>0</v>
      </c>
      <c r="W656" s="8">
        <f>(Tabela2[[#This Row],[Weight]]/(Tabela2[[#This Row],[Height]] ^2))</f>
        <v>17.581492446660203</v>
      </c>
    </row>
    <row r="657" spans="1:23" x14ac:dyDescent="0.25">
      <c r="A657" t="s">
        <v>13</v>
      </c>
      <c r="B657" s="7">
        <v>18.915050000000001</v>
      </c>
      <c r="C657" s="4">
        <v>1.633316</v>
      </c>
      <c r="D657" s="7">
        <v>45</v>
      </c>
      <c r="E657">
        <v>0</v>
      </c>
      <c r="F657">
        <v>1</v>
      </c>
      <c r="G657" s="2">
        <v>3</v>
      </c>
      <c r="H657" s="2">
        <v>3</v>
      </c>
      <c r="I657">
        <v>1</v>
      </c>
      <c r="J657">
        <v>0</v>
      </c>
      <c r="K657" s="2">
        <v>2.9245939999999999</v>
      </c>
      <c r="L657">
        <v>1</v>
      </c>
      <c r="M657" s="7">
        <v>1.3525579999999999</v>
      </c>
      <c r="N657" s="7">
        <v>0.220087</v>
      </c>
      <c r="O657">
        <v>1</v>
      </c>
      <c r="P657" t="s">
        <v>14</v>
      </c>
      <c r="Q657">
        <v>0</v>
      </c>
      <c r="R657" s="8">
        <f>(Tabela2[[#This Row],[FAF_atividade_fisica_frequente_em_horas]]+ 0.1)</f>
        <v>1.452558</v>
      </c>
      <c r="S657" s="1">
        <f>(Tabela2[[#This Row],[TUE_tempo_uso_aparelhos_em_horas]]/Tabela2[[#This Row],[FAF_Var]])</f>
        <v>0.15151684132406418</v>
      </c>
      <c r="T657">
        <f>(Tabela2[[#This Row],[CAEC_lanche_entre_refeicoes]]*Tabela2[[#This Row],[FAVC_consumo_frequente_de_alimentos_mt_caloricos]])</f>
        <v>1</v>
      </c>
      <c r="U657" s="1">
        <f>IF(OR(Tabela2[[#This Row],[MTRANS]]="Walking",Tabela2[[#This Row],[MTRANS]]="Bike"),Tabela2[[#This Row],[FAF_atividade_fisica_frequente_em_horas]]+1,M657)</f>
        <v>1.3525579999999999</v>
      </c>
      <c r="V657">
        <f>(Tabela2[[#This Row],[SMOKE]]+Tabela2[[#This Row],[CALC_bebe_alcool_frequentemente]])</f>
        <v>1</v>
      </c>
      <c r="W657" s="8">
        <f>(Tabela2[[#This Row],[Weight]]/(Tabela2[[#This Row],[Height]] ^2))</f>
        <v>16.868329698259153</v>
      </c>
    </row>
    <row r="658" spans="1:23" x14ac:dyDescent="0.25">
      <c r="A658" t="s">
        <v>13</v>
      </c>
      <c r="B658" s="7">
        <v>19</v>
      </c>
      <c r="C658" s="4">
        <v>1.5595669999999999</v>
      </c>
      <c r="D658" s="7">
        <v>42.126170000000002</v>
      </c>
      <c r="E658">
        <v>0</v>
      </c>
      <c r="F658">
        <v>1</v>
      </c>
      <c r="G658" s="2">
        <v>3</v>
      </c>
      <c r="H658" s="2">
        <v>1.989398</v>
      </c>
      <c r="I658">
        <v>1</v>
      </c>
      <c r="J658">
        <v>0</v>
      </c>
      <c r="K658" s="2">
        <v>2.2416070000000001</v>
      </c>
      <c r="L658">
        <v>0</v>
      </c>
      <c r="M658" s="7">
        <v>0.20602500000000001</v>
      </c>
      <c r="N658" s="7">
        <v>0.28445300000000001</v>
      </c>
      <c r="O658">
        <v>0</v>
      </c>
      <c r="P658" t="s">
        <v>14</v>
      </c>
      <c r="Q658">
        <v>0</v>
      </c>
      <c r="R658" s="8">
        <f>(Tabela2[[#This Row],[FAF_atividade_fisica_frequente_em_horas]]+ 0.1)</f>
        <v>0.30602499999999999</v>
      </c>
      <c r="S658" s="1">
        <f>(Tabela2[[#This Row],[TUE_tempo_uso_aparelhos_em_horas]]/Tabela2[[#This Row],[FAF_Var]])</f>
        <v>0.9295090270402746</v>
      </c>
      <c r="T658">
        <f>(Tabela2[[#This Row],[CAEC_lanche_entre_refeicoes]]*Tabela2[[#This Row],[FAVC_consumo_frequente_de_alimentos_mt_caloricos]])</f>
        <v>1</v>
      </c>
      <c r="U658" s="1">
        <f>IF(OR(Tabela2[[#This Row],[MTRANS]]="Walking",Tabela2[[#This Row],[MTRANS]]="Bike"),Tabela2[[#This Row],[FAF_atividade_fisica_frequente_em_horas]]+1,M658)</f>
        <v>0.20602500000000001</v>
      </c>
      <c r="V658">
        <f>(Tabela2[[#This Row],[SMOKE]]+Tabela2[[#This Row],[CALC_bebe_alcool_frequentemente]])</f>
        <v>0</v>
      </c>
      <c r="W658" s="8">
        <f>(Tabela2[[#This Row],[Weight]]/(Tabela2[[#This Row],[Height]] ^2))</f>
        <v>17.319841044205049</v>
      </c>
    </row>
    <row r="659" spans="1:23" x14ac:dyDescent="0.25">
      <c r="A659" t="s">
        <v>13</v>
      </c>
      <c r="B659" s="7">
        <v>19.052833</v>
      </c>
      <c r="C659" s="4">
        <v>1.546551</v>
      </c>
      <c r="D659" s="7">
        <v>42.069991999999999</v>
      </c>
      <c r="E659">
        <v>0</v>
      </c>
      <c r="F659">
        <v>1</v>
      </c>
      <c r="G659" s="2">
        <v>3</v>
      </c>
      <c r="H659" s="2">
        <v>1.735493</v>
      </c>
      <c r="I659">
        <v>1</v>
      </c>
      <c r="J659">
        <v>0</v>
      </c>
      <c r="K659" s="2">
        <v>2.3187359999999999</v>
      </c>
      <c r="L659">
        <v>0</v>
      </c>
      <c r="M659" s="7">
        <v>1.193486</v>
      </c>
      <c r="N659" s="7">
        <v>0.74568000000000001</v>
      </c>
      <c r="O659">
        <v>0</v>
      </c>
      <c r="P659" t="s">
        <v>14</v>
      </c>
      <c r="Q659">
        <v>0</v>
      </c>
      <c r="R659" s="8">
        <f>(Tabela2[[#This Row],[FAF_atividade_fisica_frequente_em_horas]]+ 0.1)</f>
        <v>1.2934860000000001</v>
      </c>
      <c r="S659" s="1">
        <f>(Tabela2[[#This Row],[TUE_tempo_uso_aparelhos_em_horas]]/Tabela2[[#This Row],[FAF_Var]])</f>
        <v>0.57648865159731144</v>
      </c>
      <c r="T659">
        <f>(Tabela2[[#This Row],[CAEC_lanche_entre_refeicoes]]*Tabela2[[#This Row],[FAVC_consumo_frequente_de_alimentos_mt_caloricos]])</f>
        <v>1</v>
      </c>
      <c r="U659" s="1">
        <f>IF(OR(Tabela2[[#This Row],[MTRANS]]="Walking",Tabela2[[#This Row],[MTRANS]]="Bike"),Tabela2[[#This Row],[FAF_atividade_fisica_frequente_em_horas]]+1,M659)</f>
        <v>1.193486</v>
      </c>
      <c r="V659">
        <f>(Tabela2[[#This Row],[SMOKE]]+Tabela2[[#This Row],[CALC_bebe_alcool_frequentemente]])</f>
        <v>0</v>
      </c>
      <c r="W659" s="8">
        <f>(Tabela2[[#This Row],[Weight]]/(Tabela2[[#This Row],[Height]] ^2))</f>
        <v>17.58911292546032</v>
      </c>
    </row>
    <row r="660" spans="1:23" x14ac:dyDescent="0.25">
      <c r="A660" t="s">
        <v>13</v>
      </c>
      <c r="B660" s="7">
        <v>19.599039999999999</v>
      </c>
      <c r="C660" s="4">
        <v>1.5665009999999999</v>
      </c>
      <c r="D660" s="7">
        <v>41.706282999999999</v>
      </c>
      <c r="E660">
        <v>0</v>
      </c>
      <c r="F660">
        <v>1</v>
      </c>
      <c r="G660" s="2">
        <v>2.9678529999999999</v>
      </c>
      <c r="H660" s="2">
        <v>1</v>
      </c>
      <c r="I660">
        <v>2</v>
      </c>
      <c r="J660">
        <v>0</v>
      </c>
      <c r="K660" s="2">
        <v>1.1311850000000001</v>
      </c>
      <c r="L660">
        <v>0</v>
      </c>
      <c r="M660" s="7">
        <v>0</v>
      </c>
      <c r="N660" s="7">
        <v>0.50417599999999996</v>
      </c>
      <c r="O660">
        <v>1</v>
      </c>
      <c r="P660" t="s">
        <v>14</v>
      </c>
      <c r="Q660">
        <v>0</v>
      </c>
      <c r="R660" s="8">
        <f>(Tabela2[[#This Row],[FAF_atividade_fisica_frequente_em_horas]]+ 0.1)</f>
        <v>0.1</v>
      </c>
      <c r="S660" s="1">
        <f>(Tabela2[[#This Row],[TUE_tempo_uso_aparelhos_em_horas]]/Tabela2[[#This Row],[FAF_Var]])</f>
        <v>5.0417599999999991</v>
      </c>
      <c r="T660">
        <f>(Tabela2[[#This Row],[CAEC_lanche_entre_refeicoes]]*Tabela2[[#This Row],[FAVC_consumo_frequente_de_alimentos_mt_caloricos]])</f>
        <v>2</v>
      </c>
      <c r="U660" s="1">
        <f>IF(OR(Tabela2[[#This Row],[MTRANS]]="Walking",Tabela2[[#This Row],[MTRANS]]="Bike"),Tabela2[[#This Row],[FAF_atividade_fisica_frequente_em_horas]]+1,M660)</f>
        <v>0</v>
      </c>
      <c r="V660">
        <f>(Tabela2[[#This Row],[SMOKE]]+Tabela2[[#This Row],[CALC_bebe_alcool_frequentemente]])</f>
        <v>1</v>
      </c>
      <c r="W660" s="8">
        <f>(Tabela2[[#This Row],[Weight]]/(Tabela2[[#This Row],[Height]] ^2))</f>
        <v>16.995742123583149</v>
      </c>
    </row>
    <row r="661" spans="1:23" x14ac:dyDescent="0.25">
      <c r="A661" t="s">
        <v>13</v>
      </c>
      <c r="B661" s="7">
        <v>21</v>
      </c>
      <c r="C661" s="4">
        <v>1.52</v>
      </c>
      <c r="D661" s="7">
        <v>42</v>
      </c>
      <c r="E661">
        <v>0</v>
      </c>
      <c r="F661">
        <v>1</v>
      </c>
      <c r="G661" s="2">
        <v>3</v>
      </c>
      <c r="H661" s="2">
        <v>1</v>
      </c>
      <c r="I661">
        <v>2</v>
      </c>
      <c r="J661">
        <v>0</v>
      </c>
      <c r="K661" s="2">
        <v>1</v>
      </c>
      <c r="L661">
        <v>0</v>
      </c>
      <c r="M661" s="7">
        <v>0</v>
      </c>
      <c r="N661" s="7">
        <v>0</v>
      </c>
      <c r="O661">
        <v>1</v>
      </c>
      <c r="P661" t="s">
        <v>14</v>
      </c>
      <c r="Q661">
        <v>0</v>
      </c>
      <c r="R661" s="8">
        <f>(Tabela2[[#This Row],[FAF_atividade_fisica_frequente_em_horas]]+ 0.1)</f>
        <v>0.1</v>
      </c>
      <c r="S661" s="1">
        <f>(Tabela2[[#This Row],[TUE_tempo_uso_aparelhos_em_horas]]/Tabela2[[#This Row],[FAF_Var]])</f>
        <v>0</v>
      </c>
      <c r="T661">
        <f>(Tabela2[[#This Row],[CAEC_lanche_entre_refeicoes]]*Tabela2[[#This Row],[FAVC_consumo_frequente_de_alimentos_mt_caloricos]])</f>
        <v>2</v>
      </c>
      <c r="U661" s="1">
        <f>IF(OR(Tabela2[[#This Row],[MTRANS]]="Walking",Tabela2[[#This Row],[MTRANS]]="Bike"),Tabela2[[#This Row],[FAF_atividade_fisica_frequente_em_horas]]+1,M661)</f>
        <v>0</v>
      </c>
      <c r="V661">
        <f>(Tabela2[[#This Row],[SMOKE]]+Tabela2[[#This Row],[CALC_bebe_alcool_frequentemente]])</f>
        <v>1</v>
      </c>
      <c r="W661" s="8">
        <f>(Tabela2[[#This Row],[Weight]]/(Tabela2[[#This Row],[Height]] ^2))</f>
        <v>18.178670360110804</v>
      </c>
    </row>
    <row r="662" spans="1:23" x14ac:dyDescent="0.25">
      <c r="A662" t="s">
        <v>13</v>
      </c>
      <c r="B662" s="7">
        <v>19.673262000000001</v>
      </c>
      <c r="C662" s="4">
        <v>1.599486</v>
      </c>
      <c r="D662" s="7">
        <v>44.810751000000003</v>
      </c>
      <c r="E662">
        <v>0</v>
      </c>
      <c r="F662">
        <v>0</v>
      </c>
      <c r="G662" s="2">
        <v>3</v>
      </c>
      <c r="H662" s="2">
        <v>2.9745680000000001</v>
      </c>
      <c r="I662">
        <v>2</v>
      </c>
      <c r="J662">
        <v>0</v>
      </c>
      <c r="K662" s="2">
        <v>1.145761</v>
      </c>
      <c r="L662">
        <v>1</v>
      </c>
      <c r="M662" s="7">
        <v>0.87966999999999995</v>
      </c>
      <c r="N662" s="7">
        <v>0</v>
      </c>
      <c r="O662">
        <v>1</v>
      </c>
      <c r="P662" t="s">
        <v>14</v>
      </c>
      <c r="Q662">
        <v>0</v>
      </c>
      <c r="R662" s="8">
        <f>(Tabela2[[#This Row],[FAF_atividade_fisica_frequente_em_horas]]+ 0.1)</f>
        <v>0.97966999999999993</v>
      </c>
      <c r="S662" s="1">
        <f>(Tabela2[[#This Row],[TUE_tempo_uso_aparelhos_em_horas]]/Tabela2[[#This Row],[FAF_Var]])</f>
        <v>0</v>
      </c>
      <c r="T662">
        <f>(Tabela2[[#This Row],[CAEC_lanche_entre_refeicoes]]*Tabela2[[#This Row],[FAVC_consumo_frequente_de_alimentos_mt_caloricos]])</f>
        <v>0</v>
      </c>
      <c r="U662" s="1">
        <f>IF(OR(Tabela2[[#This Row],[MTRANS]]="Walking",Tabela2[[#This Row],[MTRANS]]="Bike"),Tabela2[[#This Row],[FAF_atividade_fisica_frequente_em_horas]]+1,M662)</f>
        <v>0.87966999999999995</v>
      </c>
      <c r="V662">
        <f>(Tabela2[[#This Row],[SMOKE]]+Tabela2[[#This Row],[CALC_bebe_alcool_frequentemente]])</f>
        <v>1</v>
      </c>
      <c r="W662" s="8">
        <f>(Tabela2[[#This Row],[Weight]]/(Tabela2[[#This Row],[Height]] ^2))</f>
        <v>17.515451479328508</v>
      </c>
    </row>
    <row r="663" spans="1:23" x14ac:dyDescent="0.25">
      <c r="A663" t="s">
        <v>13</v>
      </c>
      <c r="B663" s="7">
        <v>20.244358999999999</v>
      </c>
      <c r="C663" s="4">
        <v>1.559186</v>
      </c>
      <c r="D663" s="7">
        <v>41.952804999999998</v>
      </c>
      <c r="E663">
        <v>0</v>
      </c>
      <c r="F663">
        <v>1</v>
      </c>
      <c r="G663" s="2">
        <v>2.6198350000000001</v>
      </c>
      <c r="H663" s="2">
        <v>1</v>
      </c>
      <c r="I663">
        <v>2</v>
      </c>
      <c r="J663">
        <v>0</v>
      </c>
      <c r="K663" s="2">
        <v>1.1988829999999999</v>
      </c>
      <c r="L663">
        <v>0</v>
      </c>
      <c r="M663" s="7">
        <v>0</v>
      </c>
      <c r="N663" s="7">
        <v>0.75121199999999999</v>
      </c>
      <c r="O663">
        <v>1</v>
      </c>
      <c r="P663" t="s">
        <v>14</v>
      </c>
      <c r="Q663">
        <v>0</v>
      </c>
      <c r="R663" s="8">
        <f>(Tabela2[[#This Row],[FAF_atividade_fisica_frequente_em_horas]]+ 0.1)</f>
        <v>0.1</v>
      </c>
      <c r="S663" s="1">
        <f>(Tabela2[[#This Row],[TUE_tempo_uso_aparelhos_em_horas]]/Tabela2[[#This Row],[FAF_Var]])</f>
        <v>7.5121199999999995</v>
      </c>
      <c r="T663">
        <f>(Tabela2[[#This Row],[CAEC_lanche_entre_refeicoes]]*Tabela2[[#This Row],[FAVC_consumo_frequente_de_alimentos_mt_caloricos]])</f>
        <v>2</v>
      </c>
      <c r="U663" s="1">
        <f>IF(OR(Tabela2[[#This Row],[MTRANS]]="Walking",Tabela2[[#This Row],[MTRANS]]="Bike"),Tabela2[[#This Row],[FAF_atividade_fisica_frequente_em_horas]]+1,M663)</f>
        <v>0</v>
      </c>
      <c r="V663">
        <f>(Tabela2[[#This Row],[SMOKE]]+Tabela2[[#This Row],[CALC_bebe_alcool_frequentemente]])</f>
        <v>1</v>
      </c>
      <c r="W663" s="8">
        <f>(Tabela2[[#This Row],[Weight]]/(Tabela2[[#This Row],[Height]] ^2))</f>
        <v>17.2569940862614</v>
      </c>
    </row>
    <row r="664" spans="1:23" x14ac:dyDescent="0.25">
      <c r="A664" t="s">
        <v>13</v>
      </c>
      <c r="B664" s="7">
        <v>20.552695</v>
      </c>
      <c r="C664" s="4">
        <v>1.5234259999999999</v>
      </c>
      <c r="D664" s="7">
        <v>42</v>
      </c>
      <c r="E664">
        <v>0</v>
      </c>
      <c r="F664">
        <v>1</v>
      </c>
      <c r="G664" s="2">
        <v>3</v>
      </c>
      <c r="H664" s="2">
        <v>1</v>
      </c>
      <c r="I664">
        <v>2</v>
      </c>
      <c r="J664">
        <v>0</v>
      </c>
      <c r="K664" s="2">
        <v>1.1850620000000001</v>
      </c>
      <c r="L664">
        <v>0</v>
      </c>
      <c r="M664" s="7">
        <v>0</v>
      </c>
      <c r="N664" s="7">
        <v>7.6654E-2</v>
      </c>
      <c r="O664">
        <v>1</v>
      </c>
      <c r="P664" t="s">
        <v>14</v>
      </c>
      <c r="Q664">
        <v>0</v>
      </c>
      <c r="R664" s="8">
        <f>(Tabela2[[#This Row],[FAF_atividade_fisica_frequente_em_horas]]+ 0.1)</f>
        <v>0.1</v>
      </c>
      <c r="S664" s="1">
        <f>(Tabela2[[#This Row],[TUE_tempo_uso_aparelhos_em_horas]]/Tabela2[[#This Row],[FAF_Var]])</f>
        <v>0.76654</v>
      </c>
      <c r="T664">
        <f>(Tabela2[[#This Row],[CAEC_lanche_entre_refeicoes]]*Tabela2[[#This Row],[FAVC_consumo_frequente_de_alimentos_mt_caloricos]])</f>
        <v>2</v>
      </c>
      <c r="U664" s="1">
        <f>IF(OR(Tabela2[[#This Row],[MTRANS]]="Walking",Tabela2[[#This Row],[MTRANS]]="Bike"),Tabela2[[#This Row],[FAF_atividade_fisica_frequente_em_horas]]+1,M664)</f>
        <v>0</v>
      </c>
      <c r="V664">
        <f>(Tabela2[[#This Row],[SMOKE]]+Tabela2[[#This Row],[CALC_bebe_alcool_frequentemente]])</f>
        <v>1</v>
      </c>
      <c r="W664" s="8">
        <f>(Tabela2[[#This Row],[Weight]]/(Tabela2[[#This Row],[Height]] ^2))</f>
        <v>18.096999055516253</v>
      </c>
    </row>
    <row r="665" spans="1:23" x14ac:dyDescent="0.25">
      <c r="A665" t="s">
        <v>13</v>
      </c>
      <c r="B665" s="7">
        <v>21</v>
      </c>
      <c r="C665" s="4">
        <v>1.52</v>
      </c>
      <c r="D665" s="7">
        <v>42</v>
      </c>
      <c r="E665">
        <v>0</v>
      </c>
      <c r="F665">
        <v>1</v>
      </c>
      <c r="G665" s="2">
        <v>3</v>
      </c>
      <c r="H665" s="2">
        <v>1</v>
      </c>
      <c r="I665">
        <v>2</v>
      </c>
      <c r="J665">
        <v>0</v>
      </c>
      <c r="K665" s="2">
        <v>1</v>
      </c>
      <c r="L665">
        <v>0</v>
      </c>
      <c r="M665" s="7">
        <v>0</v>
      </c>
      <c r="N665" s="7">
        <v>0</v>
      </c>
      <c r="O665">
        <v>1</v>
      </c>
      <c r="P665" t="s">
        <v>14</v>
      </c>
      <c r="Q665">
        <v>0</v>
      </c>
      <c r="R665" s="8">
        <f>(Tabela2[[#This Row],[FAF_atividade_fisica_frequente_em_horas]]+ 0.1)</f>
        <v>0.1</v>
      </c>
      <c r="S665" s="1">
        <f>(Tabela2[[#This Row],[TUE_tempo_uso_aparelhos_em_horas]]/Tabela2[[#This Row],[FAF_Var]])</f>
        <v>0</v>
      </c>
      <c r="T665">
        <f>(Tabela2[[#This Row],[CAEC_lanche_entre_refeicoes]]*Tabela2[[#This Row],[FAVC_consumo_frequente_de_alimentos_mt_caloricos]])</f>
        <v>2</v>
      </c>
      <c r="U665" s="1">
        <f>IF(OR(Tabela2[[#This Row],[MTRANS]]="Walking",Tabela2[[#This Row],[MTRANS]]="Bike"),Tabela2[[#This Row],[FAF_atividade_fisica_frequente_em_horas]]+1,M665)</f>
        <v>0</v>
      </c>
      <c r="V665">
        <f>(Tabela2[[#This Row],[SMOKE]]+Tabela2[[#This Row],[CALC_bebe_alcool_frequentemente]])</f>
        <v>1</v>
      </c>
      <c r="W665" s="8">
        <f>(Tabela2[[#This Row],[Weight]]/(Tabela2[[#This Row],[Height]] ^2))</f>
        <v>18.178670360110804</v>
      </c>
    </row>
    <row r="666" spans="1:23" x14ac:dyDescent="0.25">
      <c r="A666" t="s">
        <v>13</v>
      </c>
      <c r="B666" s="7">
        <v>21.997682999999999</v>
      </c>
      <c r="C666" s="4">
        <v>1.689441</v>
      </c>
      <c r="D666" s="7">
        <v>51.107925000000002</v>
      </c>
      <c r="E666">
        <v>1</v>
      </c>
      <c r="F666">
        <v>1</v>
      </c>
      <c r="G666" s="2">
        <v>3</v>
      </c>
      <c r="H666" s="2">
        <v>3.7151179999999999</v>
      </c>
      <c r="I666">
        <v>2</v>
      </c>
      <c r="J666">
        <v>0</v>
      </c>
      <c r="K666" s="2">
        <v>1.7745759999999999</v>
      </c>
      <c r="L666">
        <v>0</v>
      </c>
      <c r="M666" s="7">
        <v>0.10297000000000001</v>
      </c>
      <c r="N666" s="7">
        <v>0.64642299999999997</v>
      </c>
      <c r="O666">
        <v>0</v>
      </c>
      <c r="P666" t="s">
        <v>14</v>
      </c>
      <c r="Q666">
        <v>0</v>
      </c>
      <c r="R666" s="8">
        <f>(Tabela2[[#This Row],[FAF_atividade_fisica_frequente_em_horas]]+ 0.1)</f>
        <v>0.20297000000000001</v>
      </c>
      <c r="S666" s="1">
        <f>(Tabela2[[#This Row],[TUE_tempo_uso_aparelhos_em_horas]]/Tabela2[[#This Row],[FAF_Var]])</f>
        <v>3.1848204168103655</v>
      </c>
      <c r="T666">
        <f>(Tabela2[[#This Row],[CAEC_lanche_entre_refeicoes]]*Tabela2[[#This Row],[FAVC_consumo_frequente_de_alimentos_mt_caloricos]])</f>
        <v>2</v>
      </c>
      <c r="U666" s="1">
        <f>IF(OR(Tabela2[[#This Row],[MTRANS]]="Walking",Tabela2[[#This Row],[MTRANS]]="Bike"),Tabela2[[#This Row],[FAF_atividade_fisica_frequente_em_horas]]+1,M666)</f>
        <v>0.10297000000000001</v>
      </c>
      <c r="V666">
        <f>(Tabela2[[#This Row],[SMOKE]]+Tabela2[[#This Row],[CALC_bebe_alcool_frequentemente]])</f>
        <v>0</v>
      </c>
      <c r="W666" s="8">
        <f>(Tabela2[[#This Row],[Weight]]/(Tabela2[[#This Row],[Height]] ^2))</f>
        <v>17.906148818447978</v>
      </c>
    </row>
    <row r="667" spans="1:23" x14ac:dyDescent="0.25">
      <c r="A667" t="s">
        <v>13</v>
      </c>
      <c r="B667" s="7">
        <v>21.274628</v>
      </c>
      <c r="C667" s="4">
        <v>1.7374529999999999</v>
      </c>
      <c r="D667" s="7">
        <v>50.479039</v>
      </c>
      <c r="E667">
        <v>1</v>
      </c>
      <c r="F667">
        <v>1</v>
      </c>
      <c r="G667" s="2">
        <v>3</v>
      </c>
      <c r="H667" s="2">
        <v>3.4899179999999999</v>
      </c>
      <c r="I667">
        <v>2</v>
      </c>
      <c r="J667">
        <v>0</v>
      </c>
      <c r="K667" s="2">
        <v>1.326694</v>
      </c>
      <c r="L667">
        <v>0</v>
      </c>
      <c r="M667" s="7">
        <v>0.79192899999999999</v>
      </c>
      <c r="N667" s="7">
        <v>0.12839400000000001</v>
      </c>
      <c r="O667">
        <v>0</v>
      </c>
      <c r="P667" t="s">
        <v>14</v>
      </c>
      <c r="Q667">
        <v>0</v>
      </c>
      <c r="R667" s="8">
        <f>(Tabela2[[#This Row],[FAF_atividade_fisica_frequente_em_horas]]+ 0.1)</f>
        <v>0.89192899999999997</v>
      </c>
      <c r="S667" s="1">
        <f>(Tabela2[[#This Row],[TUE_tempo_uso_aparelhos_em_horas]]/Tabela2[[#This Row],[FAF_Var]])</f>
        <v>0.14395091986021311</v>
      </c>
      <c r="T667">
        <f>(Tabela2[[#This Row],[CAEC_lanche_entre_refeicoes]]*Tabela2[[#This Row],[FAVC_consumo_frequente_de_alimentos_mt_caloricos]])</f>
        <v>2</v>
      </c>
      <c r="U667" s="1">
        <f>IF(OR(Tabela2[[#This Row],[MTRANS]]="Walking",Tabela2[[#This Row],[MTRANS]]="Bike"),Tabela2[[#This Row],[FAF_atividade_fisica_frequente_em_horas]]+1,M667)</f>
        <v>0.79192899999999999</v>
      </c>
      <c r="V667">
        <f>(Tabela2[[#This Row],[SMOKE]]+Tabela2[[#This Row],[CALC_bebe_alcool_frequentemente]])</f>
        <v>0</v>
      </c>
      <c r="W667" s="8">
        <f>(Tabela2[[#This Row],[Weight]]/(Tabela2[[#This Row],[Height]] ^2))</f>
        <v>16.721874043998426</v>
      </c>
    </row>
    <row r="668" spans="1:23" x14ac:dyDescent="0.25">
      <c r="A668" t="s">
        <v>13</v>
      </c>
      <c r="B668" s="7">
        <v>18.909438999999999</v>
      </c>
      <c r="C668" s="4">
        <v>1.7320960000000001</v>
      </c>
      <c r="D668" s="7">
        <v>50</v>
      </c>
      <c r="E668">
        <v>0</v>
      </c>
      <c r="F668">
        <v>1</v>
      </c>
      <c r="G668" s="2">
        <v>1.053534</v>
      </c>
      <c r="H668" s="2">
        <v>3.3788589999999998</v>
      </c>
      <c r="I668">
        <v>1</v>
      </c>
      <c r="J668">
        <v>0</v>
      </c>
      <c r="K668" s="2">
        <v>1</v>
      </c>
      <c r="L668">
        <v>0</v>
      </c>
      <c r="M668" s="7">
        <v>1.8534250000000001</v>
      </c>
      <c r="N668" s="7">
        <v>0.86180900000000005</v>
      </c>
      <c r="O668">
        <v>1</v>
      </c>
      <c r="P668" t="s">
        <v>14</v>
      </c>
      <c r="Q668">
        <v>0</v>
      </c>
      <c r="R668" s="8">
        <f>(Tabela2[[#This Row],[FAF_atividade_fisica_frequente_em_horas]]+ 0.1)</f>
        <v>1.9534250000000002</v>
      </c>
      <c r="S668" s="1">
        <f>(Tabela2[[#This Row],[TUE_tempo_uso_aparelhos_em_horas]]/Tabela2[[#This Row],[FAF_Var]])</f>
        <v>0.44117844299115655</v>
      </c>
      <c r="T668">
        <f>(Tabela2[[#This Row],[CAEC_lanche_entre_refeicoes]]*Tabela2[[#This Row],[FAVC_consumo_frequente_de_alimentos_mt_caloricos]])</f>
        <v>1</v>
      </c>
      <c r="U668" s="1">
        <f>IF(OR(Tabela2[[#This Row],[MTRANS]]="Walking",Tabela2[[#This Row],[MTRANS]]="Bike"),Tabela2[[#This Row],[FAF_atividade_fisica_frequente_em_horas]]+1,M668)</f>
        <v>1.8534250000000001</v>
      </c>
      <c r="V668">
        <f>(Tabela2[[#This Row],[SMOKE]]+Tabela2[[#This Row],[CALC_bebe_alcool_frequentemente]])</f>
        <v>1</v>
      </c>
      <c r="W668" s="8">
        <f>(Tabela2[[#This Row],[Weight]]/(Tabela2[[#This Row],[Height]] ^2))</f>
        <v>16.665796971962276</v>
      </c>
    </row>
    <row r="669" spans="1:23" x14ac:dyDescent="0.25">
      <c r="A669" t="s">
        <v>15</v>
      </c>
      <c r="B669" s="7">
        <v>22.396504</v>
      </c>
      <c r="C669" s="4">
        <v>1.8690979999999999</v>
      </c>
      <c r="D669" s="7">
        <v>61.411141000000001</v>
      </c>
      <c r="E669">
        <v>1</v>
      </c>
      <c r="F669">
        <v>1</v>
      </c>
      <c r="G669" s="2">
        <v>3</v>
      </c>
      <c r="H669" s="2">
        <v>3.263201</v>
      </c>
      <c r="I669">
        <v>1</v>
      </c>
      <c r="J669">
        <v>0</v>
      </c>
      <c r="K669" s="2">
        <v>2.2332740000000002</v>
      </c>
      <c r="L669">
        <v>0</v>
      </c>
      <c r="M669" s="7">
        <v>1.5577369999999999</v>
      </c>
      <c r="N669" s="7">
        <v>3.5500000000000001E-4</v>
      </c>
      <c r="O669">
        <v>1</v>
      </c>
      <c r="P669" t="s">
        <v>17</v>
      </c>
      <c r="Q669">
        <v>0</v>
      </c>
      <c r="R669" s="8">
        <f>(Tabela2[[#This Row],[FAF_atividade_fisica_frequente_em_horas]]+ 0.1)</f>
        <v>1.657737</v>
      </c>
      <c r="S669" s="1">
        <f>(Tabela2[[#This Row],[TUE_tempo_uso_aparelhos_em_horas]]/Tabela2[[#This Row],[FAF_Var]])</f>
        <v>2.1414735871854221E-4</v>
      </c>
      <c r="T669">
        <f>(Tabela2[[#This Row],[CAEC_lanche_entre_refeicoes]]*Tabela2[[#This Row],[FAVC_consumo_frequente_de_alimentos_mt_caloricos]])</f>
        <v>1</v>
      </c>
      <c r="U669" s="1">
        <f>IF(OR(Tabela2[[#This Row],[MTRANS]]="Walking",Tabela2[[#This Row],[MTRANS]]="Bike"),Tabela2[[#This Row],[FAF_atividade_fisica_frequente_em_horas]]+1,M669)</f>
        <v>1.5577369999999999</v>
      </c>
      <c r="V669">
        <f>(Tabela2[[#This Row],[SMOKE]]+Tabela2[[#This Row],[CALC_bebe_alcool_frequentemente]])</f>
        <v>1</v>
      </c>
      <c r="W669" s="8">
        <f>(Tabela2[[#This Row],[Weight]]/(Tabela2[[#This Row],[Height]] ^2))</f>
        <v>17.578548880751683</v>
      </c>
    </row>
    <row r="670" spans="1:23" x14ac:dyDescent="0.25">
      <c r="A670" t="s">
        <v>15</v>
      </c>
      <c r="B670" s="7">
        <v>19.084316999999999</v>
      </c>
      <c r="C670" s="4">
        <v>1.8511230000000001</v>
      </c>
      <c r="D670" s="7">
        <v>61.264785000000003</v>
      </c>
      <c r="E670">
        <v>1</v>
      </c>
      <c r="F670">
        <v>1</v>
      </c>
      <c r="G670" s="2">
        <v>3</v>
      </c>
      <c r="H670" s="2">
        <v>3.9945879999999998</v>
      </c>
      <c r="I670">
        <v>1</v>
      </c>
      <c r="J670">
        <v>0</v>
      </c>
      <c r="K670" s="2">
        <v>2.548527</v>
      </c>
      <c r="L670">
        <v>0</v>
      </c>
      <c r="M670" s="7">
        <v>1.285976</v>
      </c>
      <c r="N670" s="7">
        <v>0.26707599999999998</v>
      </c>
      <c r="O670">
        <v>1</v>
      </c>
      <c r="P670" t="s">
        <v>17</v>
      </c>
      <c r="Q670">
        <v>0</v>
      </c>
      <c r="R670" s="8">
        <f>(Tabela2[[#This Row],[FAF_atividade_fisica_frequente_em_horas]]+ 0.1)</f>
        <v>1.3859760000000001</v>
      </c>
      <c r="S670" s="1">
        <f>(Tabela2[[#This Row],[TUE_tempo_uso_aparelhos_em_horas]]/Tabela2[[#This Row],[FAF_Var]])</f>
        <v>0.19269886347238332</v>
      </c>
      <c r="T670">
        <f>(Tabela2[[#This Row],[CAEC_lanche_entre_refeicoes]]*Tabela2[[#This Row],[FAVC_consumo_frequente_de_alimentos_mt_caloricos]])</f>
        <v>1</v>
      </c>
      <c r="U670" s="1">
        <f>IF(OR(Tabela2[[#This Row],[MTRANS]]="Walking",Tabela2[[#This Row],[MTRANS]]="Bike"),Tabela2[[#This Row],[FAF_atividade_fisica_frequente_em_horas]]+1,M670)</f>
        <v>1.285976</v>
      </c>
      <c r="V670">
        <f>(Tabela2[[#This Row],[SMOKE]]+Tabela2[[#This Row],[CALC_bebe_alcool_frequentemente]])</f>
        <v>1</v>
      </c>
      <c r="W670" s="8">
        <f>(Tabela2[[#This Row],[Weight]]/(Tabela2[[#This Row],[Height]] ^2))</f>
        <v>17.878882077283855</v>
      </c>
    </row>
    <row r="671" spans="1:23" x14ac:dyDescent="0.25">
      <c r="A671" t="s">
        <v>15</v>
      </c>
      <c r="B671" s="7">
        <v>21.084624999999999</v>
      </c>
      <c r="C671" s="4">
        <v>1.787264</v>
      </c>
      <c r="D671" s="7">
        <v>58.585146000000002</v>
      </c>
      <c r="E671">
        <v>1</v>
      </c>
      <c r="F671">
        <v>1</v>
      </c>
      <c r="G671" s="2">
        <v>2.530233</v>
      </c>
      <c r="H671" s="2">
        <v>3.2493400000000001</v>
      </c>
      <c r="I671">
        <v>1</v>
      </c>
      <c r="J671">
        <v>0</v>
      </c>
      <c r="K671" s="2">
        <v>2.3879450000000002</v>
      </c>
      <c r="L671">
        <v>0</v>
      </c>
      <c r="M671" s="7">
        <v>1.9763409999999999</v>
      </c>
      <c r="N671" s="7">
        <v>1.6725080000000001</v>
      </c>
      <c r="O671">
        <v>0</v>
      </c>
      <c r="P671" t="s">
        <v>17</v>
      </c>
      <c r="Q671">
        <v>0</v>
      </c>
      <c r="R671" s="8">
        <f>(Tabela2[[#This Row],[FAF_atividade_fisica_frequente_em_horas]]+ 0.1)</f>
        <v>2.0763409999999998</v>
      </c>
      <c r="S671" s="1">
        <f>(Tabela2[[#This Row],[TUE_tempo_uso_aparelhos_em_horas]]/Tabela2[[#This Row],[FAF_Var]])</f>
        <v>0.80550738053142534</v>
      </c>
      <c r="T671">
        <f>(Tabela2[[#This Row],[CAEC_lanche_entre_refeicoes]]*Tabela2[[#This Row],[FAVC_consumo_frequente_de_alimentos_mt_caloricos]])</f>
        <v>1</v>
      </c>
      <c r="U671" s="1">
        <f>IF(OR(Tabela2[[#This Row],[MTRANS]]="Walking",Tabela2[[#This Row],[MTRANS]]="Bike"),Tabela2[[#This Row],[FAF_atividade_fisica_frequente_em_horas]]+1,M671)</f>
        <v>1.9763409999999999</v>
      </c>
      <c r="V671">
        <f>(Tabela2[[#This Row],[SMOKE]]+Tabela2[[#This Row],[CALC_bebe_alcool_frequentemente]])</f>
        <v>0</v>
      </c>
      <c r="W671" s="8">
        <f>(Tabela2[[#This Row],[Weight]]/(Tabela2[[#This Row],[Height]] ^2))</f>
        <v>18.340454811946948</v>
      </c>
    </row>
    <row r="672" spans="1:23" x14ac:dyDescent="0.25">
      <c r="A672" t="s">
        <v>15</v>
      </c>
      <c r="B672" s="7">
        <v>18.068767000000001</v>
      </c>
      <c r="C672" s="4">
        <v>1.787787</v>
      </c>
      <c r="D672" s="7">
        <v>52</v>
      </c>
      <c r="E672">
        <v>1</v>
      </c>
      <c r="F672">
        <v>1</v>
      </c>
      <c r="G672" s="2">
        <v>3</v>
      </c>
      <c r="H672" s="2">
        <v>3</v>
      </c>
      <c r="I672">
        <v>1</v>
      </c>
      <c r="J672">
        <v>0</v>
      </c>
      <c r="K672" s="2">
        <v>2</v>
      </c>
      <c r="L672">
        <v>0</v>
      </c>
      <c r="M672" s="7">
        <v>0.85433700000000001</v>
      </c>
      <c r="N672" s="7">
        <v>1</v>
      </c>
      <c r="O672">
        <v>1</v>
      </c>
      <c r="P672" t="s">
        <v>14</v>
      </c>
      <c r="Q672">
        <v>0</v>
      </c>
      <c r="R672" s="8">
        <f>(Tabela2[[#This Row],[FAF_atividade_fisica_frequente_em_horas]]+ 0.1)</f>
        <v>0.95433699999999999</v>
      </c>
      <c r="S672" s="1">
        <f>(Tabela2[[#This Row],[TUE_tempo_uso_aparelhos_em_horas]]/Tabela2[[#This Row],[FAF_Var]])</f>
        <v>1.0478478776365163</v>
      </c>
      <c r="T672">
        <f>(Tabela2[[#This Row],[CAEC_lanche_entre_refeicoes]]*Tabela2[[#This Row],[FAVC_consumo_frequente_de_alimentos_mt_caloricos]])</f>
        <v>1</v>
      </c>
      <c r="U672" s="1">
        <f>IF(OR(Tabela2[[#This Row],[MTRANS]]="Walking",Tabela2[[#This Row],[MTRANS]]="Bike"),Tabela2[[#This Row],[FAF_atividade_fisica_frequente_em_horas]]+1,M672)</f>
        <v>0.85433700000000001</v>
      </c>
      <c r="V672">
        <f>(Tabela2[[#This Row],[SMOKE]]+Tabela2[[#This Row],[CALC_bebe_alcool_frequentemente]])</f>
        <v>1</v>
      </c>
      <c r="W672" s="8">
        <f>(Tabela2[[#This Row],[Weight]]/(Tabela2[[#This Row],[Height]] ^2))</f>
        <v>16.269409622423677</v>
      </c>
    </row>
    <row r="673" spans="1:23" x14ac:dyDescent="0.25">
      <c r="A673" t="s">
        <v>13</v>
      </c>
      <c r="B673" s="7">
        <v>21.813082999999999</v>
      </c>
      <c r="C673" s="4">
        <v>1.712515</v>
      </c>
      <c r="D673" s="7">
        <v>51.710723000000002</v>
      </c>
      <c r="E673">
        <v>1</v>
      </c>
      <c r="F673">
        <v>1</v>
      </c>
      <c r="G673" s="2">
        <v>2.8813</v>
      </c>
      <c r="H673" s="2">
        <v>3.0875439999999998</v>
      </c>
      <c r="I673">
        <v>2</v>
      </c>
      <c r="J673">
        <v>0</v>
      </c>
      <c r="K673" s="2">
        <v>1.2481800000000001</v>
      </c>
      <c r="L673">
        <v>0</v>
      </c>
      <c r="M673" s="7">
        <v>1.9524269999999999</v>
      </c>
      <c r="N673" s="7">
        <v>0.42746099999999998</v>
      </c>
      <c r="O673">
        <v>0</v>
      </c>
      <c r="P673" t="s">
        <v>14</v>
      </c>
      <c r="Q673">
        <v>0</v>
      </c>
      <c r="R673" s="8">
        <f>(Tabela2[[#This Row],[FAF_atividade_fisica_frequente_em_horas]]+ 0.1)</f>
        <v>2.0524269999999998</v>
      </c>
      <c r="S673" s="1">
        <f>(Tabela2[[#This Row],[TUE_tempo_uso_aparelhos_em_horas]]/Tabela2[[#This Row],[FAF_Var]])</f>
        <v>0.20827098844441241</v>
      </c>
      <c r="T673">
        <f>(Tabela2[[#This Row],[CAEC_lanche_entre_refeicoes]]*Tabela2[[#This Row],[FAVC_consumo_frequente_de_alimentos_mt_caloricos]])</f>
        <v>2</v>
      </c>
      <c r="U673" s="1">
        <f>IF(OR(Tabela2[[#This Row],[MTRANS]]="Walking",Tabela2[[#This Row],[MTRANS]]="Bike"),Tabela2[[#This Row],[FAF_atividade_fisica_frequente_em_horas]]+1,M673)</f>
        <v>1.9524269999999999</v>
      </c>
      <c r="V673">
        <f>(Tabela2[[#This Row],[SMOKE]]+Tabela2[[#This Row],[CALC_bebe_alcool_frequentemente]])</f>
        <v>0</v>
      </c>
      <c r="W673" s="8">
        <f>(Tabela2[[#This Row],[Weight]]/(Tabela2[[#This Row],[Height]] ^2))</f>
        <v>17.632416731631306</v>
      </c>
    </row>
    <row r="674" spans="1:23" x14ac:dyDescent="0.25">
      <c r="A674" t="s">
        <v>15</v>
      </c>
      <c r="B674" s="7">
        <v>18.038422000000001</v>
      </c>
      <c r="C674" s="4">
        <v>1.698914</v>
      </c>
      <c r="D674" s="7">
        <v>51.692272000000003</v>
      </c>
      <c r="E674">
        <v>1</v>
      </c>
      <c r="F674">
        <v>1</v>
      </c>
      <c r="G674" s="2">
        <v>2.8245589999999998</v>
      </c>
      <c r="H674" s="2">
        <v>3</v>
      </c>
      <c r="I674">
        <v>1</v>
      </c>
      <c r="J674">
        <v>0</v>
      </c>
      <c r="K674" s="2">
        <v>2</v>
      </c>
      <c r="L674">
        <v>0</v>
      </c>
      <c r="M674" s="7">
        <v>0.53330900000000003</v>
      </c>
      <c r="N674" s="7">
        <v>1.099764</v>
      </c>
      <c r="O674">
        <v>1</v>
      </c>
      <c r="P674" t="s">
        <v>14</v>
      </c>
      <c r="Q674">
        <v>0</v>
      </c>
      <c r="R674" s="8">
        <f>(Tabela2[[#This Row],[FAF_atividade_fisica_frequente_em_horas]]+ 0.1)</f>
        <v>0.63330900000000001</v>
      </c>
      <c r="S674" s="1">
        <f>(Tabela2[[#This Row],[TUE_tempo_uso_aparelhos_em_horas]]/Tabela2[[#This Row],[FAF_Var]])</f>
        <v>1.7365361932326873</v>
      </c>
      <c r="T674">
        <f>(Tabela2[[#This Row],[CAEC_lanche_entre_refeicoes]]*Tabela2[[#This Row],[FAVC_consumo_frequente_de_alimentos_mt_caloricos]])</f>
        <v>1</v>
      </c>
      <c r="U674" s="1">
        <f>IF(OR(Tabela2[[#This Row],[MTRANS]]="Walking",Tabela2[[#This Row],[MTRANS]]="Bike"),Tabela2[[#This Row],[FAF_atividade_fisica_frequente_em_horas]]+1,M674)</f>
        <v>0.53330900000000003</v>
      </c>
      <c r="V674">
        <f>(Tabela2[[#This Row],[SMOKE]]+Tabela2[[#This Row],[CALC_bebe_alcool_frequentemente]])</f>
        <v>1</v>
      </c>
      <c r="W674" s="8">
        <f>(Tabela2[[#This Row],[Weight]]/(Tabela2[[#This Row],[Height]] ^2))</f>
        <v>17.909473985945926</v>
      </c>
    </row>
    <row r="675" spans="1:23" x14ac:dyDescent="0.25">
      <c r="A675" t="s">
        <v>13</v>
      </c>
      <c r="B675" s="7">
        <v>18.874590999999999</v>
      </c>
      <c r="C675" s="4">
        <v>1.533609</v>
      </c>
      <c r="D675" s="7">
        <v>41.669345999999997</v>
      </c>
      <c r="E675">
        <v>0</v>
      </c>
      <c r="F675">
        <v>1</v>
      </c>
      <c r="G675" s="2">
        <v>2.7623250000000001</v>
      </c>
      <c r="H675" s="2">
        <v>1.1636660000000001</v>
      </c>
      <c r="I675">
        <v>1</v>
      </c>
      <c r="J675">
        <v>0</v>
      </c>
      <c r="K675" s="2">
        <v>1.30491</v>
      </c>
      <c r="L675">
        <v>0</v>
      </c>
      <c r="M675" s="7">
        <v>0.25289</v>
      </c>
      <c r="N675" s="7">
        <v>1.0014050000000001</v>
      </c>
      <c r="O675">
        <v>1</v>
      </c>
      <c r="P675" t="s">
        <v>14</v>
      </c>
      <c r="Q675">
        <v>0</v>
      </c>
      <c r="R675" s="8">
        <f>(Tabela2[[#This Row],[FAF_atividade_fisica_frequente_em_horas]]+ 0.1)</f>
        <v>0.35289000000000004</v>
      </c>
      <c r="S675" s="1">
        <f>(Tabela2[[#This Row],[TUE_tempo_uso_aparelhos_em_horas]]/Tabela2[[#This Row],[FAF_Var]])</f>
        <v>2.8377256368840147</v>
      </c>
      <c r="T675">
        <f>(Tabela2[[#This Row],[CAEC_lanche_entre_refeicoes]]*Tabela2[[#This Row],[FAVC_consumo_frequente_de_alimentos_mt_caloricos]])</f>
        <v>1</v>
      </c>
      <c r="U675" s="1">
        <f>IF(OR(Tabela2[[#This Row],[MTRANS]]="Walking",Tabela2[[#This Row],[MTRANS]]="Bike"),Tabela2[[#This Row],[FAF_atividade_fisica_frequente_em_horas]]+1,M675)</f>
        <v>0.25289</v>
      </c>
      <c r="V675">
        <f>(Tabela2[[#This Row],[SMOKE]]+Tabela2[[#This Row],[CALC_bebe_alcool_frequentemente]])</f>
        <v>1</v>
      </c>
      <c r="W675" s="8">
        <f>(Tabela2[[#This Row],[Weight]]/(Tabela2[[#This Row],[Height]] ^2))</f>
        <v>17.716885856737029</v>
      </c>
    </row>
    <row r="676" spans="1:23" x14ac:dyDescent="0.25">
      <c r="A676" t="s">
        <v>13</v>
      </c>
      <c r="B676" s="7">
        <v>19.211639999999999</v>
      </c>
      <c r="C676" s="4">
        <v>1.5679810000000001</v>
      </c>
      <c r="D676" s="7">
        <v>41.934367999999999</v>
      </c>
      <c r="E676">
        <v>0</v>
      </c>
      <c r="F676">
        <v>1</v>
      </c>
      <c r="G676" s="2">
        <v>2.070964</v>
      </c>
      <c r="H676" s="2">
        <v>1</v>
      </c>
      <c r="I676">
        <v>1</v>
      </c>
      <c r="J676">
        <v>0</v>
      </c>
      <c r="K676" s="2">
        <v>1.6769750000000001</v>
      </c>
      <c r="L676">
        <v>0</v>
      </c>
      <c r="M676" s="7">
        <v>0</v>
      </c>
      <c r="N676" s="7">
        <v>1.718513</v>
      </c>
      <c r="O676">
        <v>1</v>
      </c>
      <c r="P676" t="s">
        <v>14</v>
      </c>
      <c r="Q676">
        <v>0</v>
      </c>
      <c r="R676" s="8">
        <f>(Tabela2[[#This Row],[FAF_atividade_fisica_frequente_em_horas]]+ 0.1)</f>
        <v>0.1</v>
      </c>
      <c r="S676" s="1">
        <f>(Tabela2[[#This Row],[TUE_tempo_uso_aparelhos_em_horas]]/Tabela2[[#This Row],[FAF_Var]])</f>
        <v>17.185129999999997</v>
      </c>
      <c r="T676">
        <f>(Tabela2[[#This Row],[CAEC_lanche_entre_refeicoes]]*Tabela2[[#This Row],[FAVC_consumo_frequente_de_alimentos_mt_caloricos]])</f>
        <v>1</v>
      </c>
      <c r="U676" s="1">
        <f>IF(OR(Tabela2[[#This Row],[MTRANS]]="Walking",Tabela2[[#This Row],[MTRANS]]="Bike"),Tabela2[[#This Row],[FAF_atividade_fisica_frequente_em_horas]]+1,M676)</f>
        <v>0</v>
      </c>
      <c r="V676">
        <f>(Tabela2[[#This Row],[SMOKE]]+Tabela2[[#This Row],[CALC_bebe_alcool_frequentemente]])</f>
        <v>1</v>
      </c>
      <c r="W676" s="8">
        <f>(Tabela2[[#This Row],[Weight]]/(Tabela2[[#This Row],[Height]] ^2))</f>
        <v>17.056444696319325</v>
      </c>
    </row>
    <row r="677" spans="1:23" x14ac:dyDescent="0.25">
      <c r="A677" t="s">
        <v>13</v>
      </c>
      <c r="B677" s="7">
        <v>18.988581</v>
      </c>
      <c r="C677" s="4">
        <v>1.5442629999999999</v>
      </c>
      <c r="D677" s="7">
        <v>41.535046999999999</v>
      </c>
      <c r="E677">
        <v>0</v>
      </c>
      <c r="F677">
        <v>1</v>
      </c>
      <c r="G677" s="2">
        <v>2.68601</v>
      </c>
      <c r="H677" s="2">
        <v>1</v>
      </c>
      <c r="I677">
        <v>1</v>
      </c>
      <c r="J677">
        <v>0</v>
      </c>
      <c r="K677" s="2">
        <v>1.310074</v>
      </c>
      <c r="L677">
        <v>0</v>
      </c>
      <c r="M677" s="7">
        <v>0</v>
      </c>
      <c r="N677" s="7">
        <v>1.0647</v>
      </c>
      <c r="O677">
        <v>1</v>
      </c>
      <c r="P677" t="s">
        <v>14</v>
      </c>
      <c r="Q677">
        <v>0</v>
      </c>
      <c r="R677" s="8">
        <f>(Tabela2[[#This Row],[FAF_atividade_fisica_frequente_em_horas]]+ 0.1)</f>
        <v>0.1</v>
      </c>
      <c r="S677" s="1">
        <f>(Tabela2[[#This Row],[TUE_tempo_uso_aparelhos_em_horas]]/Tabela2[[#This Row],[FAF_Var]])</f>
        <v>10.646999999999998</v>
      </c>
      <c r="T677">
        <f>(Tabela2[[#This Row],[CAEC_lanche_entre_refeicoes]]*Tabela2[[#This Row],[FAVC_consumo_frequente_de_alimentos_mt_caloricos]])</f>
        <v>1</v>
      </c>
      <c r="U677" s="1">
        <f>IF(OR(Tabela2[[#This Row],[MTRANS]]="Walking",Tabela2[[#This Row],[MTRANS]]="Bike"),Tabela2[[#This Row],[FAF_atividade_fisica_frequente_em_horas]]+1,M677)</f>
        <v>0</v>
      </c>
      <c r="V677">
        <f>(Tabela2[[#This Row],[SMOKE]]+Tabela2[[#This Row],[CALC_bebe_alcool_frequentemente]])</f>
        <v>1</v>
      </c>
      <c r="W677" s="8">
        <f>(Tabela2[[#This Row],[Weight]]/(Tabela2[[#This Row],[Height]] ^2))</f>
        <v>17.416952771213392</v>
      </c>
    </row>
    <row r="678" spans="1:23" x14ac:dyDescent="0.25">
      <c r="A678" t="s">
        <v>13</v>
      </c>
      <c r="B678" s="7">
        <v>19.408999000000001</v>
      </c>
      <c r="C678" s="4">
        <v>1.670552</v>
      </c>
      <c r="D678" s="7">
        <v>49.804245000000002</v>
      </c>
      <c r="E678">
        <v>0</v>
      </c>
      <c r="F678">
        <v>1</v>
      </c>
      <c r="G678" s="2">
        <v>2.794197</v>
      </c>
      <c r="H678" s="2">
        <v>3.4093629999999999</v>
      </c>
      <c r="I678">
        <v>1</v>
      </c>
      <c r="J678">
        <v>0</v>
      </c>
      <c r="K678" s="2">
        <v>1.543021</v>
      </c>
      <c r="L678">
        <v>0</v>
      </c>
      <c r="M678" s="7">
        <v>2</v>
      </c>
      <c r="N678" s="7">
        <v>1</v>
      </c>
      <c r="O678">
        <v>1</v>
      </c>
      <c r="P678" t="s">
        <v>14</v>
      </c>
      <c r="Q678">
        <v>0</v>
      </c>
      <c r="R678" s="8">
        <f>(Tabela2[[#This Row],[FAF_atividade_fisica_frequente_em_horas]]+ 0.1)</f>
        <v>2.1</v>
      </c>
      <c r="S678" s="1">
        <f>(Tabela2[[#This Row],[TUE_tempo_uso_aparelhos_em_horas]]/Tabela2[[#This Row],[FAF_Var]])</f>
        <v>0.47619047619047616</v>
      </c>
      <c r="T678">
        <f>(Tabela2[[#This Row],[CAEC_lanche_entre_refeicoes]]*Tabela2[[#This Row],[FAVC_consumo_frequente_de_alimentos_mt_caloricos]])</f>
        <v>1</v>
      </c>
      <c r="U678" s="1">
        <f>IF(OR(Tabela2[[#This Row],[MTRANS]]="Walking",Tabela2[[#This Row],[MTRANS]]="Bike"),Tabela2[[#This Row],[FAF_atividade_fisica_frequente_em_horas]]+1,M678)</f>
        <v>2</v>
      </c>
      <c r="V678">
        <f>(Tabela2[[#This Row],[SMOKE]]+Tabela2[[#This Row],[CALC_bebe_alcool_frequentemente]])</f>
        <v>1</v>
      </c>
      <c r="W678" s="8">
        <f>(Tabela2[[#This Row],[Weight]]/(Tabela2[[#This Row],[Height]] ^2))</f>
        <v>17.846224975481757</v>
      </c>
    </row>
    <row r="679" spans="1:23" x14ac:dyDescent="0.25">
      <c r="A679" t="s">
        <v>13</v>
      </c>
      <c r="B679" s="7">
        <v>19.665880999999999</v>
      </c>
      <c r="C679" s="4">
        <v>1.6763459999999999</v>
      </c>
      <c r="D679" s="7">
        <v>49.105024999999998</v>
      </c>
      <c r="E679">
        <v>0</v>
      </c>
      <c r="F679">
        <v>0</v>
      </c>
      <c r="G679" s="2">
        <v>2.720701</v>
      </c>
      <c r="H679" s="2">
        <v>3</v>
      </c>
      <c r="I679">
        <v>1</v>
      </c>
      <c r="J679">
        <v>0</v>
      </c>
      <c r="K679" s="2">
        <v>2</v>
      </c>
      <c r="L679">
        <v>0</v>
      </c>
      <c r="M679" s="7">
        <v>1.8622350000000001</v>
      </c>
      <c r="N679" s="7">
        <v>1</v>
      </c>
      <c r="O679">
        <v>1</v>
      </c>
      <c r="P679" t="s">
        <v>14</v>
      </c>
      <c r="Q679">
        <v>0</v>
      </c>
      <c r="R679" s="8">
        <f>(Tabela2[[#This Row],[FAF_atividade_fisica_frequente_em_horas]]+ 0.1)</f>
        <v>1.9622350000000002</v>
      </c>
      <c r="S679" s="1">
        <f>(Tabela2[[#This Row],[TUE_tempo_uso_aparelhos_em_horas]]/Tabela2[[#This Row],[FAF_Var]])</f>
        <v>0.50962295545640557</v>
      </c>
      <c r="T679">
        <f>(Tabela2[[#This Row],[CAEC_lanche_entre_refeicoes]]*Tabela2[[#This Row],[FAVC_consumo_frequente_de_alimentos_mt_caloricos]])</f>
        <v>0</v>
      </c>
      <c r="U679" s="1">
        <f>IF(OR(Tabela2[[#This Row],[MTRANS]]="Walking",Tabela2[[#This Row],[MTRANS]]="Bike"),Tabela2[[#This Row],[FAF_atividade_fisica_frequente_em_horas]]+1,M679)</f>
        <v>1.8622350000000001</v>
      </c>
      <c r="V679">
        <f>(Tabela2[[#This Row],[SMOKE]]+Tabela2[[#This Row],[CALC_bebe_alcool_frequentemente]])</f>
        <v>1</v>
      </c>
      <c r="W679" s="8">
        <f>(Tabela2[[#This Row],[Weight]]/(Tabela2[[#This Row],[Height]] ^2))</f>
        <v>17.474252684815582</v>
      </c>
    </row>
    <row r="680" spans="1:23" x14ac:dyDescent="0.25">
      <c r="A680" t="s">
        <v>13</v>
      </c>
      <c r="B680" s="7">
        <v>19.758285999999998</v>
      </c>
      <c r="C680" s="4">
        <v>1.6674040000000001</v>
      </c>
      <c r="D680" s="7">
        <v>49.125954999999998</v>
      </c>
      <c r="E680">
        <v>0</v>
      </c>
      <c r="F680">
        <v>0</v>
      </c>
      <c r="G680" s="2">
        <v>2.880792</v>
      </c>
      <c r="H680" s="2">
        <v>3.2813910000000002</v>
      </c>
      <c r="I680">
        <v>1</v>
      </c>
      <c r="J680">
        <v>0</v>
      </c>
      <c r="K680" s="2">
        <v>1.9601310000000001</v>
      </c>
      <c r="L680">
        <v>0</v>
      </c>
      <c r="M680" s="7">
        <v>1.513029</v>
      </c>
      <c r="N680" s="7">
        <v>1</v>
      </c>
      <c r="O680">
        <v>1</v>
      </c>
      <c r="P680" t="s">
        <v>14</v>
      </c>
      <c r="Q680">
        <v>0</v>
      </c>
      <c r="R680" s="8">
        <f>(Tabela2[[#This Row],[FAF_atividade_fisica_frequente_em_horas]]+ 0.1)</f>
        <v>1.613029</v>
      </c>
      <c r="S680" s="1">
        <f>(Tabela2[[#This Row],[TUE_tempo_uso_aparelhos_em_horas]]/Tabela2[[#This Row],[FAF_Var]])</f>
        <v>0.61995165616985182</v>
      </c>
      <c r="T680">
        <f>(Tabela2[[#This Row],[CAEC_lanche_entre_refeicoes]]*Tabela2[[#This Row],[FAVC_consumo_frequente_de_alimentos_mt_caloricos]])</f>
        <v>0</v>
      </c>
      <c r="U680" s="1">
        <f>IF(OR(Tabela2[[#This Row],[MTRANS]]="Walking",Tabela2[[#This Row],[MTRANS]]="Bike"),Tabela2[[#This Row],[FAF_atividade_fisica_frequente_em_horas]]+1,M680)</f>
        <v>1.513029</v>
      </c>
      <c r="V680">
        <f>(Tabela2[[#This Row],[SMOKE]]+Tabela2[[#This Row],[CALC_bebe_alcool_frequentemente]])</f>
        <v>1</v>
      </c>
      <c r="W680" s="8">
        <f>(Tabela2[[#This Row],[Weight]]/(Tabela2[[#This Row],[Height]] ^2))</f>
        <v>17.669706185691584</v>
      </c>
    </row>
    <row r="681" spans="1:23" x14ac:dyDescent="0.25">
      <c r="A681" t="s">
        <v>13</v>
      </c>
      <c r="B681" s="7">
        <v>22.422674000000001</v>
      </c>
      <c r="C681" s="4">
        <v>1.70011</v>
      </c>
      <c r="D681" s="7">
        <v>50.173425000000002</v>
      </c>
      <c r="E681">
        <v>1</v>
      </c>
      <c r="F681">
        <v>1</v>
      </c>
      <c r="G681" s="2">
        <v>2.6744309999999998</v>
      </c>
      <c r="H681" s="2">
        <v>3</v>
      </c>
      <c r="I681">
        <v>2</v>
      </c>
      <c r="J681">
        <v>0</v>
      </c>
      <c r="K681" s="2">
        <v>2.4533839999999998</v>
      </c>
      <c r="L681">
        <v>0</v>
      </c>
      <c r="M681" s="7">
        <v>1.3216239999999999</v>
      </c>
      <c r="N681" s="7">
        <v>1.9906170000000001</v>
      </c>
      <c r="O681">
        <v>0</v>
      </c>
      <c r="P681" t="s">
        <v>14</v>
      </c>
      <c r="Q681">
        <v>0</v>
      </c>
      <c r="R681" s="8">
        <f>(Tabela2[[#This Row],[FAF_atividade_fisica_frequente_em_horas]]+ 0.1)</f>
        <v>1.421624</v>
      </c>
      <c r="S681" s="1">
        <f>(Tabela2[[#This Row],[TUE_tempo_uso_aparelhos_em_horas]]/Tabela2[[#This Row],[FAF_Var]])</f>
        <v>1.4002415547289579</v>
      </c>
      <c r="T681">
        <f>(Tabela2[[#This Row],[CAEC_lanche_entre_refeicoes]]*Tabela2[[#This Row],[FAVC_consumo_frequente_de_alimentos_mt_caloricos]])</f>
        <v>2</v>
      </c>
      <c r="U681" s="1">
        <f>IF(OR(Tabela2[[#This Row],[MTRANS]]="Walking",Tabela2[[#This Row],[MTRANS]]="Bike"),Tabela2[[#This Row],[FAF_atividade_fisica_frequente_em_horas]]+1,M681)</f>
        <v>1.3216239999999999</v>
      </c>
      <c r="V681">
        <f>(Tabela2[[#This Row],[SMOKE]]+Tabela2[[#This Row],[CALC_bebe_alcool_frequentemente]])</f>
        <v>0</v>
      </c>
      <c r="W681" s="8">
        <f>(Tabela2[[#This Row],[Weight]]/(Tabela2[[#This Row],[Height]] ^2))</f>
        <v>17.358800207156069</v>
      </c>
    </row>
    <row r="682" spans="1:23" x14ac:dyDescent="0.25">
      <c r="A682" t="s">
        <v>15</v>
      </c>
      <c r="B682" s="7">
        <v>20.242236999999999</v>
      </c>
      <c r="C682" s="4">
        <v>1.7563299999999999</v>
      </c>
      <c r="D682" s="7">
        <v>54.567343000000001</v>
      </c>
      <c r="E682">
        <v>1</v>
      </c>
      <c r="F682">
        <v>1</v>
      </c>
      <c r="G682" s="2">
        <v>2</v>
      </c>
      <c r="H682" s="2">
        <v>3.9852500000000002</v>
      </c>
      <c r="I682">
        <v>1</v>
      </c>
      <c r="J682">
        <v>0</v>
      </c>
      <c r="K682" s="2">
        <v>2.6540780000000002</v>
      </c>
      <c r="L682">
        <v>0</v>
      </c>
      <c r="M682" s="7">
        <v>2.1131509999999998</v>
      </c>
      <c r="N682" s="7">
        <v>2</v>
      </c>
      <c r="O682">
        <v>0</v>
      </c>
      <c r="P682" t="s">
        <v>14</v>
      </c>
      <c r="Q682">
        <v>0</v>
      </c>
      <c r="R682" s="8">
        <f>(Tabela2[[#This Row],[FAF_atividade_fisica_frequente_em_horas]]+ 0.1)</f>
        <v>2.2131509999999999</v>
      </c>
      <c r="S682" s="1">
        <f>(Tabela2[[#This Row],[TUE_tempo_uso_aparelhos_em_horas]]/Tabela2[[#This Row],[FAF_Var]])</f>
        <v>0.90368890328766549</v>
      </c>
      <c r="T682">
        <f>(Tabela2[[#This Row],[CAEC_lanche_entre_refeicoes]]*Tabela2[[#This Row],[FAVC_consumo_frequente_de_alimentos_mt_caloricos]])</f>
        <v>1</v>
      </c>
      <c r="U682" s="1">
        <f>IF(OR(Tabela2[[#This Row],[MTRANS]]="Walking",Tabela2[[#This Row],[MTRANS]]="Bike"),Tabela2[[#This Row],[FAF_atividade_fisica_frequente_em_horas]]+1,M682)</f>
        <v>2.1131509999999998</v>
      </c>
      <c r="V682">
        <f>(Tabela2[[#This Row],[SMOKE]]+Tabela2[[#This Row],[CALC_bebe_alcool_frequentemente]])</f>
        <v>0</v>
      </c>
      <c r="W682" s="8">
        <f>(Tabela2[[#This Row],[Weight]]/(Tabela2[[#This Row],[Height]] ^2))</f>
        <v>17.689704097545913</v>
      </c>
    </row>
    <row r="683" spans="1:23" x14ac:dyDescent="0.25">
      <c r="A683" t="s">
        <v>13</v>
      </c>
      <c r="B683" s="7">
        <v>22.637018000000001</v>
      </c>
      <c r="C683" s="4">
        <v>1.703584</v>
      </c>
      <c r="D683" s="7">
        <v>51.607090999999997</v>
      </c>
      <c r="E683">
        <v>1</v>
      </c>
      <c r="F683">
        <v>1</v>
      </c>
      <c r="G683" s="2">
        <v>2.5599599999999998</v>
      </c>
      <c r="H683" s="2">
        <v>3</v>
      </c>
      <c r="I683">
        <v>2</v>
      </c>
      <c r="J683">
        <v>0</v>
      </c>
      <c r="K683" s="2">
        <v>1.990788</v>
      </c>
      <c r="L683">
        <v>0</v>
      </c>
      <c r="M683" s="7">
        <v>0.48600599999999999</v>
      </c>
      <c r="N683" s="7">
        <v>1.561272</v>
      </c>
      <c r="O683">
        <v>0</v>
      </c>
      <c r="P683" t="s">
        <v>14</v>
      </c>
      <c r="Q683">
        <v>0</v>
      </c>
      <c r="R683" s="8">
        <f>(Tabela2[[#This Row],[FAF_atividade_fisica_frequente_em_horas]]+ 0.1)</f>
        <v>0.58600600000000003</v>
      </c>
      <c r="S683" s="1">
        <f>(Tabela2[[#This Row],[TUE_tempo_uso_aparelhos_em_horas]]/Tabela2[[#This Row],[FAF_Var]])</f>
        <v>2.6642594103132047</v>
      </c>
      <c r="T683">
        <f>(Tabela2[[#This Row],[CAEC_lanche_entre_refeicoes]]*Tabela2[[#This Row],[FAVC_consumo_frequente_de_alimentos_mt_caloricos]])</f>
        <v>2</v>
      </c>
      <c r="U683" s="1">
        <f>IF(OR(Tabela2[[#This Row],[MTRANS]]="Walking",Tabela2[[#This Row],[MTRANS]]="Bike"),Tabela2[[#This Row],[FAF_atividade_fisica_frequente_em_horas]]+1,M683)</f>
        <v>0.48600599999999999</v>
      </c>
      <c r="V683">
        <f>(Tabela2[[#This Row],[SMOKE]]+Tabela2[[#This Row],[CALC_bebe_alcool_frequentemente]])</f>
        <v>0</v>
      </c>
      <c r="W683" s="8">
        <f>(Tabela2[[#This Row],[Weight]]/(Tabela2[[#This Row],[Height]] ^2))</f>
        <v>17.782068310288892</v>
      </c>
    </row>
    <row r="684" spans="1:23" x14ac:dyDescent="0.25">
      <c r="A684" t="s">
        <v>13</v>
      </c>
      <c r="B684" s="7">
        <v>19.007176999999999</v>
      </c>
      <c r="C684" s="4">
        <v>1.6907270000000001</v>
      </c>
      <c r="D684" s="7">
        <v>49.895716</v>
      </c>
      <c r="E684">
        <v>0</v>
      </c>
      <c r="F684">
        <v>1</v>
      </c>
      <c r="G684" s="2">
        <v>1.2129080000000001</v>
      </c>
      <c r="H684" s="2">
        <v>3.207071</v>
      </c>
      <c r="I684">
        <v>1</v>
      </c>
      <c r="J684">
        <v>0</v>
      </c>
      <c r="K684" s="2">
        <v>1.029703</v>
      </c>
      <c r="L684">
        <v>0</v>
      </c>
      <c r="M684" s="7">
        <v>2</v>
      </c>
      <c r="N684" s="7">
        <v>1</v>
      </c>
      <c r="O684">
        <v>1</v>
      </c>
      <c r="P684" t="s">
        <v>14</v>
      </c>
      <c r="Q684">
        <v>0</v>
      </c>
      <c r="R684" s="8">
        <f>(Tabela2[[#This Row],[FAF_atividade_fisica_frequente_em_horas]]+ 0.1)</f>
        <v>2.1</v>
      </c>
      <c r="S684" s="1">
        <f>(Tabela2[[#This Row],[TUE_tempo_uso_aparelhos_em_horas]]/Tabela2[[#This Row],[FAF_Var]])</f>
        <v>0.47619047619047616</v>
      </c>
      <c r="T684">
        <f>(Tabela2[[#This Row],[CAEC_lanche_entre_refeicoes]]*Tabela2[[#This Row],[FAVC_consumo_frequente_de_alimentos_mt_caloricos]])</f>
        <v>1</v>
      </c>
      <c r="U684" s="1">
        <f>IF(OR(Tabela2[[#This Row],[MTRANS]]="Walking",Tabela2[[#This Row],[MTRANS]]="Bike"),Tabela2[[#This Row],[FAF_atividade_fisica_frequente_em_horas]]+1,M684)</f>
        <v>2</v>
      </c>
      <c r="V684">
        <f>(Tabela2[[#This Row],[SMOKE]]+Tabela2[[#This Row],[CALC_bebe_alcool_frequentemente]])</f>
        <v>1</v>
      </c>
      <c r="W684" s="8">
        <f>(Tabela2[[#This Row],[Weight]]/(Tabela2[[#This Row],[Height]] ^2))</f>
        <v>17.454856501493396</v>
      </c>
    </row>
    <row r="685" spans="1:23" x14ac:dyDescent="0.25">
      <c r="A685" t="s">
        <v>13</v>
      </c>
      <c r="B685" s="7">
        <v>18.288205000000001</v>
      </c>
      <c r="C685" s="4">
        <v>1.7135640000000001</v>
      </c>
      <c r="D685" s="7">
        <v>50</v>
      </c>
      <c r="E685">
        <v>0</v>
      </c>
      <c r="F685">
        <v>1</v>
      </c>
      <c r="G685" s="2">
        <v>1.1406149999999999</v>
      </c>
      <c r="H685" s="2">
        <v>3.471536</v>
      </c>
      <c r="I685">
        <v>1</v>
      </c>
      <c r="J685">
        <v>0</v>
      </c>
      <c r="K685" s="2">
        <v>1</v>
      </c>
      <c r="L685">
        <v>0</v>
      </c>
      <c r="M685" s="7">
        <v>2</v>
      </c>
      <c r="N685" s="7">
        <v>1</v>
      </c>
      <c r="O685">
        <v>1</v>
      </c>
      <c r="P685" t="s">
        <v>14</v>
      </c>
      <c r="Q685">
        <v>0</v>
      </c>
      <c r="R685" s="8">
        <f>(Tabela2[[#This Row],[FAF_atividade_fisica_frequente_em_horas]]+ 0.1)</f>
        <v>2.1</v>
      </c>
      <c r="S685" s="1">
        <f>(Tabela2[[#This Row],[TUE_tempo_uso_aparelhos_em_horas]]/Tabela2[[#This Row],[FAF_Var]])</f>
        <v>0.47619047619047616</v>
      </c>
      <c r="T685">
        <f>(Tabela2[[#This Row],[CAEC_lanche_entre_refeicoes]]*Tabela2[[#This Row],[FAVC_consumo_frequente_de_alimentos_mt_caloricos]])</f>
        <v>1</v>
      </c>
      <c r="U685" s="1">
        <f>IF(OR(Tabela2[[#This Row],[MTRANS]]="Walking",Tabela2[[#This Row],[MTRANS]]="Bike"),Tabela2[[#This Row],[FAF_atividade_fisica_frequente_em_horas]]+1,M685)</f>
        <v>2</v>
      </c>
      <c r="V685">
        <f>(Tabela2[[#This Row],[SMOKE]]+Tabela2[[#This Row],[CALC_bebe_alcool_frequentemente]])</f>
        <v>1</v>
      </c>
      <c r="W685" s="8">
        <f>(Tabela2[[#This Row],[Weight]]/(Tabela2[[#This Row],[Height]] ^2))</f>
        <v>17.028223635090249</v>
      </c>
    </row>
    <row r="686" spans="1:23" x14ac:dyDescent="0.25">
      <c r="A686" t="s">
        <v>13</v>
      </c>
      <c r="B686" s="7">
        <v>19.314429000000001</v>
      </c>
      <c r="C686" s="4">
        <v>1.67231</v>
      </c>
      <c r="D686" s="7">
        <v>49.713943999999998</v>
      </c>
      <c r="E686">
        <v>0</v>
      </c>
      <c r="F686">
        <v>1</v>
      </c>
      <c r="G686" s="2">
        <v>2.5624090000000002</v>
      </c>
      <c r="H686" s="2">
        <v>3.4883419999999998</v>
      </c>
      <c r="I686">
        <v>1</v>
      </c>
      <c r="J686">
        <v>0</v>
      </c>
      <c r="K686" s="2">
        <v>1.67062</v>
      </c>
      <c r="L686">
        <v>0</v>
      </c>
      <c r="M686" s="7">
        <v>2</v>
      </c>
      <c r="N686" s="7">
        <v>1</v>
      </c>
      <c r="O686">
        <v>1</v>
      </c>
      <c r="P686" t="s">
        <v>14</v>
      </c>
      <c r="Q686">
        <v>0</v>
      </c>
      <c r="R686" s="8">
        <f>(Tabela2[[#This Row],[FAF_atividade_fisica_frequente_em_horas]]+ 0.1)</f>
        <v>2.1</v>
      </c>
      <c r="S686" s="1">
        <f>(Tabela2[[#This Row],[TUE_tempo_uso_aparelhos_em_horas]]/Tabela2[[#This Row],[FAF_Var]])</f>
        <v>0.47619047619047616</v>
      </c>
      <c r="T686">
        <f>(Tabela2[[#This Row],[CAEC_lanche_entre_refeicoes]]*Tabela2[[#This Row],[FAVC_consumo_frequente_de_alimentos_mt_caloricos]])</f>
        <v>1</v>
      </c>
      <c r="U686" s="1">
        <f>IF(OR(Tabela2[[#This Row],[MTRANS]]="Walking",Tabela2[[#This Row],[MTRANS]]="Bike"),Tabela2[[#This Row],[FAF_atividade_fisica_frequente_em_horas]]+1,M686)</f>
        <v>2</v>
      </c>
      <c r="V686">
        <f>(Tabela2[[#This Row],[SMOKE]]+Tabela2[[#This Row],[CALC_bebe_alcool_frequentemente]])</f>
        <v>1</v>
      </c>
      <c r="W686" s="8">
        <f>(Tabela2[[#This Row],[Weight]]/(Tabela2[[#This Row],[Height]] ^2))</f>
        <v>17.776434022057668</v>
      </c>
    </row>
    <row r="687" spans="1:23" x14ac:dyDescent="0.25">
      <c r="A687" t="s">
        <v>13</v>
      </c>
      <c r="B687" s="7">
        <v>27.148230000000002</v>
      </c>
      <c r="C687" s="4">
        <v>1.6604460000000001</v>
      </c>
      <c r="D687" s="7">
        <v>49.558304</v>
      </c>
      <c r="E687">
        <v>1</v>
      </c>
      <c r="F687">
        <v>1</v>
      </c>
      <c r="G687" s="2">
        <v>2.004146</v>
      </c>
      <c r="H687" s="2">
        <v>3.4434559999999999</v>
      </c>
      <c r="I687">
        <v>2</v>
      </c>
      <c r="J687">
        <v>0</v>
      </c>
      <c r="K687" s="2">
        <v>2.0207639999999998</v>
      </c>
      <c r="L687">
        <v>0</v>
      </c>
      <c r="M687" s="7">
        <v>1.078719</v>
      </c>
      <c r="N687" s="7">
        <v>1.26729</v>
      </c>
      <c r="O687">
        <v>0</v>
      </c>
      <c r="P687" t="s">
        <v>14</v>
      </c>
      <c r="Q687">
        <v>0</v>
      </c>
      <c r="R687" s="8">
        <f>(Tabela2[[#This Row],[FAF_atividade_fisica_frequente_em_horas]]+ 0.1)</f>
        <v>1.1787190000000001</v>
      </c>
      <c r="S687" s="1">
        <f>(Tabela2[[#This Row],[TUE_tempo_uso_aparelhos_em_horas]]/Tabela2[[#This Row],[FAF_Var]])</f>
        <v>1.0751417428581367</v>
      </c>
      <c r="T687">
        <f>(Tabela2[[#This Row],[CAEC_lanche_entre_refeicoes]]*Tabela2[[#This Row],[FAVC_consumo_frequente_de_alimentos_mt_caloricos]])</f>
        <v>2</v>
      </c>
      <c r="U687" s="1">
        <f>IF(OR(Tabela2[[#This Row],[MTRANS]]="Walking",Tabela2[[#This Row],[MTRANS]]="Bike"),Tabela2[[#This Row],[FAF_atividade_fisica_frequente_em_horas]]+1,M687)</f>
        <v>1.078719</v>
      </c>
      <c r="V687">
        <f>(Tabela2[[#This Row],[SMOKE]]+Tabela2[[#This Row],[CALC_bebe_alcool_frequentemente]])</f>
        <v>0</v>
      </c>
      <c r="W687" s="8">
        <f>(Tabela2[[#This Row],[Weight]]/(Tabela2[[#This Row],[Height]] ^2))</f>
        <v>17.974918204245093</v>
      </c>
    </row>
    <row r="688" spans="1:23" x14ac:dyDescent="0.25">
      <c r="A688" t="s">
        <v>13</v>
      </c>
      <c r="B688" s="7">
        <v>25.380557</v>
      </c>
      <c r="C688" s="4">
        <v>1.630379</v>
      </c>
      <c r="D688" s="7">
        <v>46.062953999999998</v>
      </c>
      <c r="E688">
        <v>1</v>
      </c>
      <c r="F688">
        <v>1</v>
      </c>
      <c r="G688" s="2">
        <v>2.6907540000000001</v>
      </c>
      <c r="H688" s="2">
        <v>3.0377900000000002</v>
      </c>
      <c r="I688">
        <v>2</v>
      </c>
      <c r="J688">
        <v>0</v>
      </c>
      <c r="K688" s="2">
        <v>2.2122959999999998</v>
      </c>
      <c r="L688">
        <v>0</v>
      </c>
      <c r="M688" s="7">
        <v>1.6168819999999999</v>
      </c>
      <c r="N688" s="7">
        <v>0</v>
      </c>
      <c r="O688">
        <v>0</v>
      </c>
      <c r="P688" t="s">
        <v>14</v>
      </c>
      <c r="Q688">
        <v>0</v>
      </c>
      <c r="R688" s="8">
        <f>(Tabela2[[#This Row],[FAF_atividade_fisica_frequente_em_horas]]+ 0.1)</f>
        <v>1.716882</v>
      </c>
      <c r="S688" s="1">
        <f>(Tabela2[[#This Row],[TUE_tempo_uso_aparelhos_em_horas]]/Tabela2[[#This Row],[FAF_Var]])</f>
        <v>0</v>
      </c>
      <c r="T688">
        <f>(Tabela2[[#This Row],[CAEC_lanche_entre_refeicoes]]*Tabela2[[#This Row],[FAVC_consumo_frequente_de_alimentos_mt_caloricos]])</f>
        <v>2</v>
      </c>
      <c r="U688" s="1">
        <f>IF(OR(Tabela2[[#This Row],[MTRANS]]="Walking",Tabela2[[#This Row],[MTRANS]]="Bike"),Tabela2[[#This Row],[FAF_atividade_fisica_frequente_em_horas]]+1,M688)</f>
        <v>1.6168819999999999</v>
      </c>
      <c r="V688">
        <f>(Tabela2[[#This Row],[SMOKE]]+Tabela2[[#This Row],[CALC_bebe_alcool_frequentemente]])</f>
        <v>0</v>
      </c>
      <c r="W688" s="8">
        <f>(Tabela2[[#This Row],[Weight]]/(Tabela2[[#This Row],[Height]] ^2))</f>
        <v>17.3290454221302</v>
      </c>
    </row>
    <row r="689" spans="1:23" x14ac:dyDescent="0.25">
      <c r="A689" t="s">
        <v>13</v>
      </c>
      <c r="B689" s="7">
        <v>22.867719000000001</v>
      </c>
      <c r="C689" s="4">
        <v>1.655413</v>
      </c>
      <c r="D689" s="7">
        <v>50.424661</v>
      </c>
      <c r="E689">
        <v>1</v>
      </c>
      <c r="F689">
        <v>1</v>
      </c>
      <c r="G689" s="2">
        <v>3</v>
      </c>
      <c r="H689" s="2">
        <v>3.6428020000000001</v>
      </c>
      <c r="I689">
        <v>2</v>
      </c>
      <c r="J689">
        <v>0</v>
      </c>
      <c r="K689" s="2">
        <v>1.995177</v>
      </c>
      <c r="L689">
        <v>0</v>
      </c>
      <c r="M689" s="7">
        <v>0.118271</v>
      </c>
      <c r="N689" s="7">
        <v>6.5515000000000004E-2</v>
      </c>
      <c r="O689">
        <v>0</v>
      </c>
      <c r="P689" t="s">
        <v>14</v>
      </c>
      <c r="Q689">
        <v>0</v>
      </c>
      <c r="R689" s="8">
        <f>(Tabela2[[#This Row],[FAF_atividade_fisica_frequente_em_horas]]+ 0.1)</f>
        <v>0.21827099999999999</v>
      </c>
      <c r="S689" s="1">
        <f>(Tabela2[[#This Row],[TUE_tempo_uso_aparelhos_em_horas]]/Tabela2[[#This Row],[FAF_Var]])</f>
        <v>0.30015439522428544</v>
      </c>
      <c r="T689">
        <f>(Tabela2[[#This Row],[CAEC_lanche_entre_refeicoes]]*Tabela2[[#This Row],[FAVC_consumo_frequente_de_alimentos_mt_caloricos]])</f>
        <v>2</v>
      </c>
      <c r="U689" s="1">
        <f>IF(OR(Tabela2[[#This Row],[MTRANS]]="Walking",Tabela2[[#This Row],[MTRANS]]="Bike"),Tabela2[[#This Row],[FAF_atividade_fisica_frequente_em_horas]]+1,M689)</f>
        <v>0.118271</v>
      </c>
      <c r="V689">
        <f>(Tabela2[[#This Row],[SMOKE]]+Tabela2[[#This Row],[CALC_bebe_alcool_frequentemente]])</f>
        <v>0</v>
      </c>
      <c r="W689" s="8">
        <f>(Tabela2[[#This Row],[Weight]]/(Tabela2[[#This Row],[Height]] ^2))</f>
        <v>18.40052711780821</v>
      </c>
    </row>
    <row r="690" spans="1:23" x14ac:dyDescent="0.25">
      <c r="A690" t="s">
        <v>15</v>
      </c>
      <c r="B690" s="7">
        <v>17.729922999999999</v>
      </c>
      <c r="C690" s="4">
        <v>1.7328619999999999</v>
      </c>
      <c r="D690" s="7">
        <v>51.216462999999997</v>
      </c>
      <c r="E690">
        <v>0</v>
      </c>
      <c r="F690">
        <v>1</v>
      </c>
      <c r="G690" s="2">
        <v>2.0512830000000002</v>
      </c>
      <c r="H690" s="2">
        <v>2.645858</v>
      </c>
      <c r="I690">
        <v>1</v>
      </c>
      <c r="J690">
        <v>0</v>
      </c>
      <c r="K690" s="2">
        <v>2.3575200000000001</v>
      </c>
      <c r="L690">
        <v>0</v>
      </c>
      <c r="M690" s="7">
        <v>0.29130899999999998</v>
      </c>
      <c r="N690" s="7">
        <v>0.89794200000000002</v>
      </c>
      <c r="O690">
        <v>1</v>
      </c>
      <c r="P690" t="s">
        <v>14</v>
      </c>
      <c r="Q690">
        <v>0</v>
      </c>
      <c r="R690" s="8">
        <f>(Tabela2[[#This Row],[FAF_atividade_fisica_frequente_em_horas]]+ 0.1)</f>
        <v>0.39130900000000002</v>
      </c>
      <c r="S690" s="1">
        <f>(Tabela2[[#This Row],[TUE_tempo_uso_aparelhos_em_horas]]/Tabela2[[#This Row],[FAF_Var]])</f>
        <v>2.2947133850741994</v>
      </c>
      <c r="T690">
        <f>(Tabela2[[#This Row],[CAEC_lanche_entre_refeicoes]]*Tabela2[[#This Row],[FAVC_consumo_frequente_de_alimentos_mt_caloricos]])</f>
        <v>1</v>
      </c>
      <c r="U690" s="1">
        <f>IF(OR(Tabela2[[#This Row],[MTRANS]]="Walking",Tabela2[[#This Row],[MTRANS]]="Bike"),Tabela2[[#This Row],[FAF_atividade_fisica_frequente_em_horas]]+1,M690)</f>
        <v>0.29130899999999998</v>
      </c>
      <c r="V690">
        <f>(Tabela2[[#This Row],[SMOKE]]+Tabela2[[#This Row],[CALC_bebe_alcool_frequentemente]])</f>
        <v>1</v>
      </c>
      <c r="W690" s="8">
        <f>(Tabela2[[#This Row],[Weight]]/(Tabela2[[#This Row],[Height]] ^2))</f>
        <v>17.05617434080397</v>
      </c>
    </row>
    <row r="691" spans="1:23" x14ac:dyDescent="0.25">
      <c r="A691" t="s">
        <v>13</v>
      </c>
      <c r="B691" s="7">
        <v>16.834813</v>
      </c>
      <c r="C691" s="4">
        <v>1.7440199999999999</v>
      </c>
      <c r="D691" s="7">
        <v>50</v>
      </c>
      <c r="E691">
        <v>0</v>
      </c>
      <c r="F691">
        <v>1</v>
      </c>
      <c r="G691" s="2">
        <v>2.1900499999999998</v>
      </c>
      <c r="H691" s="2">
        <v>3.4206180000000002</v>
      </c>
      <c r="I691">
        <v>1</v>
      </c>
      <c r="J691">
        <v>0</v>
      </c>
      <c r="K691" s="2">
        <v>1.3564050000000001</v>
      </c>
      <c r="L691">
        <v>0</v>
      </c>
      <c r="M691" s="7">
        <v>1.351996</v>
      </c>
      <c r="N691" s="7">
        <v>0.98468</v>
      </c>
      <c r="O691">
        <v>1</v>
      </c>
      <c r="P691" t="s">
        <v>14</v>
      </c>
      <c r="Q691">
        <v>0</v>
      </c>
      <c r="R691" s="8">
        <f>(Tabela2[[#This Row],[FAF_atividade_fisica_frequente_em_horas]]+ 0.1)</f>
        <v>1.4519960000000001</v>
      </c>
      <c r="S691" s="1">
        <f>(Tabela2[[#This Row],[TUE_tempo_uso_aparelhos_em_horas]]/Tabela2[[#This Row],[FAF_Var]])</f>
        <v>0.67815613817117948</v>
      </c>
      <c r="T691">
        <f>(Tabela2[[#This Row],[CAEC_lanche_entre_refeicoes]]*Tabela2[[#This Row],[FAVC_consumo_frequente_de_alimentos_mt_caloricos]])</f>
        <v>1</v>
      </c>
      <c r="U691" s="1">
        <f>IF(OR(Tabela2[[#This Row],[MTRANS]]="Walking",Tabela2[[#This Row],[MTRANS]]="Bike"),Tabela2[[#This Row],[FAF_atividade_fisica_frequente_em_horas]]+1,M691)</f>
        <v>1.351996</v>
      </c>
      <c r="V691">
        <f>(Tabela2[[#This Row],[SMOKE]]+Tabela2[[#This Row],[CALC_bebe_alcool_frequentemente]])</f>
        <v>1</v>
      </c>
      <c r="W691" s="8">
        <f>(Tabela2[[#This Row],[Weight]]/(Tabela2[[#This Row],[Height]] ^2))</f>
        <v>16.438685332258359</v>
      </c>
    </row>
    <row r="692" spans="1:23" x14ac:dyDescent="0.25">
      <c r="A692" t="s">
        <v>15</v>
      </c>
      <c r="B692" s="7">
        <v>17.521754000000001</v>
      </c>
      <c r="C692" s="4">
        <v>1.7579579999999999</v>
      </c>
      <c r="D692" s="7">
        <v>52.094320000000003</v>
      </c>
      <c r="E692">
        <v>0</v>
      </c>
      <c r="F692">
        <v>1</v>
      </c>
      <c r="G692" s="2">
        <v>2.2149800000000002</v>
      </c>
      <c r="H692" s="2">
        <v>2.6415500000000001</v>
      </c>
      <c r="I692">
        <v>1</v>
      </c>
      <c r="J692">
        <v>0</v>
      </c>
      <c r="K692" s="2">
        <v>2.121251</v>
      </c>
      <c r="L692">
        <v>0</v>
      </c>
      <c r="M692" s="7">
        <v>0.99839100000000003</v>
      </c>
      <c r="N692" s="7">
        <v>0.85882000000000003</v>
      </c>
      <c r="O692">
        <v>1</v>
      </c>
      <c r="P692" t="s">
        <v>14</v>
      </c>
      <c r="Q692">
        <v>0</v>
      </c>
      <c r="R692" s="8">
        <f>(Tabela2[[#This Row],[FAF_atividade_fisica_frequente_em_horas]]+ 0.1)</f>
        <v>1.0983910000000001</v>
      </c>
      <c r="S692" s="1">
        <f>(Tabela2[[#This Row],[TUE_tempo_uso_aparelhos_em_horas]]/Tabela2[[#This Row],[FAF_Var]])</f>
        <v>0.78188914512227425</v>
      </c>
      <c r="T692">
        <f>(Tabela2[[#This Row],[CAEC_lanche_entre_refeicoes]]*Tabela2[[#This Row],[FAVC_consumo_frequente_de_alimentos_mt_caloricos]])</f>
        <v>1</v>
      </c>
      <c r="U692" s="1">
        <f>IF(OR(Tabela2[[#This Row],[MTRANS]]="Walking",Tabela2[[#This Row],[MTRANS]]="Bike"),Tabela2[[#This Row],[FAF_atividade_fisica_frequente_em_horas]]+1,M692)</f>
        <v>0.99839100000000003</v>
      </c>
      <c r="V692">
        <f>(Tabela2[[#This Row],[SMOKE]]+Tabela2[[#This Row],[CALC_bebe_alcool_frequentemente]])</f>
        <v>1</v>
      </c>
      <c r="W692" s="8">
        <f>(Tabela2[[#This Row],[Weight]]/(Tabela2[[#This Row],[Height]] ^2))</f>
        <v>16.856732052013911</v>
      </c>
    </row>
    <row r="693" spans="1:23" x14ac:dyDescent="0.25">
      <c r="A693" t="s">
        <v>15</v>
      </c>
      <c r="B693" s="7">
        <v>18</v>
      </c>
      <c r="C693" s="4">
        <v>1.7867580000000001</v>
      </c>
      <c r="D693" s="7">
        <v>51.524444000000003</v>
      </c>
      <c r="E693">
        <v>0</v>
      </c>
      <c r="F693">
        <v>1</v>
      </c>
      <c r="G693" s="2">
        <v>2.9154800000000001</v>
      </c>
      <c r="H693" s="2">
        <v>3</v>
      </c>
      <c r="I693">
        <v>1</v>
      </c>
      <c r="J693">
        <v>0</v>
      </c>
      <c r="K693" s="2">
        <v>1.7774859999999999</v>
      </c>
      <c r="L693">
        <v>0</v>
      </c>
      <c r="M693" s="7">
        <v>1.077469</v>
      </c>
      <c r="N693" s="7">
        <v>1</v>
      </c>
      <c r="O693">
        <v>1</v>
      </c>
      <c r="P693" t="s">
        <v>14</v>
      </c>
      <c r="Q693">
        <v>0</v>
      </c>
      <c r="R693" s="8">
        <f>(Tabela2[[#This Row],[FAF_atividade_fisica_frequente_em_horas]]+ 0.1)</f>
        <v>1.1774690000000001</v>
      </c>
      <c r="S693" s="1">
        <f>(Tabela2[[#This Row],[TUE_tempo_uso_aparelhos_em_horas]]/Tabela2[[#This Row],[FAF_Var]])</f>
        <v>0.84927925915671654</v>
      </c>
      <c r="T693">
        <f>(Tabela2[[#This Row],[CAEC_lanche_entre_refeicoes]]*Tabela2[[#This Row],[FAVC_consumo_frequente_de_alimentos_mt_caloricos]])</f>
        <v>1</v>
      </c>
      <c r="U693" s="1">
        <f>IF(OR(Tabela2[[#This Row],[MTRANS]]="Walking",Tabela2[[#This Row],[MTRANS]]="Bike"),Tabela2[[#This Row],[FAF_atividade_fisica_frequente_em_horas]]+1,M693)</f>
        <v>1.077469</v>
      </c>
      <c r="V693">
        <f>(Tabela2[[#This Row],[SMOKE]]+Tabela2[[#This Row],[CALC_bebe_alcool_frequentemente]])</f>
        <v>1</v>
      </c>
      <c r="W693" s="8">
        <f>(Tabela2[[#This Row],[Weight]]/(Tabela2[[#This Row],[Height]] ^2))</f>
        <v>16.139194052699192</v>
      </c>
    </row>
    <row r="694" spans="1:23" x14ac:dyDescent="0.25">
      <c r="A694" t="s">
        <v>15</v>
      </c>
      <c r="B694" s="7">
        <v>18</v>
      </c>
      <c r="C694" s="4">
        <v>1.767058</v>
      </c>
      <c r="D694" s="7">
        <v>51.132809000000002</v>
      </c>
      <c r="E694">
        <v>1</v>
      </c>
      <c r="F694">
        <v>1</v>
      </c>
      <c r="G694" s="2">
        <v>2.7089650000000001</v>
      </c>
      <c r="H694" s="2">
        <v>3</v>
      </c>
      <c r="I694">
        <v>1</v>
      </c>
      <c r="J694">
        <v>0</v>
      </c>
      <c r="K694" s="2">
        <v>1.8730039999999999</v>
      </c>
      <c r="L694">
        <v>0</v>
      </c>
      <c r="M694" s="7">
        <v>1.2171799999999999</v>
      </c>
      <c r="N694" s="7">
        <v>1</v>
      </c>
      <c r="O694">
        <v>1</v>
      </c>
      <c r="P694" t="s">
        <v>14</v>
      </c>
      <c r="Q694">
        <v>0</v>
      </c>
      <c r="R694" s="8">
        <f>(Tabela2[[#This Row],[FAF_atividade_fisica_frequente_em_horas]]+ 0.1)</f>
        <v>1.31718</v>
      </c>
      <c r="S694" s="1">
        <f>(Tabela2[[#This Row],[TUE_tempo_uso_aparelhos_em_horas]]/Tabela2[[#This Row],[FAF_Var]])</f>
        <v>0.75919767989189024</v>
      </c>
      <c r="T694">
        <f>(Tabela2[[#This Row],[CAEC_lanche_entre_refeicoes]]*Tabela2[[#This Row],[FAVC_consumo_frequente_de_alimentos_mt_caloricos]])</f>
        <v>1</v>
      </c>
      <c r="U694" s="1">
        <f>IF(OR(Tabela2[[#This Row],[MTRANS]]="Walking",Tabela2[[#This Row],[MTRANS]]="Bike"),Tabela2[[#This Row],[FAF_atividade_fisica_frequente_em_horas]]+1,M694)</f>
        <v>1.2171799999999999</v>
      </c>
      <c r="V694">
        <f>(Tabela2[[#This Row],[SMOKE]]+Tabela2[[#This Row],[CALC_bebe_alcool_frequentemente]])</f>
        <v>1</v>
      </c>
      <c r="W694" s="8">
        <f>(Tabela2[[#This Row],[Weight]]/(Tabela2[[#This Row],[Height]] ^2))</f>
        <v>16.375630955073106</v>
      </c>
    </row>
    <row r="695" spans="1:23" x14ac:dyDescent="0.25">
      <c r="A695" t="s">
        <v>15</v>
      </c>
      <c r="B695" s="7">
        <v>18.128249</v>
      </c>
      <c r="C695" s="4">
        <v>1.6994370000000001</v>
      </c>
      <c r="D695" s="7">
        <v>52.086570000000002</v>
      </c>
      <c r="E695">
        <v>1</v>
      </c>
      <c r="F695">
        <v>1</v>
      </c>
      <c r="G695" s="2">
        <v>2.853513</v>
      </c>
      <c r="H695" s="2">
        <v>3</v>
      </c>
      <c r="I695">
        <v>1</v>
      </c>
      <c r="J695">
        <v>0</v>
      </c>
      <c r="K695" s="2">
        <v>2</v>
      </c>
      <c r="L695">
        <v>0</v>
      </c>
      <c r="M695" s="7">
        <v>0.68046399999999996</v>
      </c>
      <c r="N695" s="7">
        <v>1.2588809999999999</v>
      </c>
      <c r="O695">
        <v>1</v>
      </c>
      <c r="P695" t="s">
        <v>14</v>
      </c>
      <c r="Q695">
        <v>0</v>
      </c>
      <c r="R695" s="8">
        <f>(Tabela2[[#This Row],[FAF_atividade_fisica_frequente_em_horas]]+ 0.1)</f>
        <v>0.78046399999999994</v>
      </c>
      <c r="S695" s="1">
        <f>(Tabela2[[#This Row],[TUE_tempo_uso_aparelhos_em_horas]]/Tabela2[[#This Row],[FAF_Var]])</f>
        <v>1.6129904774595625</v>
      </c>
      <c r="T695">
        <f>(Tabela2[[#This Row],[CAEC_lanche_entre_refeicoes]]*Tabela2[[#This Row],[FAVC_consumo_frequente_de_alimentos_mt_caloricos]])</f>
        <v>1</v>
      </c>
      <c r="U695" s="1">
        <f>IF(OR(Tabela2[[#This Row],[MTRANS]]="Walking",Tabela2[[#This Row],[MTRANS]]="Bike"),Tabela2[[#This Row],[FAF_atividade_fisica_frequente_em_horas]]+1,M695)</f>
        <v>0.68046399999999996</v>
      </c>
      <c r="V695">
        <f>(Tabela2[[#This Row],[SMOKE]]+Tabela2[[#This Row],[CALC_bebe_alcool_frequentemente]])</f>
        <v>1</v>
      </c>
      <c r="W695" s="8">
        <f>(Tabela2[[#This Row],[Weight]]/(Tabela2[[#This Row],[Height]] ^2))</f>
        <v>18.034978144856712</v>
      </c>
    </row>
    <row r="696" spans="1:23" x14ac:dyDescent="0.25">
      <c r="A696" t="s">
        <v>15</v>
      </c>
      <c r="B696" s="7">
        <v>17.405104000000001</v>
      </c>
      <c r="C696" s="4">
        <v>1.82525</v>
      </c>
      <c r="D696" s="7">
        <v>58.913578999999999</v>
      </c>
      <c r="E696">
        <v>1</v>
      </c>
      <c r="F696">
        <v>1</v>
      </c>
      <c r="G696" s="2">
        <v>2.5808719999999998</v>
      </c>
      <c r="H696" s="2">
        <v>3.8879060000000001</v>
      </c>
      <c r="I696">
        <v>1</v>
      </c>
      <c r="J696">
        <v>0</v>
      </c>
      <c r="K696" s="2">
        <v>2</v>
      </c>
      <c r="L696">
        <v>0</v>
      </c>
      <c r="M696" s="7">
        <v>2</v>
      </c>
      <c r="N696" s="7">
        <v>0.45364900000000002</v>
      </c>
      <c r="O696">
        <v>0</v>
      </c>
      <c r="P696" t="s">
        <v>17</v>
      </c>
      <c r="Q696">
        <v>0</v>
      </c>
      <c r="R696" s="8">
        <f>(Tabela2[[#This Row],[FAF_atividade_fisica_frequente_em_horas]]+ 0.1)</f>
        <v>2.1</v>
      </c>
      <c r="S696" s="1">
        <f>(Tabela2[[#This Row],[TUE_tempo_uso_aparelhos_em_horas]]/Tabela2[[#This Row],[FAF_Var]])</f>
        <v>0.21602333333333334</v>
      </c>
      <c r="T696">
        <f>(Tabela2[[#This Row],[CAEC_lanche_entre_refeicoes]]*Tabela2[[#This Row],[FAVC_consumo_frequente_de_alimentos_mt_caloricos]])</f>
        <v>1</v>
      </c>
      <c r="U696" s="1">
        <f>IF(OR(Tabela2[[#This Row],[MTRANS]]="Walking",Tabela2[[#This Row],[MTRANS]]="Bike"),Tabela2[[#This Row],[FAF_atividade_fisica_frequente_em_horas]]+1,M696)</f>
        <v>2</v>
      </c>
      <c r="V696">
        <f>(Tabela2[[#This Row],[SMOKE]]+Tabela2[[#This Row],[CALC_bebe_alcool_frequentemente]])</f>
        <v>0</v>
      </c>
      <c r="W696" s="8">
        <f>(Tabela2[[#This Row],[Weight]]/(Tabela2[[#This Row],[Height]] ^2))</f>
        <v>17.683600408152383</v>
      </c>
    </row>
    <row r="697" spans="1:23" x14ac:dyDescent="0.25">
      <c r="A697" t="s">
        <v>15</v>
      </c>
      <c r="B697" s="7">
        <v>19.72925</v>
      </c>
      <c r="C697" s="4">
        <v>1.793315</v>
      </c>
      <c r="D697" s="7">
        <v>58.195149999999998</v>
      </c>
      <c r="E697">
        <v>1</v>
      </c>
      <c r="F697">
        <v>1</v>
      </c>
      <c r="G697" s="2">
        <v>2.5088349999999999</v>
      </c>
      <c r="H697" s="2">
        <v>3.435905</v>
      </c>
      <c r="I697">
        <v>1</v>
      </c>
      <c r="J697">
        <v>0</v>
      </c>
      <c r="K697" s="2">
        <v>2.0769329999999999</v>
      </c>
      <c r="L697">
        <v>0</v>
      </c>
      <c r="M697" s="7">
        <v>2.0266679999999999</v>
      </c>
      <c r="N697" s="7">
        <v>1.4433279999999999</v>
      </c>
      <c r="O697">
        <v>0</v>
      </c>
      <c r="P697" t="s">
        <v>17</v>
      </c>
      <c r="Q697">
        <v>0</v>
      </c>
      <c r="R697" s="8">
        <f>(Tabela2[[#This Row],[FAF_atividade_fisica_frequente_em_horas]]+ 0.1)</f>
        <v>2.126668</v>
      </c>
      <c r="S697" s="1">
        <f>(Tabela2[[#This Row],[TUE_tempo_uso_aparelhos_em_horas]]/Tabela2[[#This Row],[FAF_Var]])</f>
        <v>0.67868045223796092</v>
      </c>
      <c r="T697">
        <f>(Tabela2[[#This Row],[CAEC_lanche_entre_refeicoes]]*Tabela2[[#This Row],[FAVC_consumo_frequente_de_alimentos_mt_caloricos]])</f>
        <v>1</v>
      </c>
      <c r="U697" s="1">
        <f>IF(OR(Tabela2[[#This Row],[MTRANS]]="Walking",Tabela2[[#This Row],[MTRANS]]="Bike"),Tabela2[[#This Row],[FAF_atividade_fisica_frequente_em_horas]]+1,M697)</f>
        <v>2.0266679999999999</v>
      </c>
      <c r="V697">
        <f>(Tabela2[[#This Row],[SMOKE]]+Tabela2[[#This Row],[CALC_bebe_alcool_frequentemente]])</f>
        <v>0</v>
      </c>
      <c r="W697" s="8">
        <f>(Tabela2[[#This Row],[Weight]]/(Tabela2[[#This Row],[Height]] ^2))</f>
        <v>18.095626751190977</v>
      </c>
    </row>
    <row r="698" spans="1:23" x14ac:dyDescent="0.25">
      <c r="A698" t="s">
        <v>15</v>
      </c>
      <c r="B698" s="7">
        <v>18.525834</v>
      </c>
      <c r="C698" s="4">
        <v>1.7769889999999999</v>
      </c>
      <c r="D698" s="7">
        <v>57.275945999999998</v>
      </c>
      <c r="E698">
        <v>1</v>
      </c>
      <c r="F698">
        <v>1</v>
      </c>
      <c r="G698" s="2">
        <v>2</v>
      </c>
      <c r="H698" s="2">
        <v>3.747163</v>
      </c>
      <c r="I698">
        <v>1</v>
      </c>
      <c r="J698">
        <v>0</v>
      </c>
      <c r="K698" s="2">
        <v>2.5755349999999999</v>
      </c>
      <c r="L698">
        <v>0</v>
      </c>
      <c r="M698" s="7">
        <v>2</v>
      </c>
      <c r="N698" s="7">
        <v>1.8438300000000001</v>
      </c>
      <c r="O698">
        <v>0</v>
      </c>
      <c r="P698" t="s">
        <v>17</v>
      </c>
      <c r="Q698">
        <v>0</v>
      </c>
      <c r="R698" s="8">
        <f>(Tabela2[[#This Row],[FAF_atividade_fisica_frequente_em_horas]]+ 0.1)</f>
        <v>2.1</v>
      </c>
      <c r="S698" s="1">
        <f>(Tabela2[[#This Row],[TUE_tempo_uso_aparelhos_em_horas]]/Tabela2[[#This Row],[FAF_Var]])</f>
        <v>0.87801428571428575</v>
      </c>
      <c r="T698">
        <f>(Tabela2[[#This Row],[CAEC_lanche_entre_refeicoes]]*Tabela2[[#This Row],[FAVC_consumo_frequente_de_alimentos_mt_caloricos]])</f>
        <v>1</v>
      </c>
      <c r="U698" s="1">
        <f>IF(OR(Tabela2[[#This Row],[MTRANS]]="Walking",Tabela2[[#This Row],[MTRANS]]="Bike"),Tabela2[[#This Row],[FAF_atividade_fisica_frequente_em_horas]]+1,M698)</f>
        <v>2</v>
      </c>
      <c r="V698">
        <f>(Tabela2[[#This Row],[SMOKE]]+Tabela2[[#This Row],[CALC_bebe_alcool_frequentemente]])</f>
        <v>0</v>
      </c>
      <c r="W698" s="8">
        <f>(Tabela2[[#This Row],[Weight]]/(Tabela2[[#This Row],[Height]] ^2))</f>
        <v>18.13855942249867</v>
      </c>
    </row>
    <row r="699" spans="1:23" x14ac:dyDescent="0.25">
      <c r="A699" t="s">
        <v>13</v>
      </c>
      <c r="B699" s="7">
        <v>18.595614000000001</v>
      </c>
      <c r="C699" s="4">
        <v>1.6094949999999999</v>
      </c>
      <c r="D699" s="7">
        <v>42.656562999999998</v>
      </c>
      <c r="E699">
        <v>0</v>
      </c>
      <c r="F699">
        <v>1</v>
      </c>
      <c r="G699" s="2">
        <v>2.8965619999999999</v>
      </c>
      <c r="H699" s="2">
        <v>2.6254749999999998</v>
      </c>
      <c r="I699">
        <v>1</v>
      </c>
      <c r="J699">
        <v>0</v>
      </c>
      <c r="K699" s="2">
        <v>2.8395579999999998</v>
      </c>
      <c r="L699">
        <v>1</v>
      </c>
      <c r="M699" s="7">
        <v>1.949667</v>
      </c>
      <c r="N699" s="7">
        <v>1.2533110000000001</v>
      </c>
      <c r="O699">
        <v>0</v>
      </c>
      <c r="P699" t="s">
        <v>14</v>
      </c>
      <c r="Q699">
        <v>0</v>
      </c>
      <c r="R699" s="8">
        <f>(Tabela2[[#This Row],[FAF_atividade_fisica_frequente_em_horas]]+ 0.1)</f>
        <v>2.0496669999999999</v>
      </c>
      <c r="S699" s="1">
        <f>(Tabela2[[#This Row],[TUE_tempo_uso_aparelhos_em_horas]]/Tabela2[[#This Row],[FAF_Var]])</f>
        <v>0.61147054619116181</v>
      </c>
      <c r="T699">
        <f>(Tabela2[[#This Row],[CAEC_lanche_entre_refeicoes]]*Tabela2[[#This Row],[FAVC_consumo_frequente_de_alimentos_mt_caloricos]])</f>
        <v>1</v>
      </c>
      <c r="U699" s="1">
        <f>IF(OR(Tabela2[[#This Row],[MTRANS]]="Walking",Tabela2[[#This Row],[MTRANS]]="Bike"),Tabela2[[#This Row],[FAF_atividade_fisica_frequente_em_horas]]+1,M699)</f>
        <v>1.949667</v>
      </c>
      <c r="V699">
        <f>(Tabela2[[#This Row],[SMOKE]]+Tabela2[[#This Row],[CALC_bebe_alcool_frequentemente]])</f>
        <v>0</v>
      </c>
      <c r="W699" s="8">
        <f>(Tabela2[[#This Row],[Weight]]/(Tabela2[[#This Row],[Height]] ^2))</f>
        <v>16.466700861405943</v>
      </c>
    </row>
    <row r="700" spans="1:23" x14ac:dyDescent="0.25">
      <c r="A700" t="s">
        <v>13</v>
      </c>
      <c r="B700" s="7">
        <v>16.613108</v>
      </c>
      <c r="C700" s="4">
        <v>1.7779290000000001</v>
      </c>
      <c r="D700" s="7">
        <v>44.762022999999999</v>
      </c>
      <c r="E700">
        <v>0</v>
      </c>
      <c r="F700">
        <v>1</v>
      </c>
      <c r="G700" s="2">
        <v>2.911877</v>
      </c>
      <c r="H700" s="2">
        <v>3.0983990000000001</v>
      </c>
      <c r="I700">
        <v>1</v>
      </c>
      <c r="J700">
        <v>0</v>
      </c>
      <c r="K700" s="2">
        <v>2.1964049999999999</v>
      </c>
      <c r="L700">
        <v>0</v>
      </c>
      <c r="M700" s="7">
        <v>2.328147</v>
      </c>
      <c r="N700" s="7">
        <v>1.5501100000000001</v>
      </c>
      <c r="O700">
        <v>1</v>
      </c>
      <c r="P700" t="s">
        <v>14</v>
      </c>
      <c r="Q700">
        <v>0</v>
      </c>
      <c r="R700" s="8">
        <f>(Tabela2[[#This Row],[FAF_atividade_fisica_frequente_em_horas]]+ 0.1)</f>
        <v>2.4281470000000001</v>
      </c>
      <c r="S700" s="1">
        <f>(Tabela2[[#This Row],[TUE_tempo_uso_aparelhos_em_horas]]/Tabela2[[#This Row],[FAF_Var]])</f>
        <v>0.63839215665278914</v>
      </c>
      <c r="T700">
        <f>(Tabela2[[#This Row],[CAEC_lanche_entre_refeicoes]]*Tabela2[[#This Row],[FAVC_consumo_frequente_de_alimentos_mt_caloricos]])</f>
        <v>1</v>
      </c>
      <c r="U700" s="1">
        <f>IF(OR(Tabela2[[#This Row],[MTRANS]]="Walking",Tabela2[[#This Row],[MTRANS]]="Bike"),Tabela2[[#This Row],[FAF_atividade_fisica_frequente_em_horas]]+1,M700)</f>
        <v>2.328147</v>
      </c>
      <c r="V700">
        <f>(Tabela2[[#This Row],[SMOKE]]+Tabela2[[#This Row],[CALC_bebe_alcool_frequentemente]])</f>
        <v>1</v>
      </c>
      <c r="W700" s="8">
        <f>(Tabela2[[#This Row],[Weight]]/(Tabela2[[#This Row],[Height]] ^2))</f>
        <v>14.160574669617416</v>
      </c>
    </row>
    <row r="701" spans="1:23" x14ac:dyDescent="0.25">
      <c r="A701" t="s">
        <v>13</v>
      </c>
      <c r="B701" s="7">
        <v>16.928791</v>
      </c>
      <c r="C701" s="4">
        <v>1.7109479999999999</v>
      </c>
      <c r="D701" s="7">
        <v>45.248626999999999</v>
      </c>
      <c r="E701">
        <v>0</v>
      </c>
      <c r="F701">
        <v>1</v>
      </c>
      <c r="G701" s="2">
        <v>2.910733</v>
      </c>
      <c r="H701" s="2">
        <v>3.1254400000000002</v>
      </c>
      <c r="I701">
        <v>1</v>
      </c>
      <c r="J701">
        <v>0</v>
      </c>
      <c r="K701" s="2">
        <v>2.2042630000000001</v>
      </c>
      <c r="L701">
        <v>0</v>
      </c>
      <c r="M701" s="7">
        <v>2.4079060000000001</v>
      </c>
      <c r="N701" s="7">
        <v>1.4030370000000001</v>
      </c>
      <c r="O701">
        <v>1</v>
      </c>
      <c r="P701" t="s">
        <v>14</v>
      </c>
      <c r="Q701">
        <v>0</v>
      </c>
      <c r="R701" s="8">
        <f>(Tabela2[[#This Row],[FAF_atividade_fisica_frequente_em_horas]]+ 0.1)</f>
        <v>2.5079060000000002</v>
      </c>
      <c r="S701" s="1">
        <f>(Tabela2[[#This Row],[TUE_tempo_uso_aparelhos_em_horas]]/Tabela2[[#This Row],[FAF_Var]])</f>
        <v>0.55944560920544872</v>
      </c>
      <c r="T701">
        <f>(Tabela2[[#This Row],[CAEC_lanche_entre_refeicoes]]*Tabela2[[#This Row],[FAVC_consumo_frequente_de_alimentos_mt_caloricos]])</f>
        <v>1</v>
      </c>
      <c r="U701" s="1">
        <f>IF(OR(Tabela2[[#This Row],[MTRANS]]="Walking",Tabela2[[#This Row],[MTRANS]]="Bike"),Tabela2[[#This Row],[FAF_atividade_fisica_frequente_em_horas]]+1,M701)</f>
        <v>2.4079060000000001</v>
      </c>
      <c r="V701">
        <f>(Tabela2[[#This Row],[SMOKE]]+Tabela2[[#This Row],[CALC_bebe_alcool_frequentemente]])</f>
        <v>1</v>
      </c>
      <c r="W701" s="8">
        <f>(Tabela2[[#This Row],[Weight]]/(Tabela2[[#This Row],[Height]] ^2))</f>
        <v>15.457234117286061</v>
      </c>
    </row>
    <row r="702" spans="1:23" x14ac:dyDescent="0.25">
      <c r="A702" t="s">
        <v>15</v>
      </c>
      <c r="B702" s="7">
        <v>17.758315</v>
      </c>
      <c r="C702" s="4">
        <v>1.8541620000000001</v>
      </c>
      <c r="D702" s="7">
        <v>59.881315999999998</v>
      </c>
      <c r="E702">
        <v>1</v>
      </c>
      <c r="F702">
        <v>1</v>
      </c>
      <c r="G702" s="2">
        <v>2.966126</v>
      </c>
      <c r="H702" s="2">
        <v>3.9698099999999998</v>
      </c>
      <c r="I702">
        <v>1</v>
      </c>
      <c r="J702">
        <v>0</v>
      </c>
      <c r="K702" s="2">
        <v>2</v>
      </c>
      <c r="L702">
        <v>0</v>
      </c>
      <c r="M702" s="7">
        <v>2.0000879999999999</v>
      </c>
      <c r="N702" s="7">
        <v>0.37861899999999998</v>
      </c>
      <c r="O702">
        <v>0</v>
      </c>
      <c r="P702" t="s">
        <v>17</v>
      </c>
      <c r="Q702">
        <v>0</v>
      </c>
      <c r="R702" s="8">
        <f>(Tabela2[[#This Row],[FAF_atividade_fisica_frequente_em_horas]]+ 0.1)</f>
        <v>2.100088</v>
      </c>
      <c r="S702" s="1">
        <f>(Tabela2[[#This Row],[TUE_tempo_uso_aparelhos_em_horas]]/Tabela2[[#This Row],[FAF_Var]])</f>
        <v>0.18028720701227757</v>
      </c>
      <c r="T702">
        <f>(Tabela2[[#This Row],[CAEC_lanche_entre_refeicoes]]*Tabela2[[#This Row],[FAVC_consumo_frequente_de_alimentos_mt_caloricos]])</f>
        <v>1</v>
      </c>
      <c r="U702" s="1">
        <f>IF(OR(Tabela2[[#This Row],[MTRANS]]="Walking",Tabela2[[#This Row],[MTRANS]]="Bike"),Tabela2[[#This Row],[FAF_atividade_fisica_frequente_em_horas]]+1,M702)</f>
        <v>2.0000879999999999</v>
      </c>
      <c r="V702">
        <f>(Tabela2[[#This Row],[SMOKE]]+Tabela2[[#This Row],[CALC_bebe_alcool_frequentemente]])</f>
        <v>0</v>
      </c>
      <c r="W702" s="8">
        <f>(Tabela2[[#This Row],[Weight]]/(Tabela2[[#This Row],[Height]] ^2))</f>
        <v>17.417907656853949</v>
      </c>
    </row>
    <row r="703" spans="1:23" x14ac:dyDescent="0.25">
      <c r="A703" t="s">
        <v>15</v>
      </c>
      <c r="B703" s="7">
        <v>17.282945000000002</v>
      </c>
      <c r="C703" s="4">
        <v>1.8215140000000001</v>
      </c>
      <c r="D703" s="7">
        <v>59.605027999999997</v>
      </c>
      <c r="E703">
        <v>1</v>
      </c>
      <c r="F703">
        <v>1</v>
      </c>
      <c r="G703" s="2">
        <v>2.6132490000000002</v>
      </c>
      <c r="H703" s="2">
        <v>3.712183</v>
      </c>
      <c r="I703">
        <v>1</v>
      </c>
      <c r="J703">
        <v>0</v>
      </c>
      <c r="K703" s="2">
        <v>2</v>
      </c>
      <c r="L703">
        <v>0</v>
      </c>
      <c r="M703" s="7">
        <v>2.0029970000000001</v>
      </c>
      <c r="N703" s="7">
        <v>0.174848</v>
      </c>
      <c r="O703">
        <v>0</v>
      </c>
      <c r="P703" t="s">
        <v>17</v>
      </c>
      <c r="Q703">
        <v>0</v>
      </c>
      <c r="R703" s="8">
        <f>(Tabela2[[#This Row],[FAF_atividade_fisica_frequente_em_horas]]+ 0.1)</f>
        <v>2.1029970000000002</v>
      </c>
      <c r="S703" s="1">
        <f>(Tabela2[[#This Row],[TUE_tempo_uso_aparelhos_em_horas]]/Tabela2[[#This Row],[FAF_Var]])</f>
        <v>8.3142296446452366E-2</v>
      </c>
      <c r="T703">
        <f>(Tabela2[[#This Row],[CAEC_lanche_entre_refeicoes]]*Tabela2[[#This Row],[FAVC_consumo_frequente_de_alimentos_mt_caloricos]])</f>
        <v>1</v>
      </c>
      <c r="U703" s="1">
        <f>IF(OR(Tabela2[[#This Row],[MTRANS]]="Walking",Tabela2[[#This Row],[MTRANS]]="Bike"),Tabela2[[#This Row],[FAF_atividade_fisica_frequente_em_horas]]+1,M703)</f>
        <v>2.0029970000000001</v>
      </c>
      <c r="V703">
        <f>(Tabela2[[#This Row],[SMOKE]]+Tabela2[[#This Row],[CALC_bebe_alcool_frequentemente]])</f>
        <v>0</v>
      </c>
      <c r="W703" s="8">
        <f>(Tabela2[[#This Row],[Weight]]/(Tabela2[[#This Row],[Height]] ^2))</f>
        <v>17.964613137655029</v>
      </c>
    </row>
    <row r="704" spans="1:23" x14ac:dyDescent="0.25">
      <c r="A704" t="s">
        <v>15</v>
      </c>
      <c r="B704" s="7">
        <v>19.993154000000001</v>
      </c>
      <c r="C704" s="4">
        <v>1.762073</v>
      </c>
      <c r="D704" s="7">
        <v>55.511074999999998</v>
      </c>
      <c r="E704">
        <v>1</v>
      </c>
      <c r="F704">
        <v>1</v>
      </c>
      <c r="G704" s="2">
        <v>2</v>
      </c>
      <c r="H704" s="2">
        <v>4</v>
      </c>
      <c r="I704">
        <v>1</v>
      </c>
      <c r="J704">
        <v>0</v>
      </c>
      <c r="K704" s="2">
        <v>2.5424150000000001</v>
      </c>
      <c r="L704">
        <v>0</v>
      </c>
      <c r="M704" s="7">
        <v>2</v>
      </c>
      <c r="N704" s="7">
        <v>1.8074650000000001</v>
      </c>
      <c r="O704">
        <v>0</v>
      </c>
      <c r="P704" t="s">
        <v>17</v>
      </c>
      <c r="Q704">
        <v>0</v>
      </c>
      <c r="R704" s="8">
        <f>(Tabela2[[#This Row],[FAF_atividade_fisica_frequente_em_horas]]+ 0.1)</f>
        <v>2.1</v>
      </c>
      <c r="S704" s="1">
        <f>(Tabela2[[#This Row],[TUE_tempo_uso_aparelhos_em_horas]]/Tabela2[[#This Row],[FAF_Var]])</f>
        <v>0.8606976190476191</v>
      </c>
      <c r="T704">
        <f>(Tabela2[[#This Row],[CAEC_lanche_entre_refeicoes]]*Tabela2[[#This Row],[FAVC_consumo_frequente_de_alimentos_mt_caloricos]])</f>
        <v>1</v>
      </c>
      <c r="U704" s="1">
        <f>IF(OR(Tabela2[[#This Row],[MTRANS]]="Walking",Tabela2[[#This Row],[MTRANS]]="Bike"),Tabela2[[#This Row],[FAF_atividade_fisica_frequente_em_horas]]+1,M704)</f>
        <v>2</v>
      </c>
      <c r="V704">
        <f>(Tabela2[[#This Row],[SMOKE]]+Tabela2[[#This Row],[CALC_bebe_alcool_frequentemente]])</f>
        <v>0</v>
      </c>
      <c r="W704" s="8">
        <f>(Tabela2[[#This Row],[Weight]]/(Tabela2[[#This Row],[Height]] ^2))</f>
        <v>17.878531521402891</v>
      </c>
    </row>
    <row r="705" spans="1:23" x14ac:dyDescent="0.25">
      <c r="A705" t="s">
        <v>13</v>
      </c>
      <c r="B705" s="7">
        <v>22.935611999999999</v>
      </c>
      <c r="C705" s="4">
        <v>1.732307</v>
      </c>
      <c r="D705" s="7">
        <v>54.835576000000003</v>
      </c>
      <c r="E705">
        <v>1</v>
      </c>
      <c r="F705">
        <v>1</v>
      </c>
      <c r="G705" s="2">
        <v>3</v>
      </c>
      <c r="H705" s="2">
        <v>3</v>
      </c>
      <c r="I705">
        <v>2</v>
      </c>
      <c r="J705">
        <v>0</v>
      </c>
      <c r="K705" s="2">
        <v>2.0035699999999999</v>
      </c>
      <c r="L705">
        <v>0</v>
      </c>
      <c r="M705" s="7">
        <v>1.2595499999999999</v>
      </c>
      <c r="N705" s="7">
        <v>0.41711599999999999</v>
      </c>
      <c r="O705">
        <v>0</v>
      </c>
      <c r="P705" t="s">
        <v>14</v>
      </c>
      <c r="Q705">
        <v>0</v>
      </c>
      <c r="R705" s="8">
        <f>(Tabela2[[#This Row],[FAF_atividade_fisica_frequente_em_horas]]+ 0.1)</f>
        <v>1.35955</v>
      </c>
      <c r="S705" s="1">
        <f>(Tabela2[[#This Row],[TUE_tempo_uso_aparelhos_em_horas]]/Tabela2[[#This Row],[FAF_Var]])</f>
        <v>0.30680445735721379</v>
      </c>
      <c r="T705">
        <f>(Tabela2[[#This Row],[CAEC_lanche_entre_refeicoes]]*Tabela2[[#This Row],[FAVC_consumo_frequente_de_alimentos_mt_caloricos]])</f>
        <v>2</v>
      </c>
      <c r="U705" s="1">
        <f>IF(OR(Tabela2[[#This Row],[MTRANS]]="Walking",Tabela2[[#This Row],[MTRANS]]="Bike"),Tabela2[[#This Row],[FAF_atividade_fisica_frequente_em_horas]]+1,M705)</f>
        <v>1.2595499999999999</v>
      </c>
      <c r="V705">
        <f>(Tabela2[[#This Row],[SMOKE]]+Tabela2[[#This Row],[CALC_bebe_alcool_frequentemente]])</f>
        <v>0</v>
      </c>
      <c r="W705" s="8">
        <f>(Tabela2[[#This Row],[Weight]]/(Tabela2[[#This Row],[Height]] ^2))</f>
        <v>18.273119278206526</v>
      </c>
    </row>
    <row r="706" spans="1:23" x14ac:dyDescent="0.25">
      <c r="A706" t="s">
        <v>15</v>
      </c>
      <c r="B706" s="7">
        <v>20.738468999999998</v>
      </c>
      <c r="C706" s="4">
        <v>1.759933</v>
      </c>
      <c r="D706" s="7">
        <v>55.003416999999999</v>
      </c>
      <c r="E706">
        <v>1</v>
      </c>
      <c r="F706">
        <v>1</v>
      </c>
      <c r="G706" s="2">
        <v>2.6270310000000001</v>
      </c>
      <c r="H706" s="2">
        <v>3.8329110000000002</v>
      </c>
      <c r="I706">
        <v>1</v>
      </c>
      <c r="J706">
        <v>0</v>
      </c>
      <c r="K706" s="2">
        <v>2.9934479999999999</v>
      </c>
      <c r="L706">
        <v>0</v>
      </c>
      <c r="M706" s="7">
        <v>2</v>
      </c>
      <c r="N706" s="7">
        <v>1.4259029999999999</v>
      </c>
      <c r="O706">
        <v>0</v>
      </c>
      <c r="P706" t="s">
        <v>14</v>
      </c>
      <c r="Q706">
        <v>0</v>
      </c>
      <c r="R706" s="8">
        <f>(Tabela2[[#This Row],[FAF_atividade_fisica_frequente_em_horas]]+ 0.1)</f>
        <v>2.1</v>
      </c>
      <c r="S706" s="1">
        <f>(Tabela2[[#This Row],[TUE_tempo_uso_aparelhos_em_horas]]/Tabela2[[#This Row],[FAF_Var]])</f>
        <v>0.67900142857142853</v>
      </c>
      <c r="T706">
        <f>(Tabela2[[#This Row],[CAEC_lanche_entre_refeicoes]]*Tabela2[[#This Row],[FAVC_consumo_frequente_de_alimentos_mt_caloricos]])</f>
        <v>1</v>
      </c>
      <c r="U706" s="1">
        <f>IF(OR(Tabela2[[#This Row],[MTRANS]]="Walking",Tabela2[[#This Row],[MTRANS]]="Bike"),Tabela2[[#This Row],[FAF_atividade_fisica_frequente_em_horas]]+1,M706)</f>
        <v>2</v>
      </c>
      <c r="V706">
        <f>(Tabela2[[#This Row],[SMOKE]]+Tabela2[[#This Row],[CALC_bebe_alcool_frequentemente]])</f>
        <v>0</v>
      </c>
      <c r="W706" s="8">
        <f>(Tabela2[[#This Row],[Weight]]/(Tabela2[[#This Row],[Height]] ^2))</f>
        <v>17.758136944505654</v>
      </c>
    </row>
    <row r="707" spans="1:23" x14ac:dyDescent="0.25">
      <c r="A707" t="s">
        <v>13</v>
      </c>
      <c r="B707" s="7">
        <v>22.993680000000001</v>
      </c>
      <c r="C707" s="4">
        <v>1.741377</v>
      </c>
      <c r="D707" s="7">
        <v>54.877110999999999</v>
      </c>
      <c r="E707">
        <v>1</v>
      </c>
      <c r="F707">
        <v>1</v>
      </c>
      <c r="G707" s="2">
        <v>3</v>
      </c>
      <c r="H707" s="2">
        <v>3</v>
      </c>
      <c r="I707">
        <v>2</v>
      </c>
      <c r="J707">
        <v>0</v>
      </c>
      <c r="K707" s="2">
        <v>2.0097960000000001</v>
      </c>
      <c r="L707">
        <v>0</v>
      </c>
      <c r="M707" s="7">
        <v>2</v>
      </c>
      <c r="N707" s="7">
        <v>7.1317000000000005E-2</v>
      </c>
      <c r="O707">
        <v>0</v>
      </c>
      <c r="P707" t="s">
        <v>14</v>
      </c>
      <c r="Q707">
        <v>0</v>
      </c>
      <c r="R707" s="8">
        <f>(Tabela2[[#This Row],[FAF_atividade_fisica_frequente_em_horas]]+ 0.1)</f>
        <v>2.1</v>
      </c>
      <c r="S707" s="1">
        <f>(Tabela2[[#This Row],[TUE_tempo_uso_aparelhos_em_horas]]/Tabela2[[#This Row],[FAF_Var]])</f>
        <v>3.3960476190476194E-2</v>
      </c>
      <c r="T707">
        <f>(Tabela2[[#This Row],[CAEC_lanche_entre_refeicoes]]*Tabela2[[#This Row],[FAVC_consumo_frequente_de_alimentos_mt_caloricos]])</f>
        <v>2</v>
      </c>
      <c r="U707" s="1">
        <f>IF(OR(Tabela2[[#This Row],[MTRANS]]="Walking",Tabela2[[#This Row],[MTRANS]]="Bike"),Tabela2[[#This Row],[FAF_atividade_fisica_frequente_em_horas]]+1,M707)</f>
        <v>2</v>
      </c>
      <c r="V707">
        <f>(Tabela2[[#This Row],[SMOKE]]+Tabela2[[#This Row],[CALC_bebe_alcool_frequentemente]])</f>
        <v>0</v>
      </c>
      <c r="W707" s="8">
        <f>(Tabela2[[#This Row],[Weight]]/(Tabela2[[#This Row],[Height]] ^2))</f>
        <v>18.096960224702912</v>
      </c>
    </row>
    <row r="708" spans="1:23" x14ac:dyDescent="0.25">
      <c r="A708" t="s">
        <v>13</v>
      </c>
      <c r="B708" s="7">
        <v>19.317148</v>
      </c>
      <c r="C708" s="4">
        <v>1.731195</v>
      </c>
      <c r="D708" s="7">
        <v>49.650897000000001</v>
      </c>
      <c r="E708">
        <v>0</v>
      </c>
      <c r="F708">
        <v>1</v>
      </c>
      <c r="G708" s="2">
        <v>2.9197510000000002</v>
      </c>
      <c r="H708" s="2">
        <v>3.5761029999999998</v>
      </c>
      <c r="I708">
        <v>1</v>
      </c>
      <c r="J708">
        <v>0</v>
      </c>
      <c r="K708" s="2">
        <v>1.949308</v>
      </c>
      <c r="L708">
        <v>0</v>
      </c>
      <c r="M708" s="7">
        <v>1.9401820000000001</v>
      </c>
      <c r="N708" s="7">
        <v>1</v>
      </c>
      <c r="O708">
        <v>1</v>
      </c>
      <c r="P708" t="s">
        <v>14</v>
      </c>
      <c r="Q708">
        <v>0</v>
      </c>
      <c r="R708" s="8">
        <f>(Tabela2[[#This Row],[FAF_atividade_fisica_frequente_em_horas]]+ 0.1)</f>
        <v>2.0401820000000002</v>
      </c>
      <c r="S708" s="1">
        <f>(Tabela2[[#This Row],[TUE_tempo_uso_aparelhos_em_horas]]/Tabela2[[#This Row],[FAF_Var]])</f>
        <v>0.49015234915316375</v>
      </c>
      <c r="T708">
        <f>(Tabela2[[#This Row],[CAEC_lanche_entre_refeicoes]]*Tabela2[[#This Row],[FAVC_consumo_frequente_de_alimentos_mt_caloricos]])</f>
        <v>1</v>
      </c>
      <c r="U708" s="1">
        <f>IF(OR(Tabela2[[#This Row],[MTRANS]]="Walking",Tabela2[[#This Row],[MTRANS]]="Bike"),Tabela2[[#This Row],[FAF_atividade_fisica_frequente_em_horas]]+1,M708)</f>
        <v>1.9401820000000001</v>
      </c>
      <c r="V708">
        <f>(Tabela2[[#This Row],[SMOKE]]+Tabela2[[#This Row],[CALC_bebe_alcool_frequentemente]])</f>
        <v>1</v>
      </c>
      <c r="W708" s="8">
        <f>(Tabela2[[#This Row],[Weight]]/(Tabela2[[#This Row],[Height]] ^2))</f>
        <v>16.566666159182795</v>
      </c>
    </row>
    <row r="709" spans="1:23" x14ac:dyDescent="0.25">
      <c r="A709" t="s">
        <v>13</v>
      </c>
      <c r="B709" s="7">
        <v>16.910996999999998</v>
      </c>
      <c r="C709" s="4">
        <v>1.74823</v>
      </c>
      <c r="D709" s="7">
        <v>49.928446999999998</v>
      </c>
      <c r="E709">
        <v>0</v>
      </c>
      <c r="F709">
        <v>1</v>
      </c>
      <c r="G709" s="2">
        <v>2.4944510000000002</v>
      </c>
      <c r="H709" s="2">
        <v>3.5654400000000002</v>
      </c>
      <c r="I709">
        <v>1</v>
      </c>
      <c r="J709">
        <v>0</v>
      </c>
      <c r="K709" s="2">
        <v>1.491268</v>
      </c>
      <c r="L709">
        <v>0</v>
      </c>
      <c r="M709" s="7">
        <v>1.9510270000000001</v>
      </c>
      <c r="N709" s="7">
        <v>0.95620400000000005</v>
      </c>
      <c r="O709">
        <v>1</v>
      </c>
      <c r="P709" t="s">
        <v>14</v>
      </c>
      <c r="Q709">
        <v>0</v>
      </c>
      <c r="R709" s="8">
        <f>(Tabela2[[#This Row],[FAF_atividade_fisica_frequente_em_horas]]+ 0.1)</f>
        <v>2.0510269999999999</v>
      </c>
      <c r="S709" s="1">
        <f>(Tabela2[[#This Row],[TUE_tempo_uso_aparelhos_em_horas]]/Tabela2[[#This Row],[FAF_Var]])</f>
        <v>0.4662074170647193</v>
      </c>
      <c r="T709">
        <f>(Tabela2[[#This Row],[CAEC_lanche_entre_refeicoes]]*Tabela2[[#This Row],[FAVC_consumo_frequente_de_alimentos_mt_caloricos]])</f>
        <v>1</v>
      </c>
      <c r="U709" s="1">
        <f>IF(OR(Tabela2[[#This Row],[MTRANS]]="Walking",Tabela2[[#This Row],[MTRANS]]="Bike"),Tabela2[[#This Row],[FAF_atividade_fisica_frequente_em_horas]]+1,M709)</f>
        <v>1.9510270000000001</v>
      </c>
      <c r="V709">
        <f>(Tabela2[[#This Row],[SMOKE]]+Tabela2[[#This Row],[CALC_bebe_alcool_frequentemente]])</f>
        <v>1</v>
      </c>
      <c r="W709" s="8">
        <f>(Tabela2[[#This Row],[Weight]]/(Tabela2[[#This Row],[Height]] ^2))</f>
        <v>16.336195445262593</v>
      </c>
    </row>
    <row r="710" spans="1:23" x14ac:dyDescent="0.25">
      <c r="A710" t="s">
        <v>13</v>
      </c>
      <c r="B710" s="7">
        <v>19.071027000000001</v>
      </c>
      <c r="C710" s="4">
        <v>1.7568649999999999</v>
      </c>
      <c r="D710" s="7">
        <v>49.699672</v>
      </c>
      <c r="E710">
        <v>0</v>
      </c>
      <c r="F710">
        <v>1</v>
      </c>
      <c r="G710" s="2">
        <v>1.6942699999999999</v>
      </c>
      <c r="H710" s="2">
        <v>3.2666439999999999</v>
      </c>
      <c r="I710">
        <v>1</v>
      </c>
      <c r="J710">
        <v>0</v>
      </c>
      <c r="K710" s="2">
        <v>1.0954170000000001</v>
      </c>
      <c r="L710">
        <v>0</v>
      </c>
      <c r="M710" s="7">
        <v>2</v>
      </c>
      <c r="N710" s="7">
        <v>1</v>
      </c>
      <c r="O710">
        <v>1</v>
      </c>
      <c r="P710" t="s">
        <v>14</v>
      </c>
      <c r="Q710">
        <v>0</v>
      </c>
      <c r="R710" s="8">
        <f>(Tabela2[[#This Row],[FAF_atividade_fisica_frequente_em_horas]]+ 0.1)</f>
        <v>2.1</v>
      </c>
      <c r="S710" s="1">
        <f>(Tabela2[[#This Row],[TUE_tempo_uso_aparelhos_em_horas]]/Tabela2[[#This Row],[FAF_Var]])</f>
        <v>0.47619047619047616</v>
      </c>
      <c r="T710">
        <f>(Tabela2[[#This Row],[CAEC_lanche_entre_refeicoes]]*Tabela2[[#This Row],[FAVC_consumo_frequente_de_alimentos_mt_caloricos]])</f>
        <v>1</v>
      </c>
      <c r="U710" s="1">
        <f>IF(OR(Tabela2[[#This Row],[MTRANS]]="Walking",Tabela2[[#This Row],[MTRANS]]="Bike"),Tabela2[[#This Row],[FAF_atividade_fisica_frequente_em_horas]]+1,M710)</f>
        <v>2</v>
      </c>
      <c r="V710">
        <f>(Tabela2[[#This Row],[SMOKE]]+Tabela2[[#This Row],[CALC_bebe_alcool_frequentemente]])</f>
        <v>1</v>
      </c>
      <c r="W710" s="8">
        <f>(Tabela2[[#This Row],[Weight]]/(Tabela2[[#This Row],[Height]] ^2))</f>
        <v>16.101885742701402</v>
      </c>
    </row>
    <row r="711" spans="1:23" x14ac:dyDescent="0.25">
      <c r="A711" t="s">
        <v>13</v>
      </c>
      <c r="B711" s="7">
        <v>18.019572</v>
      </c>
      <c r="C711" s="4">
        <v>1.7013780000000001</v>
      </c>
      <c r="D711" s="7">
        <v>50.088467999999999</v>
      </c>
      <c r="E711">
        <v>0</v>
      </c>
      <c r="F711">
        <v>1</v>
      </c>
      <c r="G711" s="2">
        <v>1.6012360000000001</v>
      </c>
      <c r="H711" s="2">
        <v>3.4339080000000002</v>
      </c>
      <c r="I711">
        <v>1</v>
      </c>
      <c r="J711">
        <v>0</v>
      </c>
      <c r="K711" s="2">
        <v>1.0550189999999999</v>
      </c>
      <c r="L711">
        <v>0</v>
      </c>
      <c r="M711" s="7">
        <v>0.81926900000000002</v>
      </c>
      <c r="N711" s="7">
        <v>1.030848</v>
      </c>
      <c r="O711">
        <v>1</v>
      </c>
      <c r="P711" t="s">
        <v>14</v>
      </c>
      <c r="Q711">
        <v>0</v>
      </c>
      <c r="R711" s="8">
        <f>(Tabela2[[#This Row],[FAF_atividade_fisica_frequente_em_horas]]+ 0.1)</f>
        <v>0.919269</v>
      </c>
      <c r="S711" s="1">
        <f>(Tabela2[[#This Row],[TUE_tempo_uso_aparelhos_em_horas]]/Tabela2[[#This Row],[FAF_Var]])</f>
        <v>1.1213779644478383</v>
      </c>
      <c r="T711">
        <f>(Tabela2[[#This Row],[CAEC_lanche_entre_refeicoes]]*Tabela2[[#This Row],[FAVC_consumo_frequente_de_alimentos_mt_caloricos]])</f>
        <v>1</v>
      </c>
      <c r="U711" s="1">
        <f>IF(OR(Tabela2[[#This Row],[MTRANS]]="Walking",Tabela2[[#This Row],[MTRANS]]="Bike"),Tabela2[[#This Row],[FAF_atividade_fisica_frequente_em_horas]]+1,M711)</f>
        <v>0.81926900000000002</v>
      </c>
      <c r="V711">
        <f>(Tabela2[[#This Row],[SMOKE]]+Tabela2[[#This Row],[CALC_bebe_alcool_frequentemente]])</f>
        <v>1</v>
      </c>
      <c r="W711" s="8">
        <f>(Tabela2[[#This Row],[Weight]]/(Tabela2[[#This Row],[Height]] ^2))</f>
        <v>17.303586290660153</v>
      </c>
    </row>
    <row r="712" spans="1:23" x14ac:dyDescent="0.25">
      <c r="A712" t="s">
        <v>13</v>
      </c>
      <c r="B712" s="7">
        <v>19.735968</v>
      </c>
      <c r="C712" s="4">
        <v>1.699956</v>
      </c>
      <c r="D712" s="7">
        <v>49.982970000000002</v>
      </c>
      <c r="E712">
        <v>0</v>
      </c>
      <c r="F712">
        <v>1</v>
      </c>
      <c r="G712" s="2">
        <v>1.204855</v>
      </c>
      <c r="H712" s="2">
        <v>3.5310380000000001</v>
      </c>
      <c r="I712">
        <v>1</v>
      </c>
      <c r="J712">
        <v>0</v>
      </c>
      <c r="K712" s="2">
        <v>1.1346579999999999</v>
      </c>
      <c r="L712">
        <v>0</v>
      </c>
      <c r="M712" s="7">
        <v>2</v>
      </c>
      <c r="N712" s="7">
        <v>1</v>
      </c>
      <c r="O712">
        <v>1</v>
      </c>
      <c r="P712" t="s">
        <v>14</v>
      </c>
      <c r="Q712">
        <v>0</v>
      </c>
      <c r="R712" s="8">
        <f>(Tabela2[[#This Row],[FAF_atividade_fisica_frequente_em_horas]]+ 0.1)</f>
        <v>2.1</v>
      </c>
      <c r="S712" s="1">
        <f>(Tabela2[[#This Row],[TUE_tempo_uso_aparelhos_em_horas]]/Tabela2[[#This Row],[FAF_Var]])</f>
        <v>0.47619047619047616</v>
      </c>
      <c r="T712">
        <f>(Tabela2[[#This Row],[CAEC_lanche_entre_refeicoes]]*Tabela2[[#This Row],[FAVC_consumo_frequente_de_alimentos_mt_caloricos]])</f>
        <v>1</v>
      </c>
      <c r="U712" s="1">
        <f>IF(OR(Tabela2[[#This Row],[MTRANS]]="Walking",Tabela2[[#This Row],[MTRANS]]="Bike"),Tabela2[[#This Row],[FAF_atividade_fisica_frequente_em_horas]]+1,M712)</f>
        <v>2</v>
      </c>
      <c r="V712">
        <f>(Tabela2[[#This Row],[SMOKE]]+Tabela2[[#This Row],[CALC_bebe_alcool_frequentemente]])</f>
        <v>1</v>
      </c>
      <c r="W712" s="8">
        <f>(Tabela2[[#This Row],[Weight]]/(Tabela2[[#This Row],[Height]] ^2))</f>
        <v>17.296040641589912</v>
      </c>
    </row>
    <row r="713" spans="1:23" x14ac:dyDescent="0.25">
      <c r="A713" t="s">
        <v>13</v>
      </c>
      <c r="B713" s="7">
        <v>18.094079000000001</v>
      </c>
      <c r="C713" s="4">
        <v>1.723328</v>
      </c>
      <c r="D713" s="7">
        <v>50</v>
      </c>
      <c r="E713">
        <v>0</v>
      </c>
      <c r="F713">
        <v>1</v>
      </c>
      <c r="G713" s="2">
        <v>1.0526990000000001</v>
      </c>
      <c r="H713" s="2">
        <v>3.998618</v>
      </c>
      <c r="I713">
        <v>2</v>
      </c>
      <c r="J713">
        <v>0</v>
      </c>
      <c r="K713" s="2">
        <v>1</v>
      </c>
      <c r="L713">
        <v>0</v>
      </c>
      <c r="M713" s="7">
        <v>2</v>
      </c>
      <c r="N713" s="7">
        <v>1</v>
      </c>
      <c r="O713">
        <v>1</v>
      </c>
      <c r="P713" t="s">
        <v>14</v>
      </c>
      <c r="Q713">
        <v>0</v>
      </c>
      <c r="R713" s="8">
        <f>(Tabela2[[#This Row],[FAF_atividade_fisica_frequente_em_horas]]+ 0.1)</f>
        <v>2.1</v>
      </c>
      <c r="S713" s="1">
        <f>(Tabela2[[#This Row],[TUE_tempo_uso_aparelhos_em_horas]]/Tabela2[[#This Row],[FAF_Var]])</f>
        <v>0.47619047619047616</v>
      </c>
      <c r="T713">
        <f>(Tabela2[[#This Row],[CAEC_lanche_entre_refeicoes]]*Tabela2[[#This Row],[FAVC_consumo_frequente_de_alimentos_mt_caloricos]])</f>
        <v>2</v>
      </c>
      <c r="U713" s="1">
        <f>IF(OR(Tabela2[[#This Row],[MTRANS]]="Walking",Tabela2[[#This Row],[MTRANS]]="Bike"),Tabela2[[#This Row],[FAF_atividade_fisica_frequente_em_horas]]+1,M713)</f>
        <v>2</v>
      </c>
      <c r="V713">
        <f>(Tabela2[[#This Row],[SMOKE]]+Tabela2[[#This Row],[CALC_bebe_alcool_frequentemente]])</f>
        <v>1</v>
      </c>
      <c r="W713" s="8">
        <f>(Tabela2[[#This Row],[Weight]]/(Tabela2[[#This Row],[Height]] ^2))</f>
        <v>16.835813868611744</v>
      </c>
    </row>
    <row r="714" spans="1:23" x14ac:dyDescent="0.25">
      <c r="A714" t="s">
        <v>13</v>
      </c>
      <c r="B714" s="7">
        <v>19.054938</v>
      </c>
      <c r="C714" s="4">
        <v>1.5858859999999999</v>
      </c>
      <c r="D714" s="7">
        <v>42.541794000000003</v>
      </c>
      <c r="E714">
        <v>0</v>
      </c>
      <c r="F714">
        <v>0</v>
      </c>
      <c r="G714" s="2">
        <v>2.910345</v>
      </c>
      <c r="H714" s="2">
        <v>3</v>
      </c>
      <c r="I714">
        <v>2</v>
      </c>
      <c r="J714">
        <v>0</v>
      </c>
      <c r="K714" s="2">
        <v>1</v>
      </c>
      <c r="L714">
        <v>1</v>
      </c>
      <c r="M714" s="7">
        <v>1.4610050000000001</v>
      </c>
      <c r="N714" s="7">
        <v>0</v>
      </c>
      <c r="O714">
        <v>1</v>
      </c>
      <c r="P714" t="s">
        <v>14</v>
      </c>
      <c r="Q714">
        <v>0</v>
      </c>
      <c r="R714" s="8">
        <f>(Tabela2[[#This Row],[FAF_atividade_fisica_frequente_em_horas]]+ 0.1)</f>
        <v>1.5610050000000002</v>
      </c>
      <c r="S714" s="1">
        <f>(Tabela2[[#This Row],[TUE_tempo_uso_aparelhos_em_horas]]/Tabela2[[#This Row],[FAF_Var]])</f>
        <v>0</v>
      </c>
      <c r="T714">
        <f>(Tabela2[[#This Row],[CAEC_lanche_entre_refeicoes]]*Tabela2[[#This Row],[FAVC_consumo_frequente_de_alimentos_mt_caloricos]])</f>
        <v>0</v>
      </c>
      <c r="U714" s="1">
        <f>IF(OR(Tabela2[[#This Row],[MTRANS]]="Walking",Tabela2[[#This Row],[MTRANS]]="Bike"),Tabela2[[#This Row],[FAF_atividade_fisica_frequente_em_horas]]+1,M714)</f>
        <v>1.4610050000000001</v>
      </c>
      <c r="V714">
        <f>(Tabela2[[#This Row],[SMOKE]]+Tabela2[[#This Row],[CALC_bebe_alcool_frequentemente]])</f>
        <v>1</v>
      </c>
      <c r="W714" s="8">
        <f>(Tabela2[[#This Row],[Weight]]/(Tabela2[[#This Row],[Height]] ^2))</f>
        <v>16.914994846787263</v>
      </c>
    </row>
    <row r="715" spans="1:23" x14ac:dyDescent="0.25">
      <c r="A715" t="s">
        <v>13</v>
      </c>
      <c r="B715" s="7">
        <v>20.850118999999999</v>
      </c>
      <c r="C715" s="4">
        <v>1.524926</v>
      </c>
      <c r="D715" s="7">
        <v>42</v>
      </c>
      <c r="E715">
        <v>0</v>
      </c>
      <c r="F715">
        <v>1</v>
      </c>
      <c r="G715" s="2">
        <v>2.8663829999999999</v>
      </c>
      <c r="H715" s="2">
        <v>1.226342</v>
      </c>
      <c r="I715">
        <v>2</v>
      </c>
      <c r="J715">
        <v>0</v>
      </c>
      <c r="K715" s="2">
        <v>1</v>
      </c>
      <c r="L715">
        <v>0</v>
      </c>
      <c r="M715" s="7">
        <v>0.14495</v>
      </c>
      <c r="N715" s="7">
        <v>0</v>
      </c>
      <c r="O715">
        <v>1</v>
      </c>
      <c r="P715" t="s">
        <v>14</v>
      </c>
      <c r="Q715">
        <v>0</v>
      </c>
      <c r="R715" s="8">
        <f>(Tabela2[[#This Row],[FAF_atividade_fisica_frequente_em_horas]]+ 0.1)</f>
        <v>0.24495</v>
      </c>
      <c r="S715" s="1">
        <f>(Tabela2[[#This Row],[TUE_tempo_uso_aparelhos_em_horas]]/Tabela2[[#This Row],[FAF_Var]])</f>
        <v>0</v>
      </c>
      <c r="T715">
        <f>(Tabela2[[#This Row],[CAEC_lanche_entre_refeicoes]]*Tabela2[[#This Row],[FAVC_consumo_frequente_de_alimentos_mt_caloricos]])</f>
        <v>2</v>
      </c>
      <c r="U715" s="1">
        <f>IF(OR(Tabela2[[#This Row],[MTRANS]]="Walking",Tabela2[[#This Row],[MTRANS]]="Bike"),Tabela2[[#This Row],[FAF_atividade_fisica_frequente_em_horas]]+1,M715)</f>
        <v>0.14495</v>
      </c>
      <c r="V715">
        <f>(Tabela2[[#This Row],[SMOKE]]+Tabela2[[#This Row],[CALC_bebe_alcool_frequentemente]])</f>
        <v>1</v>
      </c>
      <c r="W715" s="8">
        <f>(Tabela2[[#This Row],[Weight]]/(Tabela2[[#This Row],[Height]] ^2))</f>
        <v>18.061414184263192</v>
      </c>
    </row>
    <row r="716" spans="1:23" x14ac:dyDescent="0.25">
      <c r="A716" t="s">
        <v>13</v>
      </c>
      <c r="B716" s="7">
        <v>19.349257999999999</v>
      </c>
      <c r="C716" s="4">
        <v>1.5233699999999999</v>
      </c>
      <c r="D716" s="7">
        <v>42</v>
      </c>
      <c r="E716">
        <v>0</v>
      </c>
      <c r="F716">
        <v>1</v>
      </c>
      <c r="G716" s="2">
        <v>2.9134859999999998</v>
      </c>
      <c r="H716" s="2">
        <v>1.0607960000000001</v>
      </c>
      <c r="I716">
        <v>2</v>
      </c>
      <c r="J716">
        <v>0</v>
      </c>
      <c r="K716" s="2">
        <v>1.596212</v>
      </c>
      <c r="L716">
        <v>0</v>
      </c>
      <c r="M716" s="7">
        <v>0.108948</v>
      </c>
      <c r="N716" s="7">
        <v>0.77308699999999997</v>
      </c>
      <c r="O716">
        <v>1</v>
      </c>
      <c r="P716" t="s">
        <v>14</v>
      </c>
      <c r="Q716">
        <v>0</v>
      </c>
      <c r="R716" s="8">
        <f>(Tabela2[[#This Row],[FAF_atividade_fisica_frequente_em_horas]]+ 0.1)</f>
        <v>0.20894800000000002</v>
      </c>
      <c r="S716" s="1">
        <f>(Tabela2[[#This Row],[TUE_tempo_uso_aparelhos_em_horas]]/Tabela2[[#This Row],[FAF_Var]])</f>
        <v>3.6999014108773469</v>
      </c>
      <c r="T716">
        <f>(Tabela2[[#This Row],[CAEC_lanche_entre_refeicoes]]*Tabela2[[#This Row],[FAVC_consumo_frequente_de_alimentos_mt_caloricos]])</f>
        <v>2</v>
      </c>
      <c r="U716" s="1">
        <f>IF(OR(Tabela2[[#This Row],[MTRANS]]="Walking",Tabela2[[#This Row],[MTRANS]]="Bike"),Tabela2[[#This Row],[FAF_atividade_fisica_frequente_em_horas]]+1,M716)</f>
        <v>0.108948</v>
      </c>
      <c r="V716">
        <f>(Tabela2[[#This Row],[SMOKE]]+Tabela2[[#This Row],[CALC_bebe_alcool_frequentemente]])</f>
        <v>1</v>
      </c>
      <c r="W716" s="8">
        <f>(Tabela2[[#This Row],[Weight]]/(Tabela2[[#This Row],[Height]] ^2))</f>
        <v>18.098329593171972</v>
      </c>
    </row>
    <row r="717" spans="1:23" x14ac:dyDescent="0.25">
      <c r="A717" t="s">
        <v>15</v>
      </c>
      <c r="B717" s="7">
        <v>17</v>
      </c>
      <c r="C717" s="4">
        <v>1.844749</v>
      </c>
      <c r="D717" s="7">
        <v>59.313524999999998</v>
      </c>
      <c r="E717">
        <v>1</v>
      </c>
      <c r="F717">
        <v>1</v>
      </c>
      <c r="G717" s="2">
        <v>2.4328859999999999</v>
      </c>
      <c r="H717" s="2">
        <v>3</v>
      </c>
      <c r="I717">
        <v>1</v>
      </c>
      <c r="J717">
        <v>0</v>
      </c>
      <c r="K717" s="2">
        <v>2</v>
      </c>
      <c r="L717">
        <v>0</v>
      </c>
      <c r="M717" s="7">
        <v>2.6979489999999999</v>
      </c>
      <c r="N717" s="7">
        <v>1</v>
      </c>
      <c r="O717">
        <v>0</v>
      </c>
      <c r="P717" t="s">
        <v>17</v>
      </c>
      <c r="Q717">
        <v>0</v>
      </c>
      <c r="R717" s="8">
        <f>(Tabela2[[#This Row],[FAF_atividade_fisica_frequente_em_horas]]+ 0.1)</f>
        <v>2.797949</v>
      </c>
      <c r="S717" s="1">
        <f>(Tabela2[[#This Row],[TUE_tempo_uso_aparelhos_em_horas]]/Tabela2[[#This Row],[FAF_Var]])</f>
        <v>0.35740465605341626</v>
      </c>
      <c r="T717">
        <f>(Tabela2[[#This Row],[CAEC_lanche_entre_refeicoes]]*Tabela2[[#This Row],[FAVC_consumo_frequente_de_alimentos_mt_caloricos]])</f>
        <v>1</v>
      </c>
      <c r="U717" s="1">
        <f>IF(OR(Tabela2[[#This Row],[MTRANS]]="Walking",Tabela2[[#This Row],[MTRANS]]="Bike"),Tabela2[[#This Row],[FAF_atividade_fisica_frequente_em_horas]]+1,M717)</f>
        <v>2.6979489999999999</v>
      </c>
      <c r="V717">
        <f>(Tabela2[[#This Row],[SMOKE]]+Tabela2[[#This Row],[CALC_bebe_alcool_frequentemente]])</f>
        <v>0</v>
      </c>
      <c r="W717" s="8">
        <f>(Tabela2[[#This Row],[Weight]]/(Tabela2[[#This Row],[Height]] ^2))</f>
        <v>17.429268796911199</v>
      </c>
    </row>
    <row r="718" spans="1:23" x14ac:dyDescent="0.25">
      <c r="A718" t="s">
        <v>15</v>
      </c>
      <c r="B718" s="7">
        <v>17.203917000000001</v>
      </c>
      <c r="C718" s="4">
        <v>1.8533249999999999</v>
      </c>
      <c r="D718" s="7">
        <v>59.619484999999997</v>
      </c>
      <c r="E718">
        <v>1</v>
      </c>
      <c r="F718">
        <v>1</v>
      </c>
      <c r="G718" s="2">
        <v>2.8837449999999998</v>
      </c>
      <c r="H718" s="2">
        <v>3.595761</v>
      </c>
      <c r="I718">
        <v>1</v>
      </c>
      <c r="J718">
        <v>0</v>
      </c>
      <c r="K718" s="2">
        <v>2</v>
      </c>
      <c r="L718">
        <v>0</v>
      </c>
      <c r="M718" s="7">
        <v>2.0776530000000002</v>
      </c>
      <c r="N718" s="7">
        <v>0.71470100000000003</v>
      </c>
      <c r="O718">
        <v>0</v>
      </c>
      <c r="P718" t="s">
        <v>17</v>
      </c>
      <c r="Q718">
        <v>0</v>
      </c>
      <c r="R718" s="8">
        <f>(Tabela2[[#This Row],[FAF_atividade_fisica_frequente_em_horas]]+ 0.1)</f>
        <v>2.1776530000000003</v>
      </c>
      <c r="S718" s="1">
        <f>(Tabela2[[#This Row],[TUE_tempo_uso_aparelhos_em_horas]]/Tabela2[[#This Row],[FAF_Var]])</f>
        <v>0.32819783500860789</v>
      </c>
      <c r="T718">
        <f>(Tabela2[[#This Row],[CAEC_lanche_entre_refeicoes]]*Tabela2[[#This Row],[FAVC_consumo_frequente_de_alimentos_mt_caloricos]])</f>
        <v>1</v>
      </c>
      <c r="U718" s="1">
        <f>IF(OR(Tabela2[[#This Row],[MTRANS]]="Walking",Tabela2[[#This Row],[MTRANS]]="Bike"),Tabela2[[#This Row],[FAF_atividade_fisica_frequente_em_horas]]+1,M718)</f>
        <v>2.0776530000000002</v>
      </c>
      <c r="V718">
        <f>(Tabela2[[#This Row],[SMOKE]]+Tabela2[[#This Row],[CALC_bebe_alcool_frequentemente]])</f>
        <v>0</v>
      </c>
      <c r="W718" s="8">
        <f>(Tabela2[[#This Row],[Weight]]/(Tabela2[[#This Row],[Height]] ^2))</f>
        <v>17.357415194302046</v>
      </c>
    </row>
    <row r="719" spans="1:23" x14ac:dyDescent="0.25">
      <c r="A719" t="s">
        <v>15</v>
      </c>
      <c r="B719" s="7">
        <v>17.671064000000001</v>
      </c>
      <c r="C719" s="4">
        <v>1.854706</v>
      </c>
      <c r="D719" s="7">
        <v>59.209449999999997</v>
      </c>
      <c r="E719">
        <v>1</v>
      </c>
      <c r="F719">
        <v>1</v>
      </c>
      <c r="G719" s="2">
        <v>2.7076660000000001</v>
      </c>
      <c r="H719" s="2">
        <v>3.737914</v>
      </c>
      <c r="I719">
        <v>1</v>
      </c>
      <c r="J719">
        <v>0</v>
      </c>
      <c r="K719" s="2">
        <v>2.0265469999999999</v>
      </c>
      <c r="L719">
        <v>0</v>
      </c>
      <c r="M719" s="7">
        <v>2.0093969999999999</v>
      </c>
      <c r="N719" s="7">
        <v>0.61397100000000004</v>
      </c>
      <c r="O719">
        <v>0</v>
      </c>
      <c r="P719" t="s">
        <v>17</v>
      </c>
      <c r="Q719">
        <v>0</v>
      </c>
      <c r="R719" s="8">
        <f>(Tabela2[[#This Row],[FAF_atividade_fisica_frequente_em_horas]]+ 0.1)</f>
        <v>2.109397</v>
      </c>
      <c r="S719" s="1">
        <f>(Tabela2[[#This Row],[TUE_tempo_uso_aparelhos_em_horas]]/Tabela2[[#This Row],[FAF_Var]])</f>
        <v>0.29106469763633874</v>
      </c>
      <c r="T719">
        <f>(Tabela2[[#This Row],[CAEC_lanche_entre_refeicoes]]*Tabela2[[#This Row],[FAVC_consumo_frequente_de_alimentos_mt_caloricos]])</f>
        <v>1</v>
      </c>
      <c r="U719" s="1">
        <f>IF(OR(Tabela2[[#This Row],[MTRANS]]="Walking",Tabela2[[#This Row],[MTRANS]]="Bike"),Tabela2[[#This Row],[FAF_atividade_fisica_frequente_em_horas]]+1,M719)</f>
        <v>2.0093969999999999</v>
      </c>
      <c r="V719">
        <f>(Tabela2[[#This Row],[SMOKE]]+Tabela2[[#This Row],[CALC_bebe_alcool_frequentemente]])</f>
        <v>0</v>
      </c>
      <c r="W719" s="8">
        <f>(Tabela2[[#This Row],[Weight]]/(Tabela2[[#This Row],[Height]] ^2))</f>
        <v>17.212377922661492</v>
      </c>
    </row>
    <row r="720" spans="1:23" x14ac:dyDescent="0.25">
      <c r="A720" t="s">
        <v>13</v>
      </c>
      <c r="B720" s="7">
        <v>21.310907</v>
      </c>
      <c r="C720" s="4">
        <v>1.7206399999999999</v>
      </c>
      <c r="D720" s="7">
        <v>50</v>
      </c>
      <c r="E720">
        <v>1</v>
      </c>
      <c r="F720">
        <v>1</v>
      </c>
      <c r="G720" s="2">
        <v>2.919584</v>
      </c>
      <c r="H720" s="2">
        <v>3.6978309999999999</v>
      </c>
      <c r="I720">
        <v>2</v>
      </c>
      <c r="J720">
        <v>0</v>
      </c>
      <c r="K720" s="2">
        <v>1.1471210000000001</v>
      </c>
      <c r="L720">
        <v>0</v>
      </c>
      <c r="M720" s="7">
        <v>0.993058</v>
      </c>
      <c r="N720" s="7">
        <v>8.9219999999999994E-2</v>
      </c>
      <c r="O720">
        <v>0</v>
      </c>
      <c r="P720" t="s">
        <v>14</v>
      </c>
      <c r="Q720">
        <v>0</v>
      </c>
      <c r="R720" s="8">
        <f>(Tabela2[[#This Row],[FAF_atividade_fisica_frequente_em_horas]]+ 0.1)</f>
        <v>1.0930580000000001</v>
      </c>
      <c r="S720" s="1">
        <f>(Tabela2[[#This Row],[TUE_tempo_uso_aparelhos_em_horas]]/Tabela2[[#This Row],[FAF_Var]])</f>
        <v>8.1624213902647416E-2</v>
      </c>
      <c r="T720">
        <f>(Tabela2[[#This Row],[CAEC_lanche_entre_refeicoes]]*Tabela2[[#This Row],[FAVC_consumo_frequente_de_alimentos_mt_caloricos]])</f>
        <v>2</v>
      </c>
      <c r="U720" s="1">
        <f>IF(OR(Tabela2[[#This Row],[MTRANS]]="Walking",Tabela2[[#This Row],[MTRANS]]="Bike"),Tabela2[[#This Row],[FAF_atividade_fisica_frequente_em_horas]]+1,M720)</f>
        <v>0.993058</v>
      </c>
      <c r="V720">
        <f>(Tabela2[[#This Row],[SMOKE]]+Tabela2[[#This Row],[CALC_bebe_alcool_frequentemente]])</f>
        <v>0</v>
      </c>
      <c r="W720" s="8">
        <f>(Tabela2[[#This Row],[Weight]]/(Tabela2[[#This Row],[Height]] ^2))</f>
        <v>16.888457090102222</v>
      </c>
    </row>
    <row r="721" spans="1:23" x14ac:dyDescent="0.25">
      <c r="A721" t="s">
        <v>13</v>
      </c>
      <c r="B721" s="7">
        <v>21.708354</v>
      </c>
      <c r="C721" s="4">
        <v>1.704167</v>
      </c>
      <c r="D721" s="7">
        <v>50.165754</v>
      </c>
      <c r="E721">
        <v>1</v>
      </c>
      <c r="F721">
        <v>1</v>
      </c>
      <c r="G721" s="2">
        <v>2.9692050000000001</v>
      </c>
      <c r="H721" s="2">
        <v>3.2104300000000001</v>
      </c>
      <c r="I721">
        <v>2</v>
      </c>
      <c r="J721">
        <v>0</v>
      </c>
      <c r="K721" s="2">
        <v>2.765876</v>
      </c>
      <c r="L721">
        <v>0</v>
      </c>
      <c r="M721" s="7">
        <v>0.61103700000000005</v>
      </c>
      <c r="N721" s="7">
        <v>1.300692</v>
      </c>
      <c r="O721">
        <v>0</v>
      </c>
      <c r="P721" t="s">
        <v>14</v>
      </c>
      <c r="Q721">
        <v>0</v>
      </c>
      <c r="R721" s="8">
        <f>(Tabela2[[#This Row],[FAF_atividade_fisica_frequente_em_horas]]+ 0.1)</f>
        <v>0.71103700000000003</v>
      </c>
      <c r="S721" s="1">
        <f>(Tabela2[[#This Row],[TUE_tempo_uso_aparelhos_em_horas]]/Tabela2[[#This Row],[FAF_Var]])</f>
        <v>1.8292887711891221</v>
      </c>
      <c r="T721">
        <f>(Tabela2[[#This Row],[CAEC_lanche_entre_refeicoes]]*Tabela2[[#This Row],[FAVC_consumo_frequente_de_alimentos_mt_caloricos]])</f>
        <v>2</v>
      </c>
      <c r="U721" s="1">
        <f>IF(OR(Tabela2[[#This Row],[MTRANS]]="Walking",Tabela2[[#This Row],[MTRANS]]="Bike"),Tabela2[[#This Row],[FAF_atividade_fisica_frequente_em_horas]]+1,M721)</f>
        <v>0.61103700000000005</v>
      </c>
      <c r="V721">
        <f>(Tabela2[[#This Row],[SMOKE]]+Tabela2[[#This Row],[CALC_bebe_alcool_frequentemente]])</f>
        <v>0</v>
      </c>
      <c r="W721" s="8">
        <f>(Tabela2[[#This Row],[Weight]]/(Tabela2[[#This Row],[Height]] ^2))</f>
        <v>17.273607283642665</v>
      </c>
    </row>
    <row r="722" spans="1:23" x14ac:dyDescent="0.25">
      <c r="A722" t="s">
        <v>13</v>
      </c>
      <c r="B722" s="7">
        <v>22.176922000000001</v>
      </c>
      <c r="C722" s="4">
        <v>1.71746</v>
      </c>
      <c r="D722" s="7">
        <v>51.491956999999999</v>
      </c>
      <c r="E722">
        <v>1</v>
      </c>
      <c r="F722">
        <v>1</v>
      </c>
      <c r="G722" s="2">
        <v>2.486189</v>
      </c>
      <c r="H722" s="2">
        <v>3</v>
      </c>
      <c r="I722">
        <v>2</v>
      </c>
      <c r="J722">
        <v>0</v>
      </c>
      <c r="K722" s="2">
        <v>1.064378</v>
      </c>
      <c r="L722">
        <v>0</v>
      </c>
      <c r="M722" s="7">
        <v>2.2060550000000001</v>
      </c>
      <c r="N722" s="7">
        <v>1.958089</v>
      </c>
      <c r="O722">
        <v>0</v>
      </c>
      <c r="P722" t="s">
        <v>14</v>
      </c>
      <c r="Q722">
        <v>0</v>
      </c>
      <c r="R722" s="8">
        <f>(Tabela2[[#This Row],[FAF_atividade_fisica_frequente_em_horas]]+ 0.1)</f>
        <v>2.3060550000000002</v>
      </c>
      <c r="S722" s="1">
        <f>(Tabela2[[#This Row],[TUE_tempo_uso_aparelhos_em_horas]]/Tabela2[[#This Row],[FAF_Var]])</f>
        <v>0.84910767522890818</v>
      </c>
      <c r="T722">
        <f>(Tabela2[[#This Row],[CAEC_lanche_entre_refeicoes]]*Tabela2[[#This Row],[FAVC_consumo_frequente_de_alimentos_mt_caloricos]])</f>
        <v>2</v>
      </c>
      <c r="U722" s="1">
        <f>IF(OR(Tabela2[[#This Row],[MTRANS]]="Walking",Tabela2[[#This Row],[MTRANS]]="Bike"),Tabela2[[#This Row],[FAF_atividade_fisica_frequente_em_horas]]+1,M722)</f>
        <v>2.2060550000000001</v>
      </c>
      <c r="V722">
        <f>(Tabela2[[#This Row],[SMOKE]]+Tabela2[[#This Row],[CALC_bebe_alcool_frequentemente]])</f>
        <v>0</v>
      </c>
      <c r="W722" s="8">
        <f>(Tabela2[[#This Row],[Weight]]/(Tabela2[[#This Row],[Height]] ^2))</f>
        <v>17.456860275033595</v>
      </c>
    </row>
    <row r="723" spans="1:23" x14ac:dyDescent="0.25">
      <c r="A723" t="s">
        <v>13</v>
      </c>
      <c r="B723" s="7">
        <v>17.823437999999999</v>
      </c>
      <c r="C723" s="4">
        <v>1.7084060000000001</v>
      </c>
      <c r="D723" s="7">
        <v>50</v>
      </c>
      <c r="E723">
        <v>0</v>
      </c>
      <c r="F723">
        <v>1</v>
      </c>
      <c r="G723" s="2">
        <v>1.6422410000000001</v>
      </c>
      <c r="H723" s="2">
        <v>3.4525899999999998</v>
      </c>
      <c r="I723">
        <v>1</v>
      </c>
      <c r="J723">
        <v>0</v>
      </c>
      <c r="K723" s="2">
        <v>1.0992310000000001</v>
      </c>
      <c r="L723">
        <v>0</v>
      </c>
      <c r="M723" s="7">
        <v>0.418875</v>
      </c>
      <c r="N723" s="7">
        <v>1</v>
      </c>
      <c r="O723">
        <v>1</v>
      </c>
      <c r="P723" t="s">
        <v>14</v>
      </c>
      <c r="Q723">
        <v>0</v>
      </c>
      <c r="R723" s="8">
        <f>(Tabela2[[#This Row],[FAF_atividade_fisica_frequente_em_horas]]+ 0.1)</f>
        <v>0.51887499999999998</v>
      </c>
      <c r="S723" s="1">
        <f>(Tabela2[[#This Row],[TUE_tempo_uso_aparelhos_em_horas]]/Tabela2[[#This Row],[FAF_Var]])</f>
        <v>1.9272464466393642</v>
      </c>
      <c r="T723">
        <f>(Tabela2[[#This Row],[CAEC_lanche_entre_refeicoes]]*Tabela2[[#This Row],[FAVC_consumo_frequente_de_alimentos_mt_caloricos]])</f>
        <v>1</v>
      </c>
      <c r="U723" s="1">
        <f>IF(OR(Tabela2[[#This Row],[MTRANS]]="Walking",Tabela2[[#This Row],[MTRANS]]="Bike"),Tabela2[[#This Row],[FAF_atividade_fisica_frequente_em_horas]]+1,M723)</f>
        <v>0.418875</v>
      </c>
      <c r="V723">
        <f>(Tabela2[[#This Row],[SMOKE]]+Tabela2[[#This Row],[CALC_bebe_alcool_frequentemente]])</f>
        <v>1</v>
      </c>
      <c r="W723" s="8">
        <f>(Tabela2[[#This Row],[Weight]]/(Tabela2[[#This Row],[Height]] ^2))</f>
        <v>17.13120169482621</v>
      </c>
    </row>
    <row r="724" spans="1:23" x14ac:dyDescent="0.25">
      <c r="A724" t="s">
        <v>13</v>
      </c>
      <c r="B724" s="7">
        <v>18</v>
      </c>
      <c r="C724" s="4">
        <v>1.7634650000000001</v>
      </c>
      <c r="D724" s="7">
        <v>50.279052999999998</v>
      </c>
      <c r="E724">
        <v>0</v>
      </c>
      <c r="F724">
        <v>1</v>
      </c>
      <c r="G724" s="2">
        <v>1.5671010000000001</v>
      </c>
      <c r="H724" s="2">
        <v>3</v>
      </c>
      <c r="I724">
        <v>1</v>
      </c>
      <c r="J724">
        <v>0</v>
      </c>
      <c r="K724" s="2">
        <v>1.9941390000000001</v>
      </c>
      <c r="L724">
        <v>0</v>
      </c>
      <c r="M724" s="7">
        <v>0.10798099999999999</v>
      </c>
      <c r="N724" s="7">
        <v>1</v>
      </c>
      <c r="O724">
        <v>1</v>
      </c>
      <c r="P724" t="s">
        <v>14</v>
      </c>
      <c r="Q724">
        <v>0</v>
      </c>
      <c r="R724" s="8">
        <f>(Tabela2[[#This Row],[FAF_atividade_fisica_frequente_em_horas]]+ 0.1)</f>
        <v>0.207981</v>
      </c>
      <c r="S724" s="1">
        <f>(Tabela2[[#This Row],[TUE_tempo_uso_aparelhos_em_horas]]/Tabela2[[#This Row],[FAF_Var]])</f>
        <v>4.8081315120131167</v>
      </c>
      <c r="T724">
        <f>(Tabela2[[#This Row],[CAEC_lanche_entre_refeicoes]]*Tabela2[[#This Row],[FAVC_consumo_frequente_de_alimentos_mt_caloricos]])</f>
        <v>1</v>
      </c>
      <c r="U724" s="1">
        <f>IF(OR(Tabela2[[#This Row],[MTRANS]]="Walking",Tabela2[[#This Row],[MTRANS]]="Bike"),Tabela2[[#This Row],[FAF_atividade_fisica_frequente_em_horas]]+1,M724)</f>
        <v>0.10798099999999999</v>
      </c>
      <c r="V724">
        <f>(Tabela2[[#This Row],[SMOKE]]+Tabela2[[#This Row],[CALC_bebe_alcool_frequentemente]])</f>
        <v>1</v>
      </c>
      <c r="W724" s="8">
        <f>(Tabela2[[#This Row],[Weight]]/(Tabela2[[#This Row],[Height]] ^2))</f>
        <v>16.167892025823217</v>
      </c>
    </row>
    <row r="725" spans="1:23" x14ac:dyDescent="0.25">
      <c r="A725" t="s">
        <v>13</v>
      </c>
      <c r="B725" s="7">
        <v>18.281092000000001</v>
      </c>
      <c r="C725" s="4">
        <v>1.7</v>
      </c>
      <c r="D725" s="7">
        <v>50</v>
      </c>
      <c r="E725">
        <v>0</v>
      </c>
      <c r="F725">
        <v>1</v>
      </c>
      <c r="G725" s="2">
        <v>1.0364139999999999</v>
      </c>
      <c r="H725" s="2">
        <v>3.205587</v>
      </c>
      <c r="I725">
        <v>1</v>
      </c>
      <c r="J725">
        <v>0</v>
      </c>
      <c r="K725" s="2">
        <v>1.745959</v>
      </c>
      <c r="L725">
        <v>0</v>
      </c>
      <c r="M725" s="7">
        <v>0.11597399999999999</v>
      </c>
      <c r="N725" s="7">
        <v>1</v>
      </c>
      <c r="O725">
        <v>1</v>
      </c>
      <c r="P725" t="s">
        <v>14</v>
      </c>
      <c r="Q725">
        <v>0</v>
      </c>
      <c r="R725" s="8">
        <f>(Tabela2[[#This Row],[FAF_atividade_fisica_frequente_em_horas]]+ 0.1)</f>
        <v>0.215974</v>
      </c>
      <c r="S725" s="1">
        <f>(Tabela2[[#This Row],[TUE_tempo_uso_aparelhos_em_horas]]/Tabela2[[#This Row],[FAF_Var]])</f>
        <v>4.6301869669497258</v>
      </c>
      <c r="T725">
        <f>(Tabela2[[#This Row],[CAEC_lanche_entre_refeicoes]]*Tabela2[[#This Row],[FAVC_consumo_frequente_de_alimentos_mt_caloricos]])</f>
        <v>1</v>
      </c>
      <c r="U725" s="1">
        <f>IF(OR(Tabela2[[#This Row],[MTRANS]]="Walking",Tabela2[[#This Row],[MTRANS]]="Bike"),Tabela2[[#This Row],[FAF_atividade_fisica_frequente_em_horas]]+1,M725)</f>
        <v>0.11597399999999999</v>
      </c>
      <c r="V725">
        <f>(Tabela2[[#This Row],[SMOKE]]+Tabela2[[#This Row],[CALC_bebe_alcool_frequentemente]])</f>
        <v>1</v>
      </c>
      <c r="W725" s="8">
        <f>(Tabela2[[#This Row],[Weight]]/(Tabela2[[#This Row],[Height]] ^2))</f>
        <v>17.301038062283737</v>
      </c>
    </row>
    <row r="726" spans="1:23" x14ac:dyDescent="0.25">
      <c r="A726" t="s">
        <v>13</v>
      </c>
      <c r="B726" s="7">
        <v>18.656911999999998</v>
      </c>
      <c r="C726" s="4">
        <v>1.574017</v>
      </c>
      <c r="D726" s="7">
        <v>41.220174999999998</v>
      </c>
      <c r="E726">
        <v>0</v>
      </c>
      <c r="F726">
        <v>1</v>
      </c>
      <c r="G726" s="2">
        <v>1.6499740000000001</v>
      </c>
      <c r="H726" s="2">
        <v>1.513835</v>
      </c>
      <c r="I726">
        <v>1</v>
      </c>
      <c r="J726">
        <v>0</v>
      </c>
      <c r="K726" s="2">
        <v>1.549974</v>
      </c>
      <c r="L726">
        <v>0</v>
      </c>
      <c r="M726" s="7">
        <v>0.227802</v>
      </c>
      <c r="N726" s="7">
        <v>1.972926</v>
      </c>
      <c r="O726">
        <v>1</v>
      </c>
      <c r="P726" t="s">
        <v>14</v>
      </c>
      <c r="Q726">
        <v>0</v>
      </c>
      <c r="R726" s="8">
        <f>(Tabela2[[#This Row],[FAF_atividade_fisica_frequente_em_horas]]+ 0.1)</f>
        <v>0.32780200000000004</v>
      </c>
      <c r="S726" s="1">
        <f>(Tabela2[[#This Row],[TUE_tempo_uso_aparelhos_em_horas]]/Tabela2[[#This Row],[FAF_Var]])</f>
        <v>6.0186515030414691</v>
      </c>
      <c r="T726">
        <f>(Tabela2[[#This Row],[CAEC_lanche_entre_refeicoes]]*Tabela2[[#This Row],[FAVC_consumo_frequente_de_alimentos_mt_caloricos]])</f>
        <v>1</v>
      </c>
      <c r="U726" s="1">
        <f>IF(OR(Tabela2[[#This Row],[MTRANS]]="Walking",Tabela2[[#This Row],[MTRANS]]="Bike"),Tabela2[[#This Row],[FAF_atividade_fisica_frequente_em_horas]]+1,M726)</f>
        <v>0.227802</v>
      </c>
      <c r="V726">
        <f>(Tabela2[[#This Row],[SMOKE]]+Tabela2[[#This Row],[CALC_bebe_alcool_frequentemente]])</f>
        <v>1</v>
      </c>
      <c r="W726" s="8">
        <f>(Tabela2[[#This Row],[Weight]]/(Tabela2[[#This Row],[Height]] ^2))</f>
        <v>16.637612076461625</v>
      </c>
    </row>
    <row r="727" spans="1:23" x14ac:dyDescent="0.25">
      <c r="A727" t="s">
        <v>13</v>
      </c>
      <c r="B727" s="7">
        <v>19.994543</v>
      </c>
      <c r="C727" s="4">
        <v>1.537739</v>
      </c>
      <c r="D727" s="7">
        <v>39.101804999999999</v>
      </c>
      <c r="E727">
        <v>0</v>
      </c>
      <c r="F727">
        <v>1</v>
      </c>
      <c r="G727" s="2">
        <v>1.118436</v>
      </c>
      <c r="H727" s="2">
        <v>3</v>
      </c>
      <c r="I727">
        <v>1</v>
      </c>
      <c r="J727">
        <v>0</v>
      </c>
      <c r="K727" s="2">
        <v>1.997744</v>
      </c>
      <c r="L727">
        <v>0</v>
      </c>
      <c r="M727" s="7">
        <v>2.4324430000000001</v>
      </c>
      <c r="N727" s="7">
        <v>1.6261939999999999</v>
      </c>
      <c r="O727">
        <v>1</v>
      </c>
      <c r="P727" t="s">
        <v>14</v>
      </c>
      <c r="Q727">
        <v>0</v>
      </c>
      <c r="R727" s="8">
        <f>(Tabela2[[#This Row],[FAF_atividade_fisica_frequente_em_horas]]+ 0.1)</f>
        <v>2.5324430000000002</v>
      </c>
      <c r="S727" s="1">
        <f>(Tabela2[[#This Row],[TUE_tempo_uso_aparelhos_em_horas]]/Tabela2[[#This Row],[FAF_Var]])</f>
        <v>0.64214436415745579</v>
      </c>
      <c r="T727">
        <f>(Tabela2[[#This Row],[CAEC_lanche_entre_refeicoes]]*Tabela2[[#This Row],[FAVC_consumo_frequente_de_alimentos_mt_caloricos]])</f>
        <v>1</v>
      </c>
      <c r="U727" s="1">
        <f>IF(OR(Tabela2[[#This Row],[MTRANS]]="Walking",Tabela2[[#This Row],[MTRANS]]="Bike"),Tabela2[[#This Row],[FAF_atividade_fisica_frequente_em_horas]]+1,M727)</f>
        <v>2.4324430000000001</v>
      </c>
      <c r="V727">
        <f>(Tabela2[[#This Row],[SMOKE]]+Tabela2[[#This Row],[CALC_bebe_alcool_frequentemente]])</f>
        <v>1</v>
      </c>
      <c r="W727" s="8">
        <f>(Tabela2[[#This Row],[Weight]]/(Tabela2[[#This Row],[Height]] ^2))</f>
        <v>16.536041268690497</v>
      </c>
    </row>
    <row r="728" spans="1:23" x14ac:dyDescent="0.25">
      <c r="A728" t="s">
        <v>13</v>
      </c>
      <c r="B728" s="7">
        <v>20.255616</v>
      </c>
      <c r="C728" s="4">
        <v>1.5342229999999999</v>
      </c>
      <c r="D728" s="7">
        <v>41.268597</v>
      </c>
      <c r="E728">
        <v>0</v>
      </c>
      <c r="F728">
        <v>1</v>
      </c>
      <c r="G728" s="2">
        <v>2.673638</v>
      </c>
      <c r="H728" s="2">
        <v>2.779379</v>
      </c>
      <c r="I728">
        <v>2</v>
      </c>
      <c r="J728">
        <v>0</v>
      </c>
      <c r="K728" s="2">
        <v>1.249074</v>
      </c>
      <c r="L728">
        <v>0</v>
      </c>
      <c r="M728" s="7">
        <v>4.3411999999999999E-2</v>
      </c>
      <c r="N728" s="7">
        <v>0.403694</v>
      </c>
      <c r="O728">
        <v>1</v>
      </c>
      <c r="P728" t="s">
        <v>14</v>
      </c>
      <c r="Q728">
        <v>0</v>
      </c>
      <c r="R728" s="8">
        <f>(Tabela2[[#This Row],[FAF_atividade_fisica_frequente_em_horas]]+ 0.1)</f>
        <v>0.14341200000000001</v>
      </c>
      <c r="S728" s="1">
        <f>(Tabela2[[#This Row],[TUE_tempo_uso_aparelhos_em_horas]]/Tabela2[[#This Row],[FAF_Var]])</f>
        <v>2.8149248319526956</v>
      </c>
      <c r="T728">
        <f>(Tabela2[[#This Row],[CAEC_lanche_entre_refeicoes]]*Tabela2[[#This Row],[FAVC_consumo_frequente_de_alimentos_mt_caloricos]])</f>
        <v>2</v>
      </c>
      <c r="U728" s="1">
        <f>IF(OR(Tabela2[[#This Row],[MTRANS]]="Walking",Tabela2[[#This Row],[MTRANS]]="Bike"),Tabela2[[#This Row],[FAF_atividade_fisica_frequente_em_horas]]+1,M728)</f>
        <v>4.3411999999999999E-2</v>
      </c>
      <c r="V728">
        <f>(Tabela2[[#This Row],[SMOKE]]+Tabela2[[#This Row],[CALC_bebe_alcool_frequentemente]])</f>
        <v>1</v>
      </c>
      <c r="W728" s="8">
        <f>(Tabela2[[#This Row],[Weight]]/(Tabela2[[#This Row],[Height]] ^2))</f>
        <v>17.532454734733875</v>
      </c>
    </row>
    <row r="729" spans="1:23" x14ac:dyDescent="0.25">
      <c r="A729" t="s">
        <v>15</v>
      </c>
      <c r="B729" s="7">
        <v>19.865894999999998</v>
      </c>
      <c r="C729" s="4">
        <v>1.76033</v>
      </c>
      <c r="D729" s="7">
        <v>55.370699999999999</v>
      </c>
      <c r="E729">
        <v>1</v>
      </c>
      <c r="F729">
        <v>1</v>
      </c>
      <c r="G729" s="2">
        <v>2.1201850000000002</v>
      </c>
      <c r="H729" s="2">
        <v>4</v>
      </c>
      <c r="I729">
        <v>1</v>
      </c>
      <c r="J729">
        <v>0</v>
      </c>
      <c r="K729" s="2">
        <v>2.5821649999999998</v>
      </c>
      <c r="L729">
        <v>0</v>
      </c>
      <c r="M729" s="7">
        <v>2</v>
      </c>
      <c r="N729" s="7">
        <v>1.5106090000000001</v>
      </c>
      <c r="O729">
        <v>0</v>
      </c>
      <c r="P729" t="s">
        <v>17</v>
      </c>
      <c r="Q729">
        <v>0</v>
      </c>
      <c r="R729" s="8">
        <f>(Tabela2[[#This Row],[FAF_atividade_fisica_frequente_em_horas]]+ 0.1)</f>
        <v>2.1</v>
      </c>
      <c r="S729" s="1">
        <f>(Tabela2[[#This Row],[TUE_tempo_uso_aparelhos_em_horas]]/Tabela2[[#This Row],[FAF_Var]])</f>
        <v>0.71933761904761906</v>
      </c>
      <c r="T729">
        <f>(Tabela2[[#This Row],[CAEC_lanche_entre_refeicoes]]*Tabela2[[#This Row],[FAVC_consumo_frequente_de_alimentos_mt_caloricos]])</f>
        <v>1</v>
      </c>
      <c r="U729" s="1">
        <f>IF(OR(Tabela2[[#This Row],[MTRANS]]="Walking",Tabela2[[#This Row],[MTRANS]]="Bike"),Tabela2[[#This Row],[FAF_atividade_fisica_frequente_em_horas]]+1,M729)</f>
        <v>2</v>
      </c>
      <c r="V729">
        <f>(Tabela2[[#This Row],[SMOKE]]+Tabela2[[#This Row],[CALC_bebe_alcool_frequentemente]])</f>
        <v>0</v>
      </c>
      <c r="W729" s="8">
        <f>(Tabela2[[#This Row],[Weight]]/(Tabela2[[#This Row],[Height]] ^2))</f>
        <v>17.868653740288899</v>
      </c>
    </row>
    <row r="730" spans="1:23" x14ac:dyDescent="0.25">
      <c r="A730" t="s">
        <v>15</v>
      </c>
      <c r="B730" s="7">
        <v>17.888072999999999</v>
      </c>
      <c r="C730" s="4">
        <v>1.841879</v>
      </c>
      <c r="D730" s="7">
        <v>60</v>
      </c>
      <c r="E730">
        <v>1</v>
      </c>
      <c r="F730">
        <v>1</v>
      </c>
      <c r="G730" s="2">
        <v>3</v>
      </c>
      <c r="H730" s="2">
        <v>3.7321260000000001</v>
      </c>
      <c r="I730">
        <v>1</v>
      </c>
      <c r="J730">
        <v>0</v>
      </c>
      <c r="K730" s="2">
        <v>2</v>
      </c>
      <c r="L730">
        <v>0</v>
      </c>
      <c r="M730" s="7">
        <v>2.000934</v>
      </c>
      <c r="N730" s="7">
        <v>0.384662</v>
      </c>
      <c r="O730">
        <v>0</v>
      </c>
      <c r="P730" t="s">
        <v>17</v>
      </c>
      <c r="Q730">
        <v>0</v>
      </c>
      <c r="R730" s="8">
        <f>(Tabela2[[#This Row],[FAF_atividade_fisica_frequente_em_horas]]+ 0.1)</f>
        <v>2.1009340000000001</v>
      </c>
      <c r="S730" s="1">
        <f>(Tabela2[[#This Row],[TUE_tempo_uso_aparelhos_em_horas]]/Tabela2[[#This Row],[FAF_Var]])</f>
        <v>0.18309094907312651</v>
      </c>
      <c r="T730">
        <f>(Tabela2[[#This Row],[CAEC_lanche_entre_refeicoes]]*Tabela2[[#This Row],[FAVC_consumo_frequente_de_alimentos_mt_caloricos]])</f>
        <v>1</v>
      </c>
      <c r="U730" s="1">
        <f>IF(OR(Tabela2[[#This Row],[MTRANS]]="Walking",Tabela2[[#This Row],[MTRANS]]="Bike"),Tabela2[[#This Row],[FAF_atividade_fisica_frequente_em_horas]]+1,M730)</f>
        <v>2.000934</v>
      </c>
      <c r="V730">
        <f>(Tabela2[[#This Row],[SMOKE]]+Tabela2[[#This Row],[CALC_bebe_alcool_frequentemente]])</f>
        <v>0</v>
      </c>
      <c r="W730" s="8">
        <f>(Tabela2[[#This Row],[Weight]]/(Tabela2[[#This Row],[Height]] ^2))</f>
        <v>17.685977072831747</v>
      </c>
    </row>
    <row r="731" spans="1:23" x14ac:dyDescent="0.25">
      <c r="A731" t="s">
        <v>15</v>
      </c>
      <c r="B731" s="7">
        <v>18.470562000000001</v>
      </c>
      <c r="C731" s="4">
        <v>1.856406</v>
      </c>
      <c r="D731" s="7">
        <v>58.673963000000001</v>
      </c>
      <c r="E731">
        <v>1</v>
      </c>
      <c r="F731">
        <v>1</v>
      </c>
      <c r="G731" s="2">
        <v>2.3422200000000002</v>
      </c>
      <c r="H731" s="2">
        <v>3.9370989999999999</v>
      </c>
      <c r="I731">
        <v>1</v>
      </c>
      <c r="J731">
        <v>0</v>
      </c>
      <c r="K731" s="2">
        <v>2.3117909999999999</v>
      </c>
      <c r="L731">
        <v>0</v>
      </c>
      <c r="M731" s="7">
        <v>2.0133770000000002</v>
      </c>
      <c r="N731" s="7">
        <v>1.128355</v>
      </c>
      <c r="O731">
        <v>0</v>
      </c>
      <c r="P731" t="s">
        <v>17</v>
      </c>
      <c r="Q731">
        <v>0</v>
      </c>
      <c r="R731" s="8">
        <f>(Tabela2[[#This Row],[FAF_atividade_fisica_frequente_em_horas]]+ 0.1)</f>
        <v>2.1133770000000003</v>
      </c>
      <c r="S731" s="1">
        <f>(Tabela2[[#This Row],[TUE_tempo_uso_aparelhos_em_horas]]/Tabela2[[#This Row],[FAF_Var]])</f>
        <v>0.53391089237746026</v>
      </c>
      <c r="T731">
        <f>(Tabela2[[#This Row],[CAEC_lanche_entre_refeicoes]]*Tabela2[[#This Row],[FAVC_consumo_frequente_de_alimentos_mt_caloricos]])</f>
        <v>1</v>
      </c>
      <c r="U731" s="1">
        <f>IF(OR(Tabela2[[#This Row],[MTRANS]]="Walking",Tabela2[[#This Row],[MTRANS]]="Bike"),Tabela2[[#This Row],[FAF_atividade_fisica_frequente_em_horas]]+1,M731)</f>
        <v>2.0133770000000002</v>
      </c>
      <c r="V731">
        <f>(Tabela2[[#This Row],[SMOKE]]+Tabela2[[#This Row],[CALC_bebe_alcool_frequentemente]])</f>
        <v>0</v>
      </c>
      <c r="W731" s="8">
        <f>(Tabela2[[#This Row],[Weight]]/(Tabela2[[#This Row],[Height]] ^2))</f>
        <v>17.025485134899714</v>
      </c>
    </row>
    <row r="732" spans="1:23" x14ac:dyDescent="0.25">
      <c r="A732" t="s">
        <v>15</v>
      </c>
      <c r="B732" s="7">
        <v>17.925497</v>
      </c>
      <c r="C732" s="4">
        <v>1.829142</v>
      </c>
      <c r="D732" s="7">
        <v>59.933014999999997</v>
      </c>
      <c r="E732">
        <v>1</v>
      </c>
      <c r="F732">
        <v>1</v>
      </c>
      <c r="G732" s="2">
        <v>2.8609900000000001</v>
      </c>
      <c r="H732" s="2">
        <v>4</v>
      </c>
      <c r="I732">
        <v>1</v>
      </c>
      <c r="J732">
        <v>0</v>
      </c>
      <c r="K732" s="2">
        <v>2</v>
      </c>
      <c r="L732">
        <v>0</v>
      </c>
      <c r="M732" s="7">
        <v>2</v>
      </c>
      <c r="N732" s="7">
        <v>7.8720000000000005E-3</v>
      </c>
      <c r="O732">
        <v>0</v>
      </c>
      <c r="P732" t="s">
        <v>17</v>
      </c>
      <c r="Q732">
        <v>0</v>
      </c>
      <c r="R732" s="8">
        <f>(Tabela2[[#This Row],[FAF_atividade_fisica_frequente_em_horas]]+ 0.1)</f>
        <v>2.1</v>
      </c>
      <c r="S732" s="1">
        <f>(Tabela2[[#This Row],[TUE_tempo_uso_aparelhos_em_horas]]/Tabela2[[#This Row],[FAF_Var]])</f>
        <v>3.7485714285714288E-3</v>
      </c>
      <c r="T732">
        <f>(Tabela2[[#This Row],[CAEC_lanche_entre_refeicoes]]*Tabela2[[#This Row],[FAVC_consumo_frequente_de_alimentos_mt_caloricos]])</f>
        <v>1</v>
      </c>
      <c r="U732" s="1">
        <f>IF(OR(Tabela2[[#This Row],[MTRANS]]="Walking",Tabela2[[#This Row],[MTRANS]]="Bike"),Tabela2[[#This Row],[FAF_atividade_fisica_frequente_em_horas]]+1,M732)</f>
        <v>2</v>
      </c>
      <c r="V732">
        <f>(Tabela2[[#This Row],[SMOKE]]+Tabela2[[#This Row],[CALC_bebe_alcool_frequentemente]])</f>
        <v>0</v>
      </c>
      <c r="W732" s="8">
        <f>(Tabela2[[#This Row],[Weight]]/(Tabela2[[#This Row],[Height]] ^2))</f>
        <v>17.913121930048373</v>
      </c>
    </row>
    <row r="733" spans="1:23" x14ac:dyDescent="0.25">
      <c r="A733" t="s">
        <v>15</v>
      </c>
      <c r="B733" s="7">
        <v>17.000751999999999</v>
      </c>
      <c r="C733" s="4">
        <v>1.822084</v>
      </c>
      <c r="D733" s="7">
        <v>58.443049000000002</v>
      </c>
      <c r="E733">
        <v>1</v>
      </c>
      <c r="F733">
        <v>1</v>
      </c>
      <c r="G733" s="2">
        <v>2.559571</v>
      </c>
      <c r="H733" s="2">
        <v>3.0479590000000001</v>
      </c>
      <c r="I733">
        <v>1</v>
      </c>
      <c r="J733">
        <v>0</v>
      </c>
      <c r="K733" s="2">
        <v>2</v>
      </c>
      <c r="L733">
        <v>0</v>
      </c>
      <c r="M733" s="7">
        <v>2.0116459999999998</v>
      </c>
      <c r="N733" s="7">
        <v>0.58899400000000002</v>
      </c>
      <c r="O733">
        <v>0</v>
      </c>
      <c r="P733" t="s">
        <v>17</v>
      </c>
      <c r="Q733">
        <v>0</v>
      </c>
      <c r="R733" s="8">
        <f>(Tabela2[[#This Row],[FAF_atividade_fisica_frequente_em_horas]]+ 0.1)</f>
        <v>2.1116459999999999</v>
      </c>
      <c r="S733" s="1">
        <f>(Tabela2[[#This Row],[TUE_tempo_uso_aparelhos_em_horas]]/Tabela2[[#This Row],[FAF_Var]])</f>
        <v>0.27892648673120402</v>
      </c>
      <c r="T733">
        <f>(Tabela2[[#This Row],[CAEC_lanche_entre_refeicoes]]*Tabela2[[#This Row],[FAVC_consumo_frequente_de_alimentos_mt_caloricos]])</f>
        <v>1</v>
      </c>
      <c r="U733" s="1">
        <f>IF(OR(Tabela2[[#This Row],[MTRANS]]="Walking",Tabela2[[#This Row],[MTRANS]]="Bike"),Tabela2[[#This Row],[FAF_atividade_fisica_frequente_em_horas]]+1,M733)</f>
        <v>2.0116459999999998</v>
      </c>
      <c r="V733">
        <f>(Tabela2[[#This Row],[SMOKE]]+Tabela2[[#This Row],[CALC_bebe_alcool_frequentemente]])</f>
        <v>0</v>
      </c>
      <c r="W733" s="8">
        <f>(Tabela2[[#This Row],[Weight]]/(Tabela2[[#This Row],[Height]] ^2))</f>
        <v>17.603380487852682</v>
      </c>
    </row>
    <row r="734" spans="1:23" x14ac:dyDescent="0.25">
      <c r="A734" t="s">
        <v>15</v>
      </c>
      <c r="B734" s="7">
        <v>17.362128999999999</v>
      </c>
      <c r="C734" s="4">
        <v>1.80671</v>
      </c>
      <c r="D734" s="7">
        <v>59.243506000000004</v>
      </c>
      <c r="E734">
        <v>1</v>
      </c>
      <c r="F734">
        <v>1</v>
      </c>
      <c r="G734" s="2">
        <v>2.4249770000000002</v>
      </c>
      <c r="H734" s="2">
        <v>4</v>
      </c>
      <c r="I734">
        <v>1</v>
      </c>
      <c r="J734">
        <v>0</v>
      </c>
      <c r="K734" s="2">
        <v>2</v>
      </c>
      <c r="L734">
        <v>0</v>
      </c>
      <c r="M734" s="7">
        <v>2</v>
      </c>
      <c r="N734" s="7">
        <v>3.9210000000000002E-2</v>
      </c>
      <c r="O734">
        <v>0</v>
      </c>
      <c r="P734" t="s">
        <v>17</v>
      </c>
      <c r="Q734">
        <v>0</v>
      </c>
      <c r="R734" s="8">
        <f>(Tabela2[[#This Row],[FAF_atividade_fisica_frequente_em_horas]]+ 0.1)</f>
        <v>2.1</v>
      </c>
      <c r="S734" s="1">
        <f>(Tabela2[[#This Row],[TUE_tempo_uso_aparelhos_em_horas]]/Tabela2[[#This Row],[FAF_Var]])</f>
        <v>1.8671428571428571E-2</v>
      </c>
      <c r="T734">
        <f>(Tabela2[[#This Row],[CAEC_lanche_entre_refeicoes]]*Tabela2[[#This Row],[FAVC_consumo_frequente_de_alimentos_mt_caloricos]])</f>
        <v>1</v>
      </c>
      <c r="U734" s="1">
        <f>IF(OR(Tabela2[[#This Row],[MTRANS]]="Walking",Tabela2[[#This Row],[MTRANS]]="Bike"),Tabela2[[#This Row],[FAF_atividade_fisica_frequente_em_horas]]+1,M734)</f>
        <v>2</v>
      </c>
      <c r="V734">
        <f>(Tabela2[[#This Row],[SMOKE]]+Tabela2[[#This Row],[CALC_bebe_alcool_frequentemente]])</f>
        <v>0</v>
      </c>
      <c r="W734" s="8">
        <f>(Tabela2[[#This Row],[Weight]]/(Tabela2[[#This Row],[Height]] ^2))</f>
        <v>18.149466151930554</v>
      </c>
    </row>
    <row r="735" spans="1:23" x14ac:dyDescent="0.25">
      <c r="A735" t="s">
        <v>15</v>
      </c>
      <c r="B735" s="7">
        <v>18</v>
      </c>
      <c r="C735" s="4">
        <v>1.7072590000000001</v>
      </c>
      <c r="D735" s="7">
        <v>50.664459000000001</v>
      </c>
      <c r="E735">
        <v>1</v>
      </c>
      <c r="F735">
        <v>1</v>
      </c>
      <c r="G735" s="2">
        <v>1.7868409999999999</v>
      </c>
      <c r="H735" s="2">
        <v>3</v>
      </c>
      <c r="I735">
        <v>1</v>
      </c>
      <c r="J735">
        <v>0</v>
      </c>
      <c r="K735" s="2">
        <v>1.546856</v>
      </c>
      <c r="L735">
        <v>0</v>
      </c>
      <c r="M735" s="7">
        <v>0.51209400000000005</v>
      </c>
      <c r="N735" s="7">
        <v>1.6082650000000001</v>
      </c>
      <c r="O735">
        <v>1</v>
      </c>
      <c r="P735" t="s">
        <v>14</v>
      </c>
      <c r="Q735">
        <v>0</v>
      </c>
      <c r="R735" s="8">
        <f>(Tabela2[[#This Row],[FAF_atividade_fisica_frequente_em_horas]]+ 0.1)</f>
        <v>0.61209400000000003</v>
      </c>
      <c r="S735" s="1">
        <f>(Tabela2[[#This Row],[TUE_tempo_uso_aparelhos_em_horas]]/Tabela2[[#This Row],[FAF_Var]])</f>
        <v>2.6274804196741024</v>
      </c>
      <c r="T735">
        <f>(Tabela2[[#This Row],[CAEC_lanche_entre_refeicoes]]*Tabela2[[#This Row],[FAVC_consumo_frequente_de_alimentos_mt_caloricos]])</f>
        <v>1</v>
      </c>
      <c r="U735" s="1">
        <f>IF(OR(Tabela2[[#This Row],[MTRANS]]="Walking",Tabela2[[#This Row],[MTRANS]]="Bike"),Tabela2[[#This Row],[FAF_atividade_fisica_frequente_em_horas]]+1,M735)</f>
        <v>0.51209400000000005</v>
      </c>
      <c r="V735">
        <f>(Tabela2[[#This Row],[SMOKE]]+Tabela2[[#This Row],[CALC_bebe_alcool_frequentemente]])</f>
        <v>1</v>
      </c>
      <c r="W735" s="8">
        <f>(Tabela2[[#This Row],[Weight]]/(Tabela2[[#This Row],[Height]] ^2))</f>
        <v>17.382193808355431</v>
      </c>
    </row>
    <row r="736" spans="1:23" x14ac:dyDescent="0.25">
      <c r="A736" t="s">
        <v>15</v>
      </c>
      <c r="B736" s="7">
        <v>18</v>
      </c>
      <c r="C736" s="4">
        <v>1.708107</v>
      </c>
      <c r="D736" s="7">
        <v>51.314658999999999</v>
      </c>
      <c r="E736">
        <v>1</v>
      </c>
      <c r="F736">
        <v>1</v>
      </c>
      <c r="G736" s="2">
        <v>1.3038780000000001</v>
      </c>
      <c r="H736" s="2">
        <v>3</v>
      </c>
      <c r="I736">
        <v>1</v>
      </c>
      <c r="J736">
        <v>0</v>
      </c>
      <c r="K736" s="2">
        <v>1.7554970000000001</v>
      </c>
      <c r="L736">
        <v>0</v>
      </c>
      <c r="M736" s="7">
        <v>6.2932000000000002E-2</v>
      </c>
      <c r="N736" s="7">
        <v>1.6725319999999999</v>
      </c>
      <c r="O736">
        <v>1</v>
      </c>
      <c r="P736" t="s">
        <v>14</v>
      </c>
      <c r="Q736">
        <v>0</v>
      </c>
      <c r="R736" s="8">
        <f>(Tabela2[[#This Row],[FAF_atividade_fisica_frequente_em_horas]]+ 0.1)</f>
        <v>0.16293200000000002</v>
      </c>
      <c r="S736" s="1">
        <f>(Tabela2[[#This Row],[TUE_tempo_uso_aparelhos_em_horas]]/Tabela2[[#This Row],[FAF_Var]])</f>
        <v>10.265214936292439</v>
      </c>
      <c r="T736">
        <f>(Tabela2[[#This Row],[CAEC_lanche_entre_refeicoes]]*Tabela2[[#This Row],[FAVC_consumo_frequente_de_alimentos_mt_caloricos]])</f>
        <v>1</v>
      </c>
      <c r="U736" s="1">
        <f>IF(OR(Tabela2[[#This Row],[MTRANS]]="Walking",Tabela2[[#This Row],[MTRANS]]="Bike"),Tabela2[[#This Row],[FAF_atividade_fisica_frequente_em_horas]]+1,M736)</f>
        <v>6.2932000000000002E-2</v>
      </c>
      <c r="V736">
        <f>(Tabela2[[#This Row],[SMOKE]]+Tabela2[[#This Row],[CALC_bebe_alcool_frequentemente]])</f>
        <v>1</v>
      </c>
      <c r="W736" s="8">
        <f>(Tabela2[[#This Row],[Weight]]/(Tabela2[[#This Row],[Height]] ^2))</f>
        <v>17.587791248883342</v>
      </c>
    </row>
    <row r="737" spans="1:23" x14ac:dyDescent="0.25">
      <c r="A737" t="s">
        <v>15</v>
      </c>
      <c r="B737" s="7">
        <v>18</v>
      </c>
      <c r="C737" s="4">
        <v>1.739344</v>
      </c>
      <c r="D737" s="7">
        <v>50.951444000000002</v>
      </c>
      <c r="E737">
        <v>1</v>
      </c>
      <c r="F737">
        <v>1</v>
      </c>
      <c r="G737" s="2">
        <v>1.889883</v>
      </c>
      <c r="H737" s="2">
        <v>3</v>
      </c>
      <c r="I737">
        <v>1</v>
      </c>
      <c r="J737">
        <v>0</v>
      </c>
      <c r="K737" s="2">
        <v>1.9595309999999999</v>
      </c>
      <c r="L737">
        <v>0</v>
      </c>
      <c r="M737" s="7">
        <v>0.52040699999999995</v>
      </c>
      <c r="N737" s="7">
        <v>1.1511659999999999</v>
      </c>
      <c r="O737">
        <v>1</v>
      </c>
      <c r="P737" t="s">
        <v>14</v>
      </c>
      <c r="Q737">
        <v>0</v>
      </c>
      <c r="R737" s="8">
        <f>(Tabela2[[#This Row],[FAF_atividade_fisica_frequente_em_horas]]+ 0.1)</f>
        <v>0.62040699999999993</v>
      </c>
      <c r="S737" s="1">
        <f>(Tabela2[[#This Row],[TUE_tempo_uso_aparelhos_em_horas]]/Tabela2[[#This Row],[FAF_Var]])</f>
        <v>1.855501308012321</v>
      </c>
      <c r="T737">
        <f>(Tabela2[[#This Row],[CAEC_lanche_entre_refeicoes]]*Tabela2[[#This Row],[FAVC_consumo_frequente_de_alimentos_mt_caloricos]])</f>
        <v>1</v>
      </c>
      <c r="U737" s="1">
        <f>IF(OR(Tabela2[[#This Row],[MTRANS]]="Walking",Tabela2[[#This Row],[MTRANS]]="Bike"),Tabela2[[#This Row],[FAF_atividade_fisica_frequente_em_horas]]+1,M737)</f>
        <v>0.52040699999999995</v>
      </c>
      <c r="V737">
        <f>(Tabela2[[#This Row],[SMOKE]]+Tabela2[[#This Row],[CALC_bebe_alcool_frequentemente]])</f>
        <v>1</v>
      </c>
      <c r="W737" s="8">
        <f>(Tabela2[[#This Row],[Weight]]/(Tabela2[[#This Row],[Height]] ^2))</f>
        <v>16.841684600792135</v>
      </c>
    </row>
    <row r="738" spans="1:23" x14ac:dyDescent="0.25">
      <c r="A738" t="s">
        <v>13</v>
      </c>
      <c r="B738" s="7">
        <v>19.029494</v>
      </c>
      <c r="C738" s="4">
        <v>1.573987</v>
      </c>
      <c r="D738" s="7">
        <v>44.316254000000001</v>
      </c>
      <c r="E738">
        <v>0</v>
      </c>
      <c r="F738">
        <v>0</v>
      </c>
      <c r="G738" s="2">
        <v>2.9840040000000001</v>
      </c>
      <c r="H738" s="2">
        <v>3</v>
      </c>
      <c r="I738">
        <v>2</v>
      </c>
      <c r="J738">
        <v>0</v>
      </c>
      <c r="K738" s="2">
        <v>1.0152490000000001</v>
      </c>
      <c r="L738">
        <v>1</v>
      </c>
      <c r="M738" s="7">
        <v>1.327833</v>
      </c>
      <c r="N738" s="7">
        <v>0</v>
      </c>
      <c r="O738">
        <v>1</v>
      </c>
      <c r="P738" t="s">
        <v>14</v>
      </c>
      <c r="Q738">
        <v>0</v>
      </c>
      <c r="R738" s="8">
        <f>(Tabela2[[#This Row],[FAF_atividade_fisica_frequente_em_horas]]+ 0.1)</f>
        <v>1.4278330000000001</v>
      </c>
      <c r="S738" s="1">
        <f>(Tabela2[[#This Row],[TUE_tempo_uso_aparelhos_em_horas]]/Tabela2[[#This Row],[FAF_Var]])</f>
        <v>0</v>
      </c>
      <c r="T738">
        <f>(Tabela2[[#This Row],[CAEC_lanche_entre_refeicoes]]*Tabela2[[#This Row],[FAVC_consumo_frequente_de_alimentos_mt_caloricos]])</f>
        <v>0</v>
      </c>
      <c r="U738" s="1">
        <f>IF(OR(Tabela2[[#This Row],[MTRANS]]="Walking",Tabela2[[#This Row],[MTRANS]]="Bike"),Tabela2[[#This Row],[FAF_atividade_fisica_frequente_em_horas]]+1,M738)</f>
        <v>1.327833</v>
      </c>
      <c r="V738">
        <f>(Tabela2[[#This Row],[SMOKE]]+Tabela2[[#This Row],[CALC_bebe_alcool_frequentemente]])</f>
        <v>1</v>
      </c>
      <c r="W738" s="8">
        <f>(Tabela2[[#This Row],[Weight]]/(Tabela2[[#This Row],[Height]] ^2))</f>
        <v>17.887957761754453</v>
      </c>
    </row>
    <row r="739" spans="1:23" x14ac:dyDescent="0.25">
      <c r="A739" t="s">
        <v>13</v>
      </c>
      <c r="B739" s="7">
        <v>19.269079000000001</v>
      </c>
      <c r="C739" s="4">
        <v>1.5809200000000001</v>
      </c>
      <c r="D739" s="7">
        <v>44.753943</v>
      </c>
      <c r="E739">
        <v>0</v>
      </c>
      <c r="F739">
        <v>0</v>
      </c>
      <c r="G739" s="2">
        <v>3</v>
      </c>
      <c r="H739" s="2">
        <v>2.9753620000000001</v>
      </c>
      <c r="I739">
        <v>2</v>
      </c>
      <c r="J739">
        <v>0</v>
      </c>
      <c r="K739" s="2">
        <v>1.2468220000000001</v>
      </c>
      <c r="L739">
        <v>1</v>
      </c>
      <c r="M739" s="7">
        <v>0.97970100000000004</v>
      </c>
      <c r="N739" s="7">
        <v>0</v>
      </c>
      <c r="O739">
        <v>1</v>
      </c>
      <c r="P739" t="s">
        <v>14</v>
      </c>
      <c r="Q739">
        <v>0</v>
      </c>
      <c r="R739" s="8">
        <f>(Tabela2[[#This Row],[FAF_atividade_fisica_frequente_em_horas]]+ 0.1)</f>
        <v>1.079701</v>
      </c>
      <c r="S739" s="1">
        <f>(Tabela2[[#This Row],[TUE_tempo_uso_aparelhos_em_horas]]/Tabela2[[#This Row],[FAF_Var]])</f>
        <v>0</v>
      </c>
      <c r="T739">
        <f>(Tabela2[[#This Row],[CAEC_lanche_entre_refeicoes]]*Tabela2[[#This Row],[FAVC_consumo_frequente_de_alimentos_mt_caloricos]])</f>
        <v>0</v>
      </c>
      <c r="U739" s="1">
        <f>IF(OR(Tabela2[[#This Row],[MTRANS]]="Walking",Tabela2[[#This Row],[MTRANS]]="Bike"),Tabela2[[#This Row],[FAF_atividade_fisica_frequente_em_horas]]+1,M739)</f>
        <v>0.97970100000000004</v>
      </c>
      <c r="V739">
        <f>(Tabela2[[#This Row],[SMOKE]]+Tabela2[[#This Row],[CALC_bebe_alcool_frequentemente]])</f>
        <v>1</v>
      </c>
      <c r="W739" s="8">
        <f>(Tabela2[[#This Row],[Weight]]/(Tabela2[[#This Row],[Height]] ^2))</f>
        <v>17.906533396098776</v>
      </c>
    </row>
    <row r="740" spans="1:23" x14ac:dyDescent="0.25">
      <c r="A740" t="s">
        <v>13</v>
      </c>
      <c r="B740" s="7">
        <v>19.946244</v>
      </c>
      <c r="C740" s="4">
        <v>1.6034349999999999</v>
      </c>
      <c r="D740" s="7">
        <v>45</v>
      </c>
      <c r="E740">
        <v>0</v>
      </c>
      <c r="F740">
        <v>0</v>
      </c>
      <c r="G740" s="2">
        <v>3</v>
      </c>
      <c r="H740" s="2">
        <v>3</v>
      </c>
      <c r="I740">
        <v>2</v>
      </c>
      <c r="J740">
        <v>0</v>
      </c>
      <c r="K740" s="2">
        <v>2.4879190000000002</v>
      </c>
      <c r="L740">
        <v>1</v>
      </c>
      <c r="M740" s="7">
        <v>1.2304409999999999</v>
      </c>
      <c r="N740" s="7">
        <v>0</v>
      </c>
      <c r="O740">
        <v>1</v>
      </c>
      <c r="P740" t="s">
        <v>14</v>
      </c>
      <c r="Q740">
        <v>0</v>
      </c>
      <c r="R740" s="8">
        <f>(Tabela2[[#This Row],[FAF_atividade_fisica_frequente_em_horas]]+ 0.1)</f>
        <v>1.330441</v>
      </c>
      <c r="S740" s="1">
        <f>(Tabela2[[#This Row],[TUE_tempo_uso_aparelhos_em_horas]]/Tabela2[[#This Row],[FAF_Var]])</f>
        <v>0</v>
      </c>
      <c r="T740">
        <f>(Tabela2[[#This Row],[CAEC_lanche_entre_refeicoes]]*Tabela2[[#This Row],[FAVC_consumo_frequente_de_alimentos_mt_caloricos]])</f>
        <v>0</v>
      </c>
      <c r="U740" s="1">
        <f>IF(OR(Tabela2[[#This Row],[MTRANS]]="Walking",Tabela2[[#This Row],[MTRANS]]="Bike"),Tabela2[[#This Row],[FAF_atividade_fisica_frequente_em_horas]]+1,M740)</f>
        <v>1.2304409999999999</v>
      </c>
      <c r="V740">
        <f>(Tabela2[[#This Row],[SMOKE]]+Tabela2[[#This Row],[CALC_bebe_alcool_frequentemente]])</f>
        <v>1</v>
      </c>
      <c r="W740" s="8">
        <f>(Tabela2[[#This Row],[Weight]]/(Tabela2[[#This Row],[Height]] ^2))</f>
        <v>17.502891288439461</v>
      </c>
    </row>
    <row r="741" spans="1:23" x14ac:dyDescent="0.25">
      <c r="A741" t="s">
        <v>13</v>
      </c>
      <c r="B741" s="7">
        <v>19.639430999999998</v>
      </c>
      <c r="C741" s="4">
        <v>1.53535</v>
      </c>
      <c r="D741" s="7">
        <v>42</v>
      </c>
      <c r="E741">
        <v>0</v>
      </c>
      <c r="F741">
        <v>1</v>
      </c>
      <c r="G741" s="2">
        <v>3</v>
      </c>
      <c r="H741" s="2">
        <v>1</v>
      </c>
      <c r="I741">
        <v>2</v>
      </c>
      <c r="J741">
        <v>0</v>
      </c>
      <c r="K741" s="2">
        <v>1.49681</v>
      </c>
      <c r="L741">
        <v>0</v>
      </c>
      <c r="M741" s="7">
        <v>0</v>
      </c>
      <c r="N741" s="7">
        <v>0.51342699999999997</v>
      </c>
      <c r="O741">
        <v>1</v>
      </c>
      <c r="P741" t="s">
        <v>14</v>
      </c>
      <c r="Q741">
        <v>0</v>
      </c>
      <c r="R741" s="8">
        <f>(Tabela2[[#This Row],[FAF_atividade_fisica_frequente_em_horas]]+ 0.1)</f>
        <v>0.1</v>
      </c>
      <c r="S741" s="1">
        <f>(Tabela2[[#This Row],[TUE_tempo_uso_aparelhos_em_horas]]/Tabela2[[#This Row],[FAF_Var]])</f>
        <v>5.134269999999999</v>
      </c>
      <c r="T741">
        <f>(Tabela2[[#This Row],[CAEC_lanche_entre_refeicoes]]*Tabela2[[#This Row],[FAVC_consumo_frequente_de_alimentos_mt_caloricos]])</f>
        <v>2</v>
      </c>
      <c r="U741" s="1">
        <f>IF(OR(Tabela2[[#This Row],[MTRANS]]="Walking",Tabela2[[#This Row],[MTRANS]]="Bike"),Tabela2[[#This Row],[FAF_atividade_fisica_frequente_em_horas]]+1,M741)</f>
        <v>0</v>
      </c>
      <c r="V741">
        <f>(Tabela2[[#This Row],[SMOKE]]+Tabela2[[#This Row],[CALC_bebe_alcool_frequentemente]])</f>
        <v>1</v>
      </c>
      <c r="W741" s="8">
        <f>(Tabela2[[#This Row],[Weight]]/(Tabela2[[#This Row],[Height]] ^2))</f>
        <v>17.816996871809412</v>
      </c>
    </row>
    <row r="742" spans="1:23" x14ac:dyDescent="0.25">
      <c r="A742" t="s">
        <v>13</v>
      </c>
      <c r="B742" s="7">
        <v>19</v>
      </c>
      <c r="C742" s="4">
        <v>1.5316099999999999</v>
      </c>
      <c r="D742" s="7">
        <v>42</v>
      </c>
      <c r="E742">
        <v>0</v>
      </c>
      <c r="F742">
        <v>1</v>
      </c>
      <c r="G742" s="2">
        <v>2.7492679999999998</v>
      </c>
      <c r="H742" s="2">
        <v>1.394539</v>
      </c>
      <c r="I742">
        <v>2</v>
      </c>
      <c r="J742">
        <v>0</v>
      </c>
      <c r="K742" s="2">
        <v>1.3220479999999999</v>
      </c>
      <c r="L742">
        <v>0</v>
      </c>
      <c r="M742" s="7">
        <v>0.463949</v>
      </c>
      <c r="N742" s="7">
        <v>0.80099299999999996</v>
      </c>
      <c r="O742">
        <v>1</v>
      </c>
      <c r="P742" t="s">
        <v>14</v>
      </c>
      <c r="Q742">
        <v>0</v>
      </c>
      <c r="R742" s="8">
        <f>(Tabela2[[#This Row],[FAF_atividade_fisica_frequente_em_horas]]+ 0.1)</f>
        <v>0.56394900000000003</v>
      </c>
      <c r="S742" s="1">
        <f>(Tabela2[[#This Row],[TUE_tempo_uso_aparelhos_em_horas]]/Tabela2[[#This Row],[FAF_Var]])</f>
        <v>1.4203287885961318</v>
      </c>
      <c r="T742">
        <f>(Tabela2[[#This Row],[CAEC_lanche_entre_refeicoes]]*Tabela2[[#This Row],[FAVC_consumo_frequente_de_alimentos_mt_caloricos]])</f>
        <v>2</v>
      </c>
      <c r="U742" s="1">
        <f>IF(OR(Tabela2[[#This Row],[MTRANS]]="Walking",Tabela2[[#This Row],[MTRANS]]="Bike"),Tabela2[[#This Row],[FAF_atividade_fisica_frequente_em_horas]]+1,M742)</f>
        <v>0.463949</v>
      </c>
      <c r="V742">
        <f>(Tabela2[[#This Row],[SMOKE]]+Tabela2[[#This Row],[CALC_bebe_alcool_frequentemente]])</f>
        <v>1</v>
      </c>
      <c r="W742" s="8">
        <f>(Tabela2[[#This Row],[Weight]]/(Tabela2[[#This Row],[Height]] ^2))</f>
        <v>17.90411686470717</v>
      </c>
    </row>
    <row r="743" spans="1:23" x14ac:dyDescent="0.25">
      <c r="A743" t="s">
        <v>13</v>
      </c>
      <c r="B743" s="7">
        <v>19.434709000000002</v>
      </c>
      <c r="C743" s="4">
        <v>1.5256909999999999</v>
      </c>
      <c r="D743" s="7">
        <v>42</v>
      </c>
      <c r="E743">
        <v>0</v>
      </c>
      <c r="F743">
        <v>1</v>
      </c>
      <c r="G743" s="2">
        <v>3</v>
      </c>
      <c r="H743" s="2">
        <v>1</v>
      </c>
      <c r="I743">
        <v>2</v>
      </c>
      <c r="J743">
        <v>0</v>
      </c>
      <c r="K743" s="2">
        <v>1.7640549999999999</v>
      </c>
      <c r="L743">
        <v>0</v>
      </c>
      <c r="M743" s="7">
        <v>0</v>
      </c>
      <c r="N743" s="7">
        <v>0.56088700000000002</v>
      </c>
      <c r="O743">
        <v>1</v>
      </c>
      <c r="P743" t="s">
        <v>14</v>
      </c>
      <c r="Q743">
        <v>0</v>
      </c>
      <c r="R743" s="8">
        <f>(Tabela2[[#This Row],[FAF_atividade_fisica_frequente_em_horas]]+ 0.1)</f>
        <v>0.1</v>
      </c>
      <c r="S743" s="1">
        <f>(Tabela2[[#This Row],[TUE_tempo_uso_aparelhos_em_horas]]/Tabela2[[#This Row],[FAF_Var]])</f>
        <v>5.6088699999999996</v>
      </c>
      <c r="T743">
        <f>(Tabela2[[#This Row],[CAEC_lanche_entre_refeicoes]]*Tabela2[[#This Row],[FAVC_consumo_frequente_de_alimentos_mt_caloricos]])</f>
        <v>2</v>
      </c>
      <c r="U743" s="1">
        <f>IF(OR(Tabela2[[#This Row],[MTRANS]]="Walking",Tabela2[[#This Row],[MTRANS]]="Bike"),Tabela2[[#This Row],[FAF_atividade_fisica_frequente_em_horas]]+1,M743)</f>
        <v>0</v>
      </c>
      <c r="V743">
        <f>(Tabela2[[#This Row],[SMOKE]]+Tabela2[[#This Row],[CALC_bebe_alcool_frequentemente]])</f>
        <v>1</v>
      </c>
      <c r="W743" s="8">
        <f>(Tabela2[[#This Row],[Weight]]/(Tabela2[[#This Row],[Height]] ^2))</f>
        <v>18.043306300229411</v>
      </c>
    </row>
    <row r="744" spans="1:23" x14ac:dyDescent="0.25">
      <c r="A744" t="s">
        <v>15</v>
      </c>
      <c r="B744" s="7">
        <v>18</v>
      </c>
      <c r="C744" s="4">
        <v>1.719827</v>
      </c>
      <c r="D744" s="7">
        <v>52.289828</v>
      </c>
      <c r="E744">
        <v>1</v>
      </c>
      <c r="F744">
        <v>1</v>
      </c>
      <c r="G744" s="2">
        <v>1.202075</v>
      </c>
      <c r="H744" s="2">
        <v>3</v>
      </c>
      <c r="I744">
        <v>1</v>
      </c>
      <c r="J744">
        <v>0</v>
      </c>
      <c r="K744" s="2">
        <v>1.9279759999999999</v>
      </c>
      <c r="L744">
        <v>0</v>
      </c>
      <c r="M744" s="7">
        <v>2.3574000000000001E-2</v>
      </c>
      <c r="N744" s="7">
        <v>1.7472559999999999</v>
      </c>
      <c r="O744">
        <v>1</v>
      </c>
      <c r="P744" t="s">
        <v>14</v>
      </c>
      <c r="Q744">
        <v>0</v>
      </c>
      <c r="R744" s="8">
        <f>(Tabela2[[#This Row],[FAF_atividade_fisica_frequente_em_horas]]+ 0.1)</f>
        <v>0.123574</v>
      </c>
      <c r="S744" s="1">
        <f>(Tabela2[[#This Row],[TUE_tempo_uso_aparelhos_em_horas]]/Tabela2[[#This Row],[FAF_Var]])</f>
        <v>14.139349701393495</v>
      </c>
      <c r="T744">
        <f>(Tabela2[[#This Row],[CAEC_lanche_entre_refeicoes]]*Tabela2[[#This Row],[FAVC_consumo_frequente_de_alimentos_mt_caloricos]])</f>
        <v>1</v>
      </c>
      <c r="U744" s="1">
        <f>IF(OR(Tabela2[[#This Row],[MTRANS]]="Walking",Tabela2[[#This Row],[MTRANS]]="Bike"),Tabela2[[#This Row],[FAF_atividade_fisica_frequente_em_horas]]+1,M744)</f>
        <v>2.3574000000000001E-2</v>
      </c>
      <c r="V744">
        <f>(Tabela2[[#This Row],[SMOKE]]+Tabela2[[#This Row],[CALC_bebe_alcool_frequentemente]])</f>
        <v>1</v>
      </c>
      <c r="W744" s="8">
        <f>(Tabela2[[#This Row],[Weight]]/(Tabela2[[#This Row],[Height]] ^2))</f>
        <v>17.678592602395533</v>
      </c>
    </row>
    <row r="745" spans="1:23" x14ac:dyDescent="0.25">
      <c r="A745" t="s">
        <v>15</v>
      </c>
      <c r="B745" s="7">
        <v>18.381381999999999</v>
      </c>
      <c r="C745" s="4">
        <v>1.7225470000000001</v>
      </c>
      <c r="D745" s="7">
        <v>53.783977</v>
      </c>
      <c r="E745">
        <v>1</v>
      </c>
      <c r="F745">
        <v>1</v>
      </c>
      <c r="G745" s="2">
        <v>2</v>
      </c>
      <c r="H745" s="2">
        <v>3.1310319999999998</v>
      </c>
      <c r="I745">
        <v>1</v>
      </c>
      <c r="J745">
        <v>0</v>
      </c>
      <c r="K745" s="2">
        <v>2.0721940000000001</v>
      </c>
      <c r="L745">
        <v>0</v>
      </c>
      <c r="M745" s="7">
        <v>1.4879869999999999</v>
      </c>
      <c r="N745" s="7">
        <v>2</v>
      </c>
      <c r="O745">
        <v>1</v>
      </c>
      <c r="P745" t="s">
        <v>14</v>
      </c>
      <c r="Q745">
        <v>0</v>
      </c>
      <c r="R745" s="8">
        <f>(Tabela2[[#This Row],[FAF_atividade_fisica_frequente_em_horas]]+ 0.1)</f>
        <v>1.587987</v>
      </c>
      <c r="S745" s="1">
        <f>(Tabela2[[#This Row],[TUE_tempo_uso_aparelhos_em_horas]]/Tabela2[[#This Row],[FAF_Var]])</f>
        <v>1.2594561542380385</v>
      </c>
      <c r="T745">
        <f>(Tabela2[[#This Row],[CAEC_lanche_entre_refeicoes]]*Tabela2[[#This Row],[FAVC_consumo_frequente_de_alimentos_mt_caloricos]])</f>
        <v>1</v>
      </c>
      <c r="U745" s="1">
        <f>IF(OR(Tabela2[[#This Row],[MTRANS]]="Walking",Tabela2[[#This Row],[MTRANS]]="Bike"),Tabela2[[#This Row],[FAF_atividade_fisica_frequente_em_horas]]+1,M745)</f>
        <v>1.4879869999999999</v>
      </c>
      <c r="V745">
        <f>(Tabela2[[#This Row],[SMOKE]]+Tabela2[[#This Row],[CALC_bebe_alcool_frequentemente]])</f>
        <v>1</v>
      </c>
      <c r="W745" s="8">
        <f>(Tabela2[[#This Row],[Weight]]/(Tabela2[[#This Row],[Height]] ^2))</f>
        <v>18.126366275555824</v>
      </c>
    </row>
    <row r="746" spans="1:23" x14ac:dyDescent="0.25">
      <c r="A746" t="s">
        <v>15</v>
      </c>
      <c r="B746" s="7">
        <v>18</v>
      </c>
      <c r="C746" s="4">
        <v>1.738702</v>
      </c>
      <c r="D746" s="7">
        <v>50.248677000000001</v>
      </c>
      <c r="E746">
        <v>1</v>
      </c>
      <c r="F746">
        <v>1</v>
      </c>
      <c r="G746" s="2">
        <v>1.871213</v>
      </c>
      <c r="H746" s="2">
        <v>3</v>
      </c>
      <c r="I746">
        <v>1</v>
      </c>
      <c r="J746">
        <v>0</v>
      </c>
      <c r="K746" s="2">
        <v>1.283738</v>
      </c>
      <c r="L746">
        <v>0</v>
      </c>
      <c r="M746" s="7">
        <v>0.68487900000000002</v>
      </c>
      <c r="N746" s="7">
        <v>1.487223</v>
      </c>
      <c r="O746">
        <v>1</v>
      </c>
      <c r="P746" t="s">
        <v>14</v>
      </c>
      <c r="Q746">
        <v>0</v>
      </c>
      <c r="R746" s="8">
        <f>(Tabela2[[#This Row],[FAF_atividade_fisica_frequente_em_horas]]+ 0.1)</f>
        <v>0.78487899999999999</v>
      </c>
      <c r="S746" s="1">
        <f>(Tabela2[[#This Row],[TUE_tempo_uso_aparelhos_em_horas]]/Tabela2[[#This Row],[FAF_Var]])</f>
        <v>1.8948436638004074</v>
      </c>
      <c r="T746">
        <f>(Tabela2[[#This Row],[CAEC_lanche_entre_refeicoes]]*Tabela2[[#This Row],[FAVC_consumo_frequente_de_alimentos_mt_caloricos]])</f>
        <v>1</v>
      </c>
      <c r="U746" s="1">
        <f>IF(OR(Tabela2[[#This Row],[MTRANS]]="Walking",Tabela2[[#This Row],[MTRANS]]="Bike"),Tabela2[[#This Row],[FAF_atividade_fisica_frequente_em_horas]]+1,M746)</f>
        <v>0.68487900000000002</v>
      </c>
      <c r="V746">
        <f>(Tabela2[[#This Row],[SMOKE]]+Tabela2[[#This Row],[CALC_bebe_alcool_frequentemente]])</f>
        <v>1</v>
      </c>
      <c r="W746" s="8">
        <f>(Tabela2[[#This Row],[Weight]]/(Tabela2[[#This Row],[Height]] ^2))</f>
        <v>16.621657314943572</v>
      </c>
    </row>
    <row r="747" spans="1:23" x14ac:dyDescent="0.25">
      <c r="A747" t="s">
        <v>15</v>
      </c>
      <c r="B747" s="7">
        <v>26.69858</v>
      </c>
      <c r="C747" s="4">
        <v>1.816298</v>
      </c>
      <c r="D747" s="7">
        <v>86.963764999999995</v>
      </c>
      <c r="E747">
        <v>0</v>
      </c>
      <c r="F747">
        <v>1</v>
      </c>
      <c r="G747" s="2">
        <v>2.3411330000000001</v>
      </c>
      <c r="H747" s="2">
        <v>1.5785210000000001</v>
      </c>
      <c r="I747">
        <v>1</v>
      </c>
      <c r="J747">
        <v>0</v>
      </c>
      <c r="K747" s="2">
        <v>2</v>
      </c>
      <c r="L747">
        <v>0</v>
      </c>
      <c r="M747" s="7">
        <v>2</v>
      </c>
      <c r="N747" s="7">
        <v>0.55407200000000001</v>
      </c>
      <c r="O747">
        <v>0</v>
      </c>
      <c r="P747" t="s">
        <v>17</v>
      </c>
      <c r="Q747">
        <v>2</v>
      </c>
      <c r="R747" s="8">
        <f>(Tabela2[[#This Row],[FAF_atividade_fisica_frequente_em_horas]]+ 0.1)</f>
        <v>2.1</v>
      </c>
      <c r="S747" s="1">
        <f>(Tabela2[[#This Row],[TUE_tempo_uso_aparelhos_em_horas]]/Tabela2[[#This Row],[FAF_Var]])</f>
        <v>0.26384380952380954</v>
      </c>
      <c r="T747">
        <f>(Tabela2[[#This Row],[CAEC_lanche_entre_refeicoes]]*Tabela2[[#This Row],[FAVC_consumo_frequente_de_alimentos_mt_caloricos]])</f>
        <v>1</v>
      </c>
      <c r="U747" s="1">
        <f>IF(OR(Tabela2[[#This Row],[MTRANS]]="Walking",Tabela2[[#This Row],[MTRANS]]="Bike"),Tabela2[[#This Row],[FAF_atividade_fisica_frequente_em_horas]]+1,M747)</f>
        <v>2</v>
      </c>
      <c r="V747">
        <f>(Tabela2[[#This Row],[SMOKE]]+Tabela2[[#This Row],[CALC_bebe_alcool_frequentemente]])</f>
        <v>0</v>
      </c>
      <c r="W747" s="8">
        <f>(Tabela2[[#This Row],[Weight]]/(Tabela2[[#This Row],[Height]] ^2))</f>
        <v>26.361136160086645</v>
      </c>
    </row>
    <row r="748" spans="1:23" x14ac:dyDescent="0.25">
      <c r="A748" t="s">
        <v>15</v>
      </c>
      <c r="B748" s="7">
        <v>21.125836</v>
      </c>
      <c r="C748" s="4">
        <v>1.638085</v>
      </c>
      <c r="D748" s="7">
        <v>70</v>
      </c>
      <c r="E748">
        <v>0</v>
      </c>
      <c r="F748">
        <v>1</v>
      </c>
      <c r="G748" s="2">
        <v>2</v>
      </c>
      <c r="H748" s="2">
        <v>1</v>
      </c>
      <c r="I748">
        <v>0</v>
      </c>
      <c r="J748">
        <v>0</v>
      </c>
      <c r="K748" s="2">
        <v>2.1159669999999999</v>
      </c>
      <c r="L748">
        <v>0</v>
      </c>
      <c r="M748" s="7">
        <v>0.770536</v>
      </c>
      <c r="N748" s="7">
        <v>0</v>
      </c>
      <c r="O748">
        <v>1</v>
      </c>
      <c r="P748" t="s">
        <v>14</v>
      </c>
      <c r="Q748">
        <v>2</v>
      </c>
      <c r="R748" s="8">
        <f>(Tabela2[[#This Row],[FAF_atividade_fisica_frequente_em_horas]]+ 0.1)</f>
        <v>0.87053599999999998</v>
      </c>
      <c r="S748" s="1">
        <f>(Tabela2[[#This Row],[TUE_tempo_uso_aparelhos_em_horas]]/Tabela2[[#This Row],[FAF_Var]])</f>
        <v>0</v>
      </c>
      <c r="T748">
        <f>(Tabela2[[#This Row],[CAEC_lanche_entre_refeicoes]]*Tabela2[[#This Row],[FAVC_consumo_frequente_de_alimentos_mt_caloricos]])</f>
        <v>0</v>
      </c>
      <c r="U748" s="1">
        <f>IF(OR(Tabela2[[#This Row],[MTRANS]]="Walking",Tabela2[[#This Row],[MTRANS]]="Bike"),Tabela2[[#This Row],[FAF_atividade_fisica_frequente_em_horas]]+1,M748)</f>
        <v>0.770536</v>
      </c>
      <c r="V748">
        <f>(Tabela2[[#This Row],[SMOKE]]+Tabela2[[#This Row],[CALC_bebe_alcool_frequentemente]])</f>
        <v>1</v>
      </c>
      <c r="W748" s="8">
        <f>(Tabela2[[#This Row],[Weight]]/(Tabela2[[#This Row],[Height]] ^2))</f>
        <v>26.087062160811257</v>
      </c>
    </row>
    <row r="749" spans="1:23" x14ac:dyDescent="0.25">
      <c r="A749" t="s">
        <v>15</v>
      </c>
      <c r="B749" s="7">
        <v>25.191627</v>
      </c>
      <c r="C749" s="4">
        <v>1.8136779999999999</v>
      </c>
      <c r="D749" s="7">
        <v>85.637788999999998</v>
      </c>
      <c r="E749">
        <v>0</v>
      </c>
      <c r="F749">
        <v>1</v>
      </c>
      <c r="G749" s="2">
        <v>1.450218</v>
      </c>
      <c r="H749" s="2">
        <v>3.9854419999999999</v>
      </c>
      <c r="I749">
        <v>1</v>
      </c>
      <c r="J749">
        <v>0</v>
      </c>
      <c r="K749" s="2">
        <v>2.1477460000000002</v>
      </c>
      <c r="L749">
        <v>0</v>
      </c>
      <c r="M749" s="7">
        <v>4.6836000000000003E-2</v>
      </c>
      <c r="N749" s="7">
        <v>1</v>
      </c>
      <c r="O749">
        <v>0</v>
      </c>
      <c r="P749" t="s">
        <v>17</v>
      </c>
      <c r="Q749">
        <v>2</v>
      </c>
      <c r="R749" s="8">
        <f>(Tabela2[[#This Row],[FAF_atividade_fisica_frequente_em_horas]]+ 0.1)</f>
        <v>0.14683600000000002</v>
      </c>
      <c r="S749" s="1">
        <f>(Tabela2[[#This Row],[TUE_tempo_uso_aparelhos_em_horas]]/Tabela2[[#This Row],[FAF_Var]])</f>
        <v>6.8103189953417411</v>
      </c>
      <c r="T749">
        <f>(Tabela2[[#This Row],[CAEC_lanche_entre_refeicoes]]*Tabela2[[#This Row],[FAVC_consumo_frequente_de_alimentos_mt_caloricos]])</f>
        <v>1</v>
      </c>
      <c r="U749" s="1">
        <f>IF(OR(Tabela2[[#This Row],[MTRANS]]="Walking",Tabela2[[#This Row],[MTRANS]]="Bike"),Tabela2[[#This Row],[FAF_atividade_fisica_frequente_em_horas]]+1,M749)</f>
        <v>4.6836000000000003E-2</v>
      </c>
      <c r="V749">
        <f>(Tabela2[[#This Row],[SMOKE]]+Tabela2[[#This Row],[CALC_bebe_alcool_frequentemente]])</f>
        <v>0</v>
      </c>
      <c r="W749" s="8">
        <f>(Tabela2[[#This Row],[Weight]]/(Tabela2[[#This Row],[Height]] ^2))</f>
        <v>26.034250308583399</v>
      </c>
    </row>
    <row r="750" spans="1:23" x14ac:dyDescent="0.25">
      <c r="A750" t="s">
        <v>15</v>
      </c>
      <c r="B750" s="7">
        <v>21.963456999999998</v>
      </c>
      <c r="C750" s="4">
        <v>1.697228</v>
      </c>
      <c r="D750" s="7">
        <v>75.577100000000002</v>
      </c>
      <c r="E750">
        <v>1</v>
      </c>
      <c r="F750">
        <v>1</v>
      </c>
      <c r="G750" s="2">
        <v>2.204914</v>
      </c>
      <c r="H750" s="2">
        <v>3.623364</v>
      </c>
      <c r="I750">
        <v>1</v>
      </c>
      <c r="J750">
        <v>0</v>
      </c>
      <c r="K750" s="2">
        <v>1.815293</v>
      </c>
      <c r="L750">
        <v>0</v>
      </c>
      <c r="M750" s="7">
        <v>0.98931599999999997</v>
      </c>
      <c r="N750" s="7">
        <v>0</v>
      </c>
      <c r="O750">
        <v>1</v>
      </c>
      <c r="P750" t="s">
        <v>14</v>
      </c>
      <c r="Q750">
        <v>2</v>
      </c>
      <c r="R750" s="8">
        <f>(Tabela2[[#This Row],[FAF_atividade_fisica_frequente_em_horas]]+ 0.1)</f>
        <v>1.089316</v>
      </c>
      <c r="S750" s="1">
        <f>(Tabela2[[#This Row],[TUE_tempo_uso_aparelhos_em_horas]]/Tabela2[[#This Row],[FAF_Var]])</f>
        <v>0</v>
      </c>
      <c r="T750">
        <f>(Tabela2[[#This Row],[CAEC_lanche_entre_refeicoes]]*Tabela2[[#This Row],[FAVC_consumo_frequente_de_alimentos_mt_caloricos]])</f>
        <v>1</v>
      </c>
      <c r="U750" s="1">
        <f>IF(OR(Tabela2[[#This Row],[MTRANS]]="Walking",Tabela2[[#This Row],[MTRANS]]="Bike"),Tabela2[[#This Row],[FAF_atividade_fisica_frequente_em_horas]]+1,M750)</f>
        <v>0.98931599999999997</v>
      </c>
      <c r="V750">
        <f>(Tabela2[[#This Row],[SMOKE]]+Tabela2[[#This Row],[CALC_bebe_alcool_frequentemente]])</f>
        <v>1</v>
      </c>
      <c r="W750" s="8">
        <f>(Tabela2[[#This Row],[Weight]]/(Tabela2[[#This Row],[Height]] ^2))</f>
        <v>26.236738550453666</v>
      </c>
    </row>
    <row r="751" spans="1:23" x14ac:dyDescent="0.25">
      <c r="A751" t="s">
        <v>15</v>
      </c>
      <c r="B751" s="7">
        <v>21</v>
      </c>
      <c r="C751" s="4">
        <v>1.617469</v>
      </c>
      <c r="D751" s="7">
        <v>68.869791000000006</v>
      </c>
      <c r="E751">
        <v>0</v>
      </c>
      <c r="F751">
        <v>1</v>
      </c>
      <c r="G751" s="2">
        <v>1.2062759999999999</v>
      </c>
      <c r="H751" s="2">
        <v>3</v>
      </c>
      <c r="I751">
        <v>0</v>
      </c>
      <c r="J751">
        <v>0</v>
      </c>
      <c r="K751" s="2">
        <v>2.4065409999999998</v>
      </c>
      <c r="L751">
        <v>0</v>
      </c>
      <c r="M751" s="7">
        <v>0.94984000000000002</v>
      </c>
      <c r="N751" s="7">
        <v>0.47922100000000001</v>
      </c>
      <c r="O751">
        <v>1</v>
      </c>
      <c r="P751" t="s">
        <v>14</v>
      </c>
      <c r="Q751">
        <v>2</v>
      </c>
      <c r="R751" s="8">
        <f>(Tabela2[[#This Row],[FAF_atividade_fisica_frequente_em_horas]]+ 0.1)</f>
        <v>1.0498400000000001</v>
      </c>
      <c r="S751" s="1">
        <f>(Tabela2[[#This Row],[TUE_tempo_uso_aparelhos_em_horas]]/Tabela2[[#This Row],[FAF_Var]])</f>
        <v>0.45647050979196824</v>
      </c>
      <c r="T751">
        <f>(Tabela2[[#This Row],[CAEC_lanche_entre_refeicoes]]*Tabela2[[#This Row],[FAVC_consumo_frequente_de_alimentos_mt_caloricos]])</f>
        <v>0</v>
      </c>
      <c r="U751" s="1">
        <f>IF(OR(Tabela2[[#This Row],[MTRANS]]="Walking",Tabela2[[#This Row],[MTRANS]]="Bike"),Tabela2[[#This Row],[FAF_atividade_fisica_frequente_em_horas]]+1,M751)</f>
        <v>0.94984000000000002</v>
      </c>
      <c r="V751">
        <f>(Tabela2[[#This Row],[SMOKE]]+Tabela2[[#This Row],[CALC_bebe_alcool_frequentemente]])</f>
        <v>1</v>
      </c>
      <c r="W751" s="8">
        <f>(Tabela2[[#This Row],[Weight]]/(Tabela2[[#This Row],[Height]] ^2))</f>
        <v>26.32430011094419</v>
      </c>
    </row>
    <row r="752" spans="1:23" x14ac:dyDescent="0.25">
      <c r="A752" t="s">
        <v>15</v>
      </c>
      <c r="B752" s="7">
        <v>19.114981</v>
      </c>
      <c r="C752" s="4">
        <v>1.8555429999999999</v>
      </c>
      <c r="D752" s="7">
        <v>88.965520999999995</v>
      </c>
      <c r="E752">
        <v>1</v>
      </c>
      <c r="F752">
        <v>1</v>
      </c>
      <c r="G752" s="2">
        <v>2</v>
      </c>
      <c r="H752" s="2">
        <v>3</v>
      </c>
      <c r="I752">
        <v>1</v>
      </c>
      <c r="J752">
        <v>0</v>
      </c>
      <c r="K752" s="2">
        <v>1.0156769999999999</v>
      </c>
      <c r="L752">
        <v>0</v>
      </c>
      <c r="M752" s="7">
        <v>0</v>
      </c>
      <c r="N752" s="7">
        <v>0.37464999999999998</v>
      </c>
      <c r="O752">
        <v>1</v>
      </c>
      <c r="P752" t="s">
        <v>14</v>
      </c>
      <c r="Q752">
        <v>2</v>
      </c>
      <c r="R752" s="8">
        <f>(Tabela2[[#This Row],[FAF_atividade_fisica_frequente_em_horas]]+ 0.1)</f>
        <v>0.1</v>
      </c>
      <c r="S752" s="1">
        <f>(Tabela2[[#This Row],[TUE_tempo_uso_aparelhos_em_horas]]/Tabela2[[#This Row],[FAF_Var]])</f>
        <v>3.7464999999999997</v>
      </c>
      <c r="T752">
        <f>(Tabela2[[#This Row],[CAEC_lanche_entre_refeicoes]]*Tabela2[[#This Row],[FAVC_consumo_frequente_de_alimentos_mt_caloricos]])</f>
        <v>1</v>
      </c>
      <c r="U752" s="1">
        <f>IF(OR(Tabela2[[#This Row],[MTRANS]]="Walking",Tabela2[[#This Row],[MTRANS]]="Bike"),Tabela2[[#This Row],[FAF_atividade_fisica_frequente_em_horas]]+1,M752)</f>
        <v>0</v>
      </c>
      <c r="V752">
        <f>(Tabela2[[#This Row],[SMOKE]]+Tabela2[[#This Row],[CALC_bebe_alcool_frequentemente]])</f>
        <v>1</v>
      </c>
      <c r="W752" s="8">
        <f>(Tabela2[[#This Row],[Weight]]/(Tabela2[[#This Row],[Height]] ^2))</f>
        <v>25.839236699477247</v>
      </c>
    </row>
    <row r="753" spans="1:23" x14ac:dyDescent="0.25">
      <c r="A753" t="s">
        <v>13</v>
      </c>
      <c r="B753" s="7">
        <v>41.823566999999997</v>
      </c>
      <c r="C753" s="4">
        <v>1.721854</v>
      </c>
      <c r="D753" s="7">
        <v>82.919584</v>
      </c>
      <c r="E753">
        <v>0</v>
      </c>
      <c r="F753">
        <v>1</v>
      </c>
      <c r="G753" s="2">
        <v>2.8164600000000002</v>
      </c>
      <c r="H753" s="2">
        <v>3.36313</v>
      </c>
      <c r="I753">
        <v>1</v>
      </c>
      <c r="J753">
        <v>0</v>
      </c>
      <c r="K753" s="2">
        <v>2.7220629999999999</v>
      </c>
      <c r="L753">
        <v>0</v>
      </c>
      <c r="M753" s="7">
        <v>3</v>
      </c>
      <c r="N753" s="7">
        <v>0.26579000000000003</v>
      </c>
      <c r="O753">
        <v>1</v>
      </c>
      <c r="P753" t="s">
        <v>17</v>
      </c>
      <c r="Q753">
        <v>2</v>
      </c>
      <c r="R753" s="8">
        <f>(Tabela2[[#This Row],[FAF_atividade_fisica_frequente_em_horas]]+ 0.1)</f>
        <v>3.1</v>
      </c>
      <c r="S753" s="1">
        <f>(Tabela2[[#This Row],[TUE_tempo_uso_aparelhos_em_horas]]/Tabela2[[#This Row],[FAF_Var]])</f>
        <v>8.5738709677419367E-2</v>
      </c>
      <c r="T753">
        <f>(Tabela2[[#This Row],[CAEC_lanche_entre_refeicoes]]*Tabela2[[#This Row],[FAVC_consumo_frequente_de_alimentos_mt_caloricos]])</f>
        <v>1</v>
      </c>
      <c r="U753" s="1">
        <f>IF(OR(Tabela2[[#This Row],[MTRANS]]="Walking",Tabela2[[#This Row],[MTRANS]]="Bike"),Tabela2[[#This Row],[FAF_atividade_fisica_frequente_em_horas]]+1,M753)</f>
        <v>3</v>
      </c>
      <c r="V753">
        <f>(Tabela2[[#This Row],[SMOKE]]+Tabela2[[#This Row],[CALC_bebe_alcool_frequentemente]])</f>
        <v>1</v>
      </c>
      <c r="W753" s="8">
        <f>(Tabela2[[#This Row],[Weight]]/(Tabela2[[#This Row],[Height]] ^2))</f>
        <v>27.968196801526751</v>
      </c>
    </row>
    <row r="754" spans="1:23" x14ac:dyDescent="0.25">
      <c r="A754" t="s">
        <v>15</v>
      </c>
      <c r="B754" s="7">
        <v>21.142431999999999</v>
      </c>
      <c r="C754" s="4">
        <v>1.855353</v>
      </c>
      <c r="D754" s="7">
        <v>86.413387999999998</v>
      </c>
      <c r="E754">
        <v>1</v>
      </c>
      <c r="F754">
        <v>1</v>
      </c>
      <c r="G754" s="2">
        <v>2</v>
      </c>
      <c r="H754" s="2">
        <v>3</v>
      </c>
      <c r="I754">
        <v>1</v>
      </c>
      <c r="J754">
        <v>0</v>
      </c>
      <c r="K754" s="2">
        <v>1.3452980000000001</v>
      </c>
      <c r="L754">
        <v>0</v>
      </c>
      <c r="M754" s="7">
        <v>1.0979049999999999</v>
      </c>
      <c r="N754" s="7">
        <v>1</v>
      </c>
      <c r="O754">
        <v>1</v>
      </c>
      <c r="P754" t="s">
        <v>14</v>
      </c>
      <c r="Q754">
        <v>2</v>
      </c>
      <c r="R754" s="8">
        <f>(Tabela2[[#This Row],[FAF_atividade_fisica_frequente_em_horas]]+ 0.1)</f>
        <v>1.197905</v>
      </c>
      <c r="S754" s="1">
        <f>(Tabela2[[#This Row],[TUE_tempo_uso_aparelhos_em_horas]]/Tabela2[[#This Row],[FAF_Var]])</f>
        <v>0.83479073883154342</v>
      </c>
      <c r="T754">
        <f>(Tabela2[[#This Row],[CAEC_lanche_entre_refeicoes]]*Tabela2[[#This Row],[FAVC_consumo_frequente_de_alimentos_mt_caloricos]])</f>
        <v>1</v>
      </c>
      <c r="U754" s="1">
        <f>IF(OR(Tabela2[[#This Row],[MTRANS]]="Walking",Tabela2[[#This Row],[MTRANS]]="Bike"),Tabela2[[#This Row],[FAF_atividade_fisica_frequente_em_horas]]+1,M754)</f>
        <v>1.0979049999999999</v>
      </c>
      <c r="V754">
        <f>(Tabela2[[#This Row],[SMOKE]]+Tabela2[[#This Row],[CALC_bebe_alcool_frequentemente]])</f>
        <v>1</v>
      </c>
      <c r="W754" s="8">
        <f>(Tabela2[[#This Row],[Weight]]/(Tabela2[[#This Row],[Height]] ^2))</f>
        <v>25.103133239525778</v>
      </c>
    </row>
    <row r="755" spans="1:23" x14ac:dyDescent="0.25">
      <c r="A755" t="s">
        <v>15</v>
      </c>
      <c r="B755" s="7">
        <v>21.962426000000001</v>
      </c>
      <c r="C755" s="4">
        <v>1.6963360000000001</v>
      </c>
      <c r="D755" s="7">
        <v>75</v>
      </c>
      <c r="E755">
        <v>1</v>
      </c>
      <c r="F755">
        <v>1</v>
      </c>
      <c r="G755" s="2">
        <v>2</v>
      </c>
      <c r="H755" s="2">
        <v>3</v>
      </c>
      <c r="I755">
        <v>1</v>
      </c>
      <c r="J755">
        <v>0</v>
      </c>
      <c r="K755" s="2">
        <v>1.8256289999999999</v>
      </c>
      <c r="L755">
        <v>0</v>
      </c>
      <c r="M755" s="7">
        <v>0.69959199999999999</v>
      </c>
      <c r="N755" s="7">
        <v>0.14205599999999999</v>
      </c>
      <c r="O755">
        <v>1</v>
      </c>
      <c r="P755" t="s">
        <v>14</v>
      </c>
      <c r="Q755">
        <v>2</v>
      </c>
      <c r="R755" s="8">
        <f>(Tabela2[[#This Row],[FAF_atividade_fisica_frequente_em_horas]]+ 0.1)</f>
        <v>0.79959199999999997</v>
      </c>
      <c r="S755" s="1">
        <f>(Tabela2[[#This Row],[TUE_tempo_uso_aparelhos_em_horas]]/Tabela2[[#This Row],[FAF_Var]])</f>
        <v>0.17766060690952384</v>
      </c>
      <c r="T755">
        <f>(Tabela2[[#This Row],[CAEC_lanche_entre_refeicoes]]*Tabela2[[#This Row],[FAVC_consumo_frequente_de_alimentos_mt_caloricos]])</f>
        <v>1</v>
      </c>
      <c r="U755" s="1">
        <f>IF(OR(Tabela2[[#This Row],[MTRANS]]="Walking",Tabela2[[#This Row],[MTRANS]]="Bike"),Tabela2[[#This Row],[FAF_atividade_fisica_frequente_em_horas]]+1,M755)</f>
        <v>0.69959199999999999</v>
      </c>
      <c r="V755">
        <f>(Tabela2[[#This Row],[SMOKE]]+Tabela2[[#This Row],[CALC_bebe_alcool_frequentemente]])</f>
        <v>1</v>
      </c>
      <c r="W755" s="8">
        <f>(Tabela2[[#This Row],[Weight]]/(Tabela2[[#This Row],[Height]] ^2))</f>
        <v>26.063786269971196</v>
      </c>
    </row>
    <row r="756" spans="1:23" x14ac:dyDescent="0.25">
      <c r="A756" t="s">
        <v>13</v>
      </c>
      <c r="B756" s="7">
        <v>18.836314999999999</v>
      </c>
      <c r="C756" s="4">
        <v>1.7516309999999999</v>
      </c>
      <c r="D756" s="7">
        <v>80</v>
      </c>
      <c r="E756">
        <v>1</v>
      </c>
      <c r="F756">
        <v>1</v>
      </c>
      <c r="G756" s="2">
        <v>2</v>
      </c>
      <c r="H756" s="2">
        <v>1.7376199999999999</v>
      </c>
      <c r="I756">
        <v>1</v>
      </c>
      <c r="J756">
        <v>0</v>
      </c>
      <c r="K756" s="2">
        <v>2.2079780000000002</v>
      </c>
      <c r="L756">
        <v>0</v>
      </c>
      <c r="M756" s="7">
        <v>2.6410719999999999</v>
      </c>
      <c r="N756" s="7">
        <v>0.70704400000000001</v>
      </c>
      <c r="O756">
        <v>2</v>
      </c>
      <c r="P756" t="s">
        <v>14</v>
      </c>
      <c r="Q756">
        <v>2</v>
      </c>
      <c r="R756" s="8">
        <f>(Tabela2[[#This Row],[FAF_atividade_fisica_frequente_em_horas]]+ 0.1)</f>
        <v>2.741072</v>
      </c>
      <c r="S756" s="1">
        <f>(Tabela2[[#This Row],[TUE_tempo_uso_aparelhos_em_horas]]/Tabela2[[#This Row],[FAF_Var]])</f>
        <v>0.25794433710606651</v>
      </c>
      <c r="T756">
        <f>(Tabela2[[#This Row],[CAEC_lanche_entre_refeicoes]]*Tabela2[[#This Row],[FAVC_consumo_frequente_de_alimentos_mt_caloricos]])</f>
        <v>1</v>
      </c>
      <c r="U756" s="1">
        <f>IF(OR(Tabela2[[#This Row],[MTRANS]]="Walking",Tabela2[[#This Row],[MTRANS]]="Bike"),Tabela2[[#This Row],[FAF_atividade_fisica_frequente_em_horas]]+1,M756)</f>
        <v>2.6410719999999999</v>
      </c>
      <c r="V756">
        <f>(Tabela2[[#This Row],[SMOKE]]+Tabela2[[#This Row],[CALC_bebe_alcool_frequentemente]])</f>
        <v>2</v>
      </c>
      <c r="W756" s="8">
        <f>(Tabela2[[#This Row],[Weight]]/(Tabela2[[#This Row],[Height]] ^2))</f>
        <v>26.073824721960179</v>
      </c>
    </row>
    <row r="757" spans="1:23" x14ac:dyDescent="0.25">
      <c r="A757" t="s">
        <v>15</v>
      </c>
      <c r="B757" s="7">
        <v>23.572648000000001</v>
      </c>
      <c r="C757" s="4">
        <v>1.6983459999999999</v>
      </c>
      <c r="D757" s="7">
        <v>75</v>
      </c>
      <c r="E757">
        <v>1</v>
      </c>
      <c r="F757">
        <v>1</v>
      </c>
      <c r="G757" s="2">
        <v>2</v>
      </c>
      <c r="H757" s="2">
        <v>3</v>
      </c>
      <c r="I757">
        <v>1</v>
      </c>
      <c r="J757">
        <v>0</v>
      </c>
      <c r="K757" s="2">
        <v>2</v>
      </c>
      <c r="L757">
        <v>0</v>
      </c>
      <c r="M757" s="7">
        <v>0.34568399999999999</v>
      </c>
      <c r="N757" s="7">
        <v>1.4155359999999999</v>
      </c>
      <c r="O757">
        <v>1</v>
      </c>
      <c r="P757" t="s">
        <v>14</v>
      </c>
      <c r="Q757">
        <v>2</v>
      </c>
      <c r="R757" s="8">
        <f>(Tabela2[[#This Row],[FAF_atividade_fisica_frequente_em_horas]]+ 0.1)</f>
        <v>0.44568399999999997</v>
      </c>
      <c r="S757" s="1">
        <f>(Tabela2[[#This Row],[TUE_tempo_uso_aparelhos_em_horas]]/Tabela2[[#This Row],[FAF_Var]])</f>
        <v>3.1760978630599257</v>
      </c>
      <c r="T757">
        <f>(Tabela2[[#This Row],[CAEC_lanche_entre_refeicoes]]*Tabela2[[#This Row],[FAVC_consumo_frequente_de_alimentos_mt_caloricos]])</f>
        <v>1</v>
      </c>
      <c r="U757" s="1">
        <f>IF(OR(Tabela2[[#This Row],[MTRANS]]="Walking",Tabela2[[#This Row],[MTRANS]]="Bike"),Tabela2[[#This Row],[FAF_atividade_fisica_frequente_em_horas]]+1,M757)</f>
        <v>0.34568399999999999</v>
      </c>
      <c r="V757">
        <f>(Tabela2[[#This Row],[SMOKE]]+Tabela2[[#This Row],[CALC_bebe_alcool_frequentemente]])</f>
        <v>1</v>
      </c>
      <c r="W757" s="8">
        <f>(Tabela2[[#This Row],[Weight]]/(Tabela2[[#This Row],[Height]] ^2))</f>
        <v>26.002129564490307</v>
      </c>
    </row>
    <row r="758" spans="1:23" x14ac:dyDescent="0.25">
      <c r="A758" t="s">
        <v>13</v>
      </c>
      <c r="B758" s="7">
        <v>33.700749000000002</v>
      </c>
      <c r="C758" s="4">
        <v>1.642971</v>
      </c>
      <c r="D758" s="7">
        <v>74.803156999999999</v>
      </c>
      <c r="E758">
        <v>1</v>
      </c>
      <c r="F758">
        <v>0</v>
      </c>
      <c r="G758" s="2">
        <v>3</v>
      </c>
      <c r="H758" s="2">
        <v>1.1460520000000001</v>
      </c>
      <c r="I758">
        <v>1</v>
      </c>
      <c r="J758">
        <v>0</v>
      </c>
      <c r="K758" s="2">
        <v>1.0740479999999999</v>
      </c>
      <c r="L758">
        <v>0</v>
      </c>
      <c r="M758" s="7">
        <v>0.67993499999999996</v>
      </c>
      <c r="N758" s="7">
        <v>0</v>
      </c>
      <c r="O758">
        <v>1</v>
      </c>
      <c r="P758" t="s">
        <v>17</v>
      </c>
      <c r="Q758">
        <v>2</v>
      </c>
      <c r="R758" s="8">
        <f>(Tabela2[[#This Row],[FAF_atividade_fisica_frequente_em_horas]]+ 0.1)</f>
        <v>0.77993499999999993</v>
      </c>
      <c r="S758" s="1">
        <f>(Tabela2[[#This Row],[TUE_tempo_uso_aparelhos_em_horas]]/Tabela2[[#This Row],[FAF_Var]])</f>
        <v>0</v>
      </c>
      <c r="T758">
        <f>(Tabela2[[#This Row],[CAEC_lanche_entre_refeicoes]]*Tabela2[[#This Row],[FAVC_consumo_frequente_de_alimentos_mt_caloricos]])</f>
        <v>0</v>
      </c>
      <c r="U758" s="1">
        <f>IF(OR(Tabela2[[#This Row],[MTRANS]]="Walking",Tabela2[[#This Row],[MTRANS]]="Bike"),Tabela2[[#This Row],[FAF_atividade_fisica_frequente_em_horas]]+1,M758)</f>
        <v>0.67993499999999996</v>
      </c>
      <c r="V758">
        <f>(Tabela2[[#This Row],[SMOKE]]+Tabela2[[#This Row],[CALC_bebe_alcool_frequentemente]])</f>
        <v>1</v>
      </c>
      <c r="W758" s="8">
        <f>(Tabela2[[#This Row],[Weight]]/(Tabela2[[#This Row],[Height]] ^2))</f>
        <v>27.711506206254331</v>
      </c>
    </row>
    <row r="759" spans="1:23" x14ac:dyDescent="0.25">
      <c r="A759" t="s">
        <v>13</v>
      </c>
      <c r="B759" s="7">
        <v>21.845025</v>
      </c>
      <c r="C759" s="4">
        <v>1.6136680000000001</v>
      </c>
      <c r="D759" s="7">
        <v>68.126954999999995</v>
      </c>
      <c r="E759">
        <v>1</v>
      </c>
      <c r="F759">
        <v>1</v>
      </c>
      <c r="G759" s="2">
        <v>1.758394</v>
      </c>
      <c r="H759" s="2">
        <v>3.9819969999999998</v>
      </c>
      <c r="I759">
        <v>1</v>
      </c>
      <c r="J759">
        <v>0</v>
      </c>
      <c r="K759" s="2">
        <v>2.174248</v>
      </c>
      <c r="L759">
        <v>0</v>
      </c>
      <c r="M759" s="7">
        <v>0.92047599999999996</v>
      </c>
      <c r="N759" s="7">
        <v>1.358163</v>
      </c>
      <c r="O759">
        <v>1</v>
      </c>
      <c r="P759" t="s">
        <v>14</v>
      </c>
      <c r="Q759">
        <v>2</v>
      </c>
      <c r="R759" s="8">
        <f>(Tabela2[[#This Row],[FAF_atividade_fisica_frequente_em_horas]]+ 0.1)</f>
        <v>1.0204759999999999</v>
      </c>
      <c r="S759" s="1">
        <f>(Tabela2[[#This Row],[TUE_tempo_uso_aparelhos_em_horas]]/Tabela2[[#This Row],[FAF_Var]])</f>
        <v>1.3309112610193676</v>
      </c>
      <c r="T759">
        <f>(Tabela2[[#This Row],[CAEC_lanche_entre_refeicoes]]*Tabela2[[#This Row],[FAVC_consumo_frequente_de_alimentos_mt_caloricos]])</f>
        <v>1</v>
      </c>
      <c r="U759" s="1">
        <f>IF(OR(Tabela2[[#This Row],[MTRANS]]="Walking",Tabela2[[#This Row],[MTRANS]]="Bike"),Tabela2[[#This Row],[FAF_atividade_fisica_frequente_em_horas]]+1,M759)</f>
        <v>0.92047599999999996</v>
      </c>
      <c r="V759">
        <f>(Tabela2[[#This Row],[SMOKE]]+Tabela2[[#This Row],[CALC_bebe_alcool_frequentemente]])</f>
        <v>1</v>
      </c>
      <c r="W759" s="8">
        <f>(Tabela2[[#This Row],[Weight]]/(Tabela2[[#This Row],[Height]] ^2))</f>
        <v>26.163184548620098</v>
      </c>
    </row>
    <row r="760" spans="1:23" x14ac:dyDescent="0.25">
      <c r="A760" t="s">
        <v>15</v>
      </c>
      <c r="B760" s="7">
        <v>21</v>
      </c>
      <c r="C760" s="4">
        <v>1.6054040000000001</v>
      </c>
      <c r="D760" s="7">
        <v>68.226511000000002</v>
      </c>
      <c r="E760">
        <v>0</v>
      </c>
      <c r="F760">
        <v>1</v>
      </c>
      <c r="G760" s="2">
        <v>2</v>
      </c>
      <c r="H760" s="2">
        <v>1.9154</v>
      </c>
      <c r="I760">
        <v>0</v>
      </c>
      <c r="J760">
        <v>0</v>
      </c>
      <c r="K760" s="2">
        <v>3</v>
      </c>
      <c r="L760">
        <v>0</v>
      </c>
      <c r="M760" s="7">
        <v>1</v>
      </c>
      <c r="N760" s="7">
        <v>0</v>
      </c>
      <c r="O760">
        <v>1</v>
      </c>
      <c r="P760" t="s">
        <v>14</v>
      </c>
      <c r="Q760">
        <v>2</v>
      </c>
      <c r="R760" s="8">
        <f>(Tabela2[[#This Row],[FAF_atividade_fisica_frequente_em_horas]]+ 0.1)</f>
        <v>1.1000000000000001</v>
      </c>
      <c r="S760" s="1">
        <f>(Tabela2[[#This Row],[TUE_tempo_uso_aparelhos_em_horas]]/Tabela2[[#This Row],[FAF_Var]])</f>
        <v>0</v>
      </c>
      <c r="T760">
        <f>(Tabela2[[#This Row],[CAEC_lanche_entre_refeicoes]]*Tabela2[[#This Row],[FAVC_consumo_frequente_de_alimentos_mt_caloricos]])</f>
        <v>0</v>
      </c>
      <c r="U760" s="1">
        <f>IF(OR(Tabela2[[#This Row],[MTRANS]]="Walking",Tabela2[[#This Row],[MTRANS]]="Bike"),Tabela2[[#This Row],[FAF_atividade_fisica_frequente_em_horas]]+1,M760)</f>
        <v>1</v>
      </c>
      <c r="V760">
        <f>(Tabela2[[#This Row],[SMOKE]]+Tabela2[[#This Row],[CALC_bebe_alcool_frequentemente]])</f>
        <v>1</v>
      </c>
      <c r="W760" s="8">
        <f>(Tabela2[[#This Row],[Weight]]/(Tabela2[[#This Row],[Height]] ^2))</f>
        <v>26.471861457305877</v>
      </c>
    </row>
    <row r="761" spans="1:23" x14ac:dyDescent="0.25">
      <c r="A761" t="s">
        <v>13</v>
      </c>
      <c r="B761" s="7">
        <v>35.125400999999997</v>
      </c>
      <c r="C761" s="4">
        <v>1.5298339999999999</v>
      </c>
      <c r="D761" s="7">
        <v>62.903937999999997</v>
      </c>
      <c r="E761">
        <v>0</v>
      </c>
      <c r="F761">
        <v>1</v>
      </c>
      <c r="G761" s="2">
        <v>2</v>
      </c>
      <c r="H761" s="2">
        <v>2.1056159999999999</v>
      </c>
      <c r="I761">
        <v>1</v>
      </c>
      <c r="J761">
        <v>0</v>
      </c>
      <c r="K761" s="2">
        <v>1.4565809999999999</v>
      </c>
      <c r="L761">
        <v>0</v>
      </c>
      <c r="M761" s="7">
        <v>0</v>
      </c>
      <c r="N761" s="7">
        <v>0.99739999999999995</v>
      </c>
      <c r="O761">
        <v>1</v>
      </c>
      <c r="P761" t="s">
        <v>17</v>
      </c>
      <c r="Q761">
        <v>2</v>
      </c>
      <c r="R761" s="8">
        <f>(Tabela2[[#This Row],[FAF_atividade_fisica_frequente_em_horas]]+ 0.1)</f>
        <v>0.1</v>
      </c>
      <c r="S761" s="1">
        <f>(Tabela2[[#This Row],[TUE_tempo_uso_aparelhos_em_horas]]/Tabela2[[#This Row],[FAF_Var]])</f>
        <v>9.9739999999999984</v>
      </c>
      <c r="T761">
        <f>(Tabela2[[#This Row],[CAEC_lanche_entre_refeicoes]]*Tabela2[[#This Row],[FAVC_consumo_frequente_de_alimentos_mt_caloricos]])</f>
        <v>1</v>
      </c>
      <c r="U761" s="1">
        <f>IF(OR(Tabela2[[#This Row],[MTRANS]]="Walking",Tabela2[[#This Row],[MTRANS]]="Bike"),Tabela2[[#This Row],[FAF_atividade_fisica_frequente_em_horas]]+1,M761)</f>
        <v>0</v>
      </c>
      <c r="V761">
        <f>(Tabela2[[#This Row],[SMOKE]]+Tabela2[[#This Row],[CALC_bebe_alcool_frequentemente]])</f>
        <v>1</v>
      </c>
      <c r="W761" s="8">
        <f>(Tabela2[[#This Row],[Weight]]/(Tabela2[[#This Row],[Height]] ^2))</f>
        <v>26.877521451219351</v>
      </c>
    </row>
    <row r="762" spans="1:23" x14ac:dyDescent="0.25">
      <c r="A762" t="s">
        <v>13</v>
      </c>
      <c r="B762" s="7">
        <v>36.769646000000002</v>
      </c>
      <c r="C762" s="4">
        <v>1.55</v>
      </c>
      <c r="D762" s="7">
        <v>62.337721000000002</v>
      </c>
      <c r="E762">
        <v>1</v>
      </c>
      <c r="F762">
        <v>1</v>
      </c>
      <c r="G762" s="2">
        <v>2.392665</v>
      </c>
      <c r="H762" s="2">
        <v>3</v>
      </c>
      <c r="I762">
        <v>1</v>
      </c>
      <c r="J762">
        <v>0</v>
      </c>
      <c r="K762" s="2">
        <v>2.9510559999999999</v>
      </c>
      <c r="L762">
        <v>0</v>
      </c>
      <c r="M762" s="7">
        <v>0</v>
      </c>
      <c r="N762" s="7">
        <v>0.36913400000000002</v>
      </c>
      <c r="O762">
        <v>1</v>
      </c>
      <c r="P762" t="s">
        <v>17</v>
      </c>
      <c r="Q762">
        <v>2</v>
      </c>
      <c r="R762" s="8">
        <f>(Tabela2[[#This Row],[FAF_atividade_fisica_frequente_em_horas]]+ 0.1)</f>
        <v>0.1</v>
      </c>
      <c r="S762" s="1">
        <f>(Tabela2[[#This Row],[TUE_tempo_uso_aparelhos_em_horas]]/Tabela2[[#This Row],[FAF_Var]])</f>
        <v>3.6913399999999998</v>
      </c>
      <c r="T762">
        <f>(Tabela2[[#This Row],[CAEC_lanche_entre_refeicoes]]*Tabela2[[#This Row],[FAVC_consumo_frequente_de_alimentos_mt_caloricos]])</f>
        <v>1</v>
      </c>
      <c r="U762" s="1">
        <f>IF(OR(Tabela2[[#This Row],[MTRANS]]="Walking",Tabela2[[#This Row],[MTRANS]]="Bike"),Tabela2[[#This Row],[FAF_atividade_fisica_frequente_em_horas]]+1,M762)</f>
        <v>0</v>
      </c>
      <c r="V762">
        <f>(Tabela2[[#This Row],[SMOKE]]+Tabela2[[#This Row],[CALC_bebe_alcool_frequentemente]])</f>
        <v>1</v>
      </c>
      <c r="W762" s="8">
        <f>(Tabela2[[#This Row],[Weight]]/(Tabela2[[#This Row],[Height]] ^2))</f>
        <v>25.947022268470342</v>
      </c>
    </row>
    <row r="763" spans="1:23" x14ac:dyDescent="0.25">
      <c r="A763" t="s">
        <v>13</v>
      </c>
      <c r="B763" s="7">
        <v>21.868932000000001</v>
      </c>
      <c r="C763" s="4">
        <v>1.7312609999999999</v>
      </c>
      <c r="D763" s="7">
        <v>78.175706000000005</v>
      </c>
      <c r="E763">
        <v>1</v>
      </c>
      <c r="F763">
        <v>1</v>
      </c>
      <c r="G763" s="2">
        <v>2.5774270000000001</v>
      </c>
      <c r="H763" s="2">
        <v>1</v>
      </c>
      <c r="I763">
        <v>1</v>
      </c>
      <c r="J763">
        <v>0</v>
      </c>
      <c r="K763" s="2">
        <v>2</v>
      </c>
      <c r="L763">
        <v>0</v>
      </c>
      <c r="M763" s="7">
        <v>2.287423</v>
      </c>
      <c r="N763" s="7">
        <v>0</v>
      </c>
      <c r="O763">
        <v>1</v>
      </c>
      <c r="P763" t="s">
        <v>14</v>
      </c>
      <c r="Q763">
        <v>2</v>
      </c>
      <c r="R763" s="8">
        <f>(Tabela2[[#This Row],[FAF_atividade_fisica_frequente_em_horas]]+ 0.1)</f>
        <v>2.3874230000000001</v>
      </c>
      <c r="S763" s="1">
        <f>(Tabela2[[#This Row],[TUE_tempo_uso_aparelhos_em_horas]]/Tabela2[[#This Row],[FAF_Var]])</f>
        <v>0</v>
      </c>
      <c r="T763">
        <f>(Tabela2[[#This Row],[CAEC_lanche_entre_refeicoes]]*Tabela2[[#This Row],[FAVC_consumo_frequente_de_alimentos_mt_caloricos]])</f>
        <v>1</v>
      </c>
      <c r="U763" s="1">
        <f>IF(OR(Tabela2[[#This Row],[MTRANS]]="Walking",Tabela2[[#This Row],[MTRANS]]="Bike"),Tabela2[[#This Row],[FAF_atividade_fisica_frequente_em_horas]]+1,M763)</f>
        <v>2.287423</v>
      </c>
      <c r="V763">
        <f>(Tabela2[[#This Row],[SMOKE]]+Tabela2[[#This Row],[CALC_bebe_alcool_frequentemente]])</f>
        <v>1</v>
      </c>
      <c r="W763" s="8">
        <f>(Tabela2[[#This Row],[Weight]]/(Tabela2[[#This Row],[Height]] ^2))</f>
        <v>26.082350117746209</v>
      </c>
    </row>
    <row r="764" spans="1:23" x14ac:dyDescent="0.25">
      <c r="A764" t="s">
        <v>15</v>
      </c>
      <c r="B764" s="7">
        <v>22.549208</v>
      </c>
      <c r="C764" s="4">
        <v>1.629194</v>
      </c>
      <c r="D764" s="7">
        <v>70</v>
      </c>
      <c r="E764">
        <v>0</v>
      </c>
      <c r="F764">
        <v>1</v>
      </c>
      <c r="G764" s="2">
        <v>2</v>
      </c>
      <c r="H764" s="2">
        <v>1</v>
      </c>
      <c r="I764">
        <v>0</v>
      </c>
      <c r="J764">
        <v>0</v>
      </c>
      <c r="K764" s="2">
        <v>2.8033109999999999</v>
      </c>
      <c r="L764">
        <v>0</v>
      </c>
      <c r="M764" s="7">
        <v>0.24535399999999999</v>
      </c>
      <c r="N764" s="7">
        <v>0</v>
      </c>
      <c r="O764">
        <v>1</v>
      </c>
      <c r="P764" t="s">
        <v>14</v>
      </c>
      <c r="Q764">
        <v>2</v>
      </c>
      <c r="R764" s="8">
        <f>(Tabela2[[#This Row],[FAF_atividade_fisica_frequente_em_horas]]+ 0.1)</f>
        <v>0.34535399999999999</v>
      </c>
      <c r="S764" s="1">
        <f>(Tabela2[[#This Row],[TUE_tempo_uso_aparelhos_em_horas]]/Tabela2[[#This Row],[FAF_Var]])</f>
        <v>0</v>
      </c>
      <c r="T764">
        <f>(Tabela2[[#This Row],[CAEC_lanche_entre_refeicoes]]*Tabela2[[#This Row],[FAVC_consumo_frequente_de_alimentos_mt_caloricos]])</f>
        <v>0</v>
      </c>
      <c r="U764" s="1">
        <f>IF(OR(Tabela2[[#This Row],[MTRANS]]="Walking",Tabela2[[#This Row],[MTRANS]]="Bike"),Tabela2[[#This Row],[FAF_atividade_fisica_frequente_em_horas]]+1,M764)</f>
        <v>0.24535399999999999</v>
      </c>
      <c r="V764">
        <f>(Tabela2[[#This Row],[SMOKE]]+Tabela2[[#This Row],[CALC_bebe_alcool_frequentemente]])</f>
        <v>1</v>
      </c>
      <c r="W764" s="8">
        <f>(Tabela2[[#This Row],[Weight]]/(Tabela2[[#This Row],[Height]] ^2))</f>
        <v>26.372568924171855</v>
      </c>
    </row>
    <row r="765" spans="1:23" x14ac:dyDescent="0.25">
      <c r="A765" t="s">
        <v>15</v>
      </c>
      <c r="B765" s="7">
        <v>21</v>
      </c>
      <c r="C765" s="4">
        <v>1.62</v>
      </c>
      <c r="D765" s="7">
        <v>70</v>
      </c>
      <c r="E765">
        <v>0</v>
      </c>
      <c r="F765">
        <v>1</v>
      </c>
      <c r="G765" s="2">
        <v>2</v>
      </c>
      <c r="H765" s="2">
        <v>1</v>
      </c>
      <c r="I765">
        <v>0</v>
      </c>
      <c r="J765">
        <v>0</v>
      </c>
      <c r="K765" s="2">
        <v>3</v>
      </c>
      <c r="L765">
        <v>0</v>
      </c>
      <c r="M765" s="7">
        <v>1</v>
      </c>
      <c r="N765" s="7">
        <v>0</v>
      </c>
      <c r="O765">
        <v>1</v>
      </c>
      <c r="P765" t="s">
        <v>14</v>
      </c>
      <c r="Q765">
        <v>2</v>
      </c>
      <c r="R765" s="8">
        <f>(Tabela2[[#This Row],[FAF_atividade_fisica_frequente_em_horas]]+ 0.1)</f>
        <v>1.1000000000000001</v>
      </c>
      <c r="S765" s="1">
        <f>(Tabela2[[#This Row],[TUE_tempo_uso_aparelhos_em_horas]]/Tabela2[[#This Row],[FAF_Var]])</f>
        <v>0</v>
      </c>
      <c r="T765">
        <f>(Tabela2[[#This Row],[CAEC_lanche_entre_refeicoes]]*Tabela2[[#This Row],[FAVC_consumo_frequente_de_alimentos_mt_caloricos]])</f>
        <v>0</v>
      </c>
      <c r="U765" s="1">
        <f>IF(OR(Tabela2[[#This Row],[MTRANS]]="Walking",Tabela2[[#This Row],[MTRANS]]="Bike"),Tabela2[[#This Row],[FAF_atividade_fisica_frequente_em_horas]]+1,M765)</f>
        <v>1</v>
      </c>
      <c r="V765">
        <f>(Tabela2[[#This Row],[SMOKE]]+Tabela2[[#This Row],[CALC_bebe_alcool_frequentemente]])</f>
        <v>1</v>
      </c>
      <c r="W765" s="8">
        <f>(Tabela2[[#This Row],[Weight]]/(Tabela2[[#This Row],[Height]] ^2))</f>
        <v>26.672763298277697</v>
      </c>
    </row>
    <row r="766" spans="1:23" x14ac:dyDescent="0.25">
      <c r="A766" t="s">
        <v>15</v>
      </c>
      <c r="B766" s="7">
        <v>21</v>
      </c>
      <c r="C766" s="4">
        <v>1.62</v>
      </c>
      <c r="D766" s="7">
        <v>70</v>
      </c>
      <c r="E766">
        <v>0</v>
      </c>
      <c r="F766">
        <v>1</v>
      </c>
      <c r="G766" s="2">
        <v>2</v>
      </c>
      <c r="H766" s="2">
        <v>1</v>
      </c>
      <c r="I766">
        <v>0</v>
      </c>
      <c r="J766">
        <v>0</v>
      </c>
      <c r="K766" s="2">
        <v>3</v>
      </c>
      <c r="L766">
        <v>0</v>
      </c>
      <c r="M766" s="7">
        <v>1</v>
      </c>
      <c r="N766" s="7">
        <v>0</v>
      </c>
      <c r="O766">
        <v>1</v>
      </c>
      <c r="P766" t="s">
        <v>14</v>
      </c>
      <c r="Q766">
        <v>2</v>
      </c>
      <c r="R766" s="8">
        <f>(Tabela2[[#This Row],[FAF_atividade_fisica_frequente_em_horas]]+ 0.1)</f>
        <v>1.1000000000000001</v>
      </c>
      <c r="S766" s="1">
        <f>(Tabela2[[#This Row],[TUE_tempo_uso_aparelhos_em_horas]]/Tabela2[[#This Row],[FAF_Var]])</f>
        <v>0</v>
      </c>
      <c r="T766">
        <f>(Tabela2[[#This Row],[CAEC_lanche_entre_refeicoes]]*Tabela2[[#This Row],[FAVC_consumo_frequente_de_alimentos_mt_caloricos]])</f>
        <v>0</v>
      </c>
      <c r="U766" s="1">
        <f>IF(OR(Tabela2[[#This Row],[MTRANS]]="Walking",Tabela2[[#This Row],[MTRANS]]="Bike"),Tabela2[[#This Row],[FAF_atividade_fisica_frequente_em_horas]]+1,M766)</f>
        <v>1</v>
      </c>
      <c r="V766">
        <f>(Tabela2[[#This Row],[SMOKE]]+Tabela2[[#This Row],[CALC_bebe_alcool_frequentemente]])</f>
        <v>1</v>
      </c>
      <c r="W766" s="8">
        <f>(Tabela2[[#This Row],[Weight]]/(Tabela2[[#This Row],[Height]] ^2))</f>
        <v>26.672763298277697</v>
      </c>
    </row>
    <row r="767" spans="1:23" x14ac:dyDescent="0.25">
      <c r="A767" t="s">
        <v>13</v>
      </c>
      <c r="B767" s="7">
        <v>30.958957000000002</v>
      </c>
      <c r="C767" s="4">
        <v>1.633491</v>
      </c>
      <c r="D767" s="7">
        <v>68.803693999999993</v>
      </c>
      <c r="E767">
        <v>1</v>
      </c>
      <c r="F767">
        <v>1</v>
      </c>
      <c r="G767" s="2">
        <v>2.052152</v>
      </c>
      <c r="H767" s="2">
        <v>3</v>
      </c>
      <c r="I767">
        <v>1</v>
      </c>
      <c r="J767">
        <v>0</v>
      </c>
      <c r="K767" s="2">
        <v>1.9720740000000001</v>
      </c>
      <c r="L767">
        <v>0</v>
      </c>
      <c r="M767" s="7">
        <v>0.22830700000000001</v>
      </c>
      <c r="N767" s="7">
        <v>0</v>
      </c>
      <c r="O767">
        <v>1</v>
      </c>
      <c r="P767" t="s">
        <v>17</v>
      </c>
      <c r="Q767">
        <v>2</v>
      </c>
      <c r="R767" s="8">
        <f>(Tabela2[[#This Row],[FAF_atividade_fisica_frequente_em_horas]]+ 0.1)</f>
        <v>0.32830700000000002</v>
      </c>
      <c r="S767" s="1">
        <f>(Tabela2[[#This Row],[TUE_tempo_uso_aparelhos_em_horas]]/Tabela2[[#This Row],[FAF_Var]])</f>
        <v>0</v>
      </c>
      <c r="T767">
        <f>(Tabela2[[#This Row],[CAEC_lanche_entre_refeicoes]]*Tabela2[[#This Row],[FAVC_consumo_frequente_de_alimentos_mt_caloricos]])</f>
        <v>1</v>
      </c>
      <c r="U767" s="1">
        <f>IF(OR(Tabela2[[#This Row],[MTRANS]]="Walking",Tabela2[[#This Row],[MTRANS]]="Bike"),Tabela2[[#This Row],[FAF_atividade_fisica_frequente_em_horas]]+1,M767)</f>
        <v>0.22830700000000001</v>
      </c>
      <c r="V767">
        <f>(Tabela2[[#This Row],[SMOKE]]+Tabela2[[#This Row],[CALC_bebe_alcool_frequentemente]])</f>
        <v>1</v>
      </c>
      <c r="W767" s="8">
        <f>(Tabela2[[#This Row],[Weight]]/(Tabela2[[#This Row],[Height]] ^2))</f>
        <v>25.785660698850329</v>
      </c>
    </row>
    <row r="768" spans="1:23" x14ac:dyDescent="0.25">
      <c r="A768" t="s">
        <v>15</v>
      </c>
      <c r="B768" s="7">
        <v>21.017382999999999</v>
      </c>
      <c r="C768" s="4">
        <v>1.752391</v>
      </c>
      <c r="D768" s="7">
        <v>79.109637000000006</v>
      </c>
      <c r="E768">
        <v>1</v>
      </c>
      <c r="F768">
        <v>1</v>
      </c>
      <c r="G768" s="2">
        <v>3</v>
      </c>
      <c r="H768" s="2">
        <v>1</v>
      </c>
      <c r="I768">
        <v>1</v>
      </c>
      <c r="J768">
        <v>0</v>
      </c>
      <c r="K768" s="2">
        <v>2</v>
      </c>
      <c r="L768">
        <v>0</v>
      </c>
      <c r="M768" s="7">
        <v>2.5722299999999998</v>
      </c>
      <c r="N768" s="7">
        <v>0</v>
      </c>
      <c r="O768">
        <v>1</v>
      </c>
      <c r="P768" t="s">
        <v>17</v>
      </c>
      <c r="Q768">
        <v>2</v>
      </c>
      <c r="R768" s="8">
        <f>(Tabela2[[#This Row],[FAF_atividade_fisica_frequente_em_horas]]+ 0.1)</f>
        <v>2.6722299999999999</v>
      </c>
      <c r="S768" s="1">
        <f>(Tabela2[[#This Row],[TUE_tempo_uso_aparelhos_em_horas]]/Tabela2[[#This Row],[FAF_Var]])</f>
        <v>0</v>
      </c>
      <c r="T768">
        <f>(Tabela2[[#This Row],[CAEC_lanche_entre_refeicoes]]*Tabela2[[#This Row],[FAVC_consumo_frequente_de_alimentos_mt_caloricos]])</f>
        <v>1</v>
      </c>
      <c r="U768" s="1">
        <f>IF(OR(Tabela2[[#This Row],[MTRANS]]="Walking",Tabela2[[#This Row],[MTRANS]]="Bike"),Tabela2[[#This Row],[FAF_atividade_fisica_frequente_em_horas]]+1,M768)</f>
        <v>2.5722299999999998</v>
      </c>
      <c r="V768">
        <f>(Tabela2[[#This Row],[SMOKE]]+Tabela2[[#This Row],[CALC_bebe_alcool_frequentemente]])</f>
        <v>1</v>
      </c>
      <c r="W768" s="8">
        <f>(Tabela2[[#This Row],[Weight]]/(Tabela2[[#This Row],[Height]] ^2))</f>
        <v>25.761275588926406</v>
      </c>
    </row>
    <row r="769" spans="1:23" x14ac:dyDescent="0.25">
      <c r="A769" t="s">
        <v>15</v>
      </c>
      <c r="B769" s="7">
        <v>19.623574000000001</v>
      </c>
      <c r="C769" s="4">
        <v>1.8182259999999999</v>
      </c>
      <c r="D769" s="7">
        <v>85.833028999999996</v>
      </c>
      <c r="E769">
        <v>1</v>
      </c>
      <c r="F769">
        <v>1</v>
      </c>
      <c r="G769" s="2">
        <v>2.954996</v>
      </c>
      <c r="H769" s="2">
        <v>3.7148330000000001</v>
      </c>
      <c r="I769">
        <v>1</v>
      </c>
      <c r="J769">
        <v>0</v>
      </c>
      <c r="K769" s="2">
        <v>2.4309180000000001</v>
      </c>
      <c r="L769">
        <v>0</v>
      </c>
      <c r="M769" s="7">
        <v>2.5459309999999999</v>
      </c>
      <c r="N769" s="7">
        <v>0.46973500000000001</v>
      </c>
      <c r="O769">
        <v>1</v>
      </c>
      <c r="P769" t="s">
        <v>14</v>
      </c>
      <c r="Q769">
        <v>2</v>
      </c>
      <c r="R769" s="8">
        <f>(Tabela2[[#This Row],[FAF_atividade_fisica_frequente_em_horas]]+ 0.1)</f>
        <v>2.645931</v>
      </c>
      <c r="S769" s="1">
        <f>(Tabela2[[#This Row],[TUE_tempo_uso_aparelhos_em_horas]]/Tabela2[[#This Row],[FAF_Var]])</f>
        <v>0.1775310845218564</v>
      </c>
      <c r="T769">
        <f>(Tabela2[[#This Row],[CAEC_lanche_entre_refeicoes]]*Tabela2[[#This Row],[FAVC_consumo_frequente_de_alimentos_mt_caloricos]])</f>
        <v>1</v>
      </c>
      <c r="U769" s="1">
        <f>IF(OR(Tabela2[[#This Row],[MTRANS]]="Walking",Tabela2[[#This Row],[MTRANS]]="Bike"),Tabela2[[#This Row],[FAF_atividade_fisica_frequente_em_horas]]+1,M769)</f>
        <v>2.5459309999999999</v>
      </c>
      <c r="V769">
        <f>(Tabela2[[#This Row],[SMOKE]]+Tabela2[[#This Row],[CALC_bebe_alcool_frequentemente]])</f>
        <v>1</v>
      </c>
      <c r="W769" s="8">
        <f>(Tabela2[[#This Row],[Weight]]/(Tabela2[[#This Row],[Height]] ^2))</f>
        <v>25.963229444217983</v>
      </c>
    </row>
    <row r="770" spans="1:23" x14ac:dyDescent="0.25">
      <c r="A770" t="s">
        <v>15</v>
      </c>
      <c r="B770" s="7">
        <v>19.637947</v>
      </c>
      <c r="C770" s="4">
        <v>1.8091010000000001</v>
      </c>
      <c r="D770" s="7">
        <v>85</v>
      </c>
      <c r="E770">
        <v>1</v>
      </c>
      <c r="F770">
        <v>1</v>
      </c>
      <c r="G770" s="2">
        <v>3</v>
      </c>
      <c r="H770" s="2">
        <v>3</v>
      </c>
      <c r="I770">
        <v>1</v>
      </c>
      <c r="J770">
        <v>0</v>
      </c>
      <c r="K770" s="2">
        <v>2.229171</v>
      </c>
      <c r="L770">
        <v>0</v>
      </c>
      <c r="M770" s="7">
        <v>1.607953</v>
      </c>
      <c r="N770" s="7">
        <v>0.62805900000000003</v>
      </c>
      <c r="O770">
        <v>1</v>
      </c>
      <c r="P770" t="s">
        <v>14</v>
      </c>
      <c r="Q770">
        <v>2</v>
      </c>
      <c r="R770" s="8">
        <f>(Tabela2[[#This Row],[FAF_atividade_fisica_frequente_em_horas]]+ 0.1)</f>
        <v>1.7079530000000001</v>
      </c>
      <c r="S770" s="1">
        <f>(Tabela2[[#This Row],[TUE_tempo_uso_aparelhos_em_horas]]/Tabela2[[#This Row],[FAF_Var]])</f>
        <v>0.36772616108288697</v>
      </c>
      <c r="T770">
        <f>(Tabela2[[#This Row],[CAEC_lanche_entre_refeicoes]]*Tabela2[[#This Row],[FAVC_consumo_frequente_de_alimentos_mt_caloricos]])</f>
        <v>1</v>
      </c>
      <c r="U770" s="1">
        <f>IF(OR(Tabela2[[#This Row],[MTRANS]]="Walking",Tabela2[[#This Row],[MTRANS]]="Bike"),Tabela2[[#This Row],[FAF_atividade_fisica_frequente_em_horas]]+1,M770)</f>
        <v>1.607953</v>
      </c>
      <c r="V770">
        <f>(Tabela2[[#This Row],[SMOKE]]+Tabela2[[#This Row],[CALC_bebe_alcool_frequentemente]])</f>
        <v>1</v>
      </c>
      <c r="W770" s="8">
        <f>(Tabela2[[#This Row],[Weight]]/(Tabela2[[#This Row],[Height]] ^2))</f>
        <v>25.97127664395861</v>
      </c>
    </row>
    <row r="771" spans="1:23" x14ac:dyDescent="0.25">
      <c r="A771" t="s">
        <v>15</v>
      </c>
      <c r="B771" s="7">
        <v>21.413641999999999</v>
      </c>
      <c r="C771" s="4">
        <v>1.709484</v>
      </c>
      <c r="D771" s="7">
        <v>75</v>
      </c>
      <c r="E771">
        <v>1</v>
      </c>
      <c r="F771">
        <v>1</v>
      </c>
      <c r="G771" s="2">
        <v>2</v>
      </c>
      <c r="H771" s="2">
        <v>3</v>
      </c>
      <c r="I771">
        <v>1</v>
      </c>
      <c r="J771">
        <v>0</v>
      </c>
      <c r="K771" s="2">
        <v>2.8437770000000002</v>
      </c>
      <c r="L771">
        <v>0</v>
      </c>
      <c r="M771" s="7">
        <v>2.0223149999999999</v>
      </c>
      <c r="N771" s="7">
        <v>9.2540000000000001E-3</v>
      </c>
      <c r="O771">
        <v>1</v>
      </c>
      <c r="P771" t="s">
        <v>14</v>
      </c>
      <c r="Q771">
        <v>2</v>
      </c>
      <c r="R771" s="8">
        <f>(Tabela2[[#This Row],[FAF_atividade_fisica_frequente_em_horas]]+ 0.1)</f>
        <v>2.122315</v>
      </c>
      <c r="S771" s="1">
        <f>(Tabela2[[#This Row],[TUE_tempo_uso_aparelhos_em_horas]]/Tabela2[[#This Row],[FAF_Var]])</f>
        <v>4.360332938324424E-3</v>
      </c>
      <c r="T771">
        <f>(Tabela2[[#This Row],[CAEC_lanche_entre_refeicoes]]*Tabela2[[#This Row],[FAVC_consumo_frequente_de_alimentos_mt_caloricos]])</f>
        <v>1</v>
      </c>
      <c r="U771" s="1">
        <f>IF(OR(Tabela2[[#This Row],[MTRANS]]="Walking",Tabela2[[#This Row],[MTRANS]]="Bike"),Tabela2[[#This Row],[FAF_atividade_fisica_frequente_em_horas]]+1,M771)</f>
        <v>2.0223149999999999</v>
      </c>
      <c r="V771">
        <f>(Tabela2[[#This Row],[SMOKE]]+Tabela2[[#This Row],[CALC_bebe_alcool_frequentemente]])</f>
        <v>1</v>
      </c>
      <c r="W771" s="8">
        <f>(Tabela2[[#This Row],[Weight]]/(Tabela2[[#This Row],[Height]] ^2))</f>
        <v>25.664403971709387</v>
      </c>
    </row>
    <row r="772" spans="1:23" x14ac:dyDescent="0.25">
      <c r="A772" t="s">
        <v>15</v>
      </c>
      <c r="B772" s="7">
        <v>21.029633</v>
      </c>
      <c r="C772" s="4">
        <v>1.6070819999999999</v>
      </c>
      <c r="D772" s="7">
        <v>67.722222000000002</v>
      </c>
      <c r="E772">
        <v>1</v>
      </c>
      <c r="F772">
        <v>1</v>
      </c>
      <c r="G772" s="2">
        <v>2</v>
      </c>
      <c r="H772" s="2">
        <v>3.6912259999999999</v>
      </c>
      <c r="I772">
        <v>0</v>
      </c>
      <c r="J772">
        <v>0</v>
      </c>
      <c r="K772" s="2">
        <v>3</v>
      </c>
      <c r="L772">
        <v>0</v>
      </c>
      <c r="M772" s="7">
        <v>1.2281359999999999</v>
      </c>
      <c r="N772" s="7">
        <v>0.3352</v>
      </c>
      <c r="O772">
        <v>1</v>
      </c>
      <c r="P772" t="s">
        <v>14</v>
      </c>
      <c r="Q772">
        <v>2</v>
      </c>
      <c r="R772" s="8">
        <f>(Tabela2[[#This Row],[FAF_atividade_fisica_frequente_em_horas]]+ 0.1)</f>
        <v>1.328136</v>
      </c>
      <c r="S772" s="1">
        <f>(Tabela2[[#This Row],[TUE_tempo_uso_aparelhos_em_horas]]/Tabela2[[#This Row],[FAF_Var]])</f>
        <v>0.25238379202129901</v>
      </c>
      <c r="T772">
        <f>(Tabela2[[#This Row],[CAEC_lanche_entre_refeicoes]]*Tabela2[[#This Row],[FAVC_consumo_frequente_de_alimentos_mt_caloricos]])</f>
        <v>0</v>
      </c>
      <c r="U772" s="1">
        <f>IF(OR(Tabela2[[#This Row],[MTRANS]]="Walking",Tabela2[[#This Row],[MTRANS]]="Bike"),Tabela2[[#This Row],[FAF_atividade_fisica_frequente_em_horas]]+1,M772)</f>
        <v>1.2281359999999999</v>
      </c>
      <c r="V772">
        <f>(Tabela2[[#This Row],[SMOKE]]+Tabela2[[#This Row],[CALC_bebe_alcool_frequentemente]])</f>
        <v>1</v>
      </c>
      <c r="W772" s="8">
        <f>(Tabela2[[#This Row],[Weight]]/(Tabela2[[#This Row],[Height]] ^2))</f>
        <v>26.221354705590574</v>
      </c>
    </row>
    <row r="773" spans="1:23" x14ac:dyDescent="0.25">
      <c r="A773" t="s">
        <v>13</v>
      </c>
      <c r="B773" s="7">
        <v>22.667596</v>
      </c>
      <c r="C773" s="4">
        <v>1.718939</v>
      </c>
      <c r="D773" s="7">
        <v>75.951471999999995</v>
      </c>
      <c r="E773">
        <v>1</v>
      </c>
      <c r="F773">
        <v>1</v>
      </c>
      <c r="G773" s="2">
        <v>2</v>
      </c>
      <c r="H773" s="2">
        <v>3</v>
      </c>
      <c r="I773">
        <v>2</v>
      </c>
      <c r="J773">
        <v>0</v>
      </c>
      <c r="K773" s="2">
        <v>2</v>
      </c>
      <c r="L773">
        <v>0</v>
      </c>
      <c r="M773" s="7">
        <v>0</v>
      </c>
      <c r="N773" s="7">
        <v>2</v>
      </c>
      <c r="O773">
        <v>1</v>
      </c>
      <c r="P773" t="s">
        <v>14</v>
      </c>
      <c r="Q773">
        <v>2</v>
      </c>
      <c r="R773" s="8">
        <f>(Tabela2[[#This Row],[FAF_atividade_fisica_frequente_em_horas]]+ 0.1)</f>
        <v>0.1</v>
      </c>
      <c r="S773" s="1">
        <f>(Tabela2[[#This Row],[TUE_tempo_uso_aparelhos_em_horas]]/Tabela2[[#This Row],[FAF_Var]])</f>
        <v>20</v>
      </c>
      <c r="T773">
        <f>(Tabela2[[#This Row],[CAEC_lanche_entre_refeicoes]]*Tabela2[[#This Row],[FAVC_consumo_frequente_de_alimentos_mt_caloricos]])</f>
        <v>2</v>
      </c>
      <c r="U773" s="1">
        <f>IF(OR(Tabela2[[#This Row],[MTRANS]]="Walking",Tabela2[[#This Row],[MTRANS]]="Bike"),Tabela2[[#This Row],[FAF_atividade_fisica_frequente_em_horas]]+1,M773)</f>
        <v>0</v>
      </c>
      <c r="V773">
        <f>(Tabela2[[#This Row],[SMOKE]]+Tabela2[[#This Row],[CALC_bebe_alcool_frequentemente]])</f>
        <v>1</v>
      </c>
      <c r="W773" s="8">
        <f>(Tabela2[[#This Row],[Weight]]/(Tabela2[[#This Row],[Height]] ^2))</f>
        <v>25.704861308306967</v>
      </c>
    </row>
    <row r="774" spans="1:23" x14ac:dyDescent="0.25">
      <c r="A774" t="s">
        <v>15</v>
      </c>
      <c r="B774" s="7">
        <v>20</v>
      </c>
      <c r="C774" s="4">
        <v>1.8313569999999999</v>
      </c>
      <c r="D774" s="7">
        <v>89.652557000000002</v>
      </c>
      <c r="E774">
        <v>1</v>
      </c>
      <c r="F774">
        <v>1</v>
      </c>
      <c r="G774" s="2">
        <v>2.5554009999999998</v>
      </c>
      <c r="H774" s="2">
        <v>3.292386</v>
      </c>
      <c r="I774">
        <v>1</v>
      </c>
      <c r="J774">
        <v>0</v>
      </c>
      <c r="K774" s="2">
        <v>3</v>
      </c>
      <c r="L774">
        <v>0</v>
      </c>
      <c r="M774" s="7">
        <v>2</v>
      </c>
      <c r="N774" s="7">
        <v>0.31591799999999998</v>
      </c>
      <c r="O774">
        <v>1</v>
      </c>
      <c r="P774" t="s">
        <v>14</v>
      </c>
      <c r="Q774">
        <v>2</v>
      </c>
      <c r="R774" s="8">
        <f>(Tabela2[[#This Row],[FAF_atividade_fisica_frequente_em_horas]]+ 0.1)</f>
        <v>2.1</v>
      </c>
      <c r="S774" s="1">
        <f>(Tabela2[[#This Row],[TUE_tempo_uso_aparelhos_em_horas]]/Tabela2[[#This Row],[FAF_Var]])</f>
        <v>0.15043714285714285</v>
      </c>
      <c r="T774">
        <f>(Tabela2[[#This Row],[CAEC_lanche_entre_refeicoes]]*Tabela2[[#This Row],[FAVC_consumo_frequente_de_alimentos_mt_caloricos]])</f>
        <v>1</v>
      </c>
      <c r="U774" s="1">
        <f>IF(OR(Tabela2[[#This Row],[MTRANS]]="Walking",Tabela2[[#This Row],[MTRANS]]="Bike"),Tabela2[[#This Row],[FAF_atividade_fisica_frequente_em_horas]]+1,M774)</f>
        <v>2</v>
      </c>
      <c r="V774">
        <f>(Tabela2[[#This Row],[SMOKE]]+Tabela2[[#This Row],[CALC_bebe_alcool_frequentemente]])</f>
        <v>1</v>
      </c>
      <c r="W774" s="8">
        <f>(Tabela2[[#This Row],[Weight]]/(Tabela2[[#This Row],[Height]] ^2))</f>
        <v>26.731089197596813</v>
      </c>
    </row>
    <row r="775" spans="1:23" x14ac:dyDescent="0.25">
      <c r="A775" t="s">
        <v>13</v>
      </c>
      <c r="B775" s="7">
        <v>21.81119</v>
      </c>
      <c r="C775" s="4">
        <v>1.6</v>
      </c>
      <c r="D775" s="7">
        <v>66.401407000000006</v>
      </c>
      <c r="E775">
        <v>1</v>
      </c>
      <c r="F775">
        <v>1</v>
      </c>
      <c r="G775" s="2">
        <v>2.108711</v>
      </c>
      <c r="H775" s="2">
        <v>3</v>
      </c>
      <c r="I775">
        <v>1</v>
      </c>
      <c r="J775">
        <v>0</v>
      </c>
      <c r="K775" s="2">
        <v>2.746197</v>
      </c>
      <c r="L775">
        <v>0</v>
      </c>
      <c r="M775" s="7">
        <v>1.9104319999999999</v>
      </c>
      <c r="N775" s="7">
        <v>0</v>
      </c>
      <c r="O775">
        <v>1</v>
      </c>
      <c r="P775" t="s">
        <v>14</v>
      </c>
      <c r="Q775">
        <v>2</v>
      </c>
      <c r="R775" s="8">
        <f>(Tabela2[[#This Row],[FAF_atividade_fisica_frequente_em_horas]]+ 0.1)</f>
        <v>2.0104319999999998</v>
      </c>
      <c r="S775" s="1">
        <f>(Tabela2[[#This Row],[TUE_tempo_uso_aparelhos_em_horas]]/Tabela2[[#This Row],[FAF_Var]])</f>
        <v>0</v>
      </c>
      <c r="T775">
        <f>(Tabela2[[#This Row],[CAEC_lanche_entre_refeicoes]]*Tabela2[[#This Row],[FAVC_consumo_frequente_de_alimentos_mt_caloricos]])</f>
        <v>1</v>
      </c>
      <c r="U775" s="1">
        <f>IF(OR(Tabela2[[#This Row],[MTRANS]]="Walking",Tabela2[[#This Row],[MTRANS]]="Bike"),Tabela2[[#This Row],[FAF_atividade_fisica_frequente_em_horas]]+1,M775)</f>
        <v>1.9104319999999999</v>
      </c>
      <c r="V775">
        <f>(Tabela2[[#This Row],[SMOKE]]+Tabela2[[#This Row],[CALC_bebe_alcool_frequentemente]])</f>
        <v>1</v>
      </c>
      <c r="W775" s="8">
        <f>(Tabela2[[#This Row],[Weight]]/(Tabela2[[#This Row],[Height]] ^2))</f>
        <v>25.938049609374996</v>
      </c>
    </row>
    <row r="776" spans="1:23" x14ac:dyDescent="0.25">
      <c r="A776" t="s">
        <v>13</v>
      </c>
      <c r="B776" s="7">
        <v>21</v>
      </c>
      <c r="C776" s="4">
        <v>1.754813</v>
      </c>
      <c r="D776" s="7">
        <v>77.929203999999999</v>
      </c>
      <c r="E776">
        <v>1</v>
      </c>
      <c r="F776">
        <v>1</v>
      </c>
      <c r="G776" s="2">
        <v>2.915279</v>
      </c>
      <c r="H776" s="2">
        <v>1.1046419999999999</v>
      </c>
      <c r="I776">
        <v>1</v>
      </c>
      <c r="J776">
        <v>0</v>
      </c>
      <c r="K776" s="2">
        <v>1.530046</v>
      </c>
      <c r="L776">
        <v>0</v>
      </c>
      <c r="M776" s="7">
        <v>1.360635</v>
      </c>
      <c r="N776" s="7">
        <v>0</v>
      </c>
      <c r="O776">
        <v>1</v>
      </c>
      <c r="P776" t="s">
        <v>14</v>
      </c>
      <c r="Q776">
        <v>2</v>
      </c>
      <c r="R776" s="8">
        <f>(Tabela2[[#This Row],[FAF_atividade_fisica_frequente_em_horas]]+ 0.1)</f>
        <v>1.4606350000000001</v>
      </c>
      <c r="S776" s="1">
        <f>(Tabela2[[#This Row],[TUE_tempo_uso_aparelhos_em_horas]]/Tabela2[[#This Row],[FAF_Var]])</f>
        <v>0</v>
      </c>
      <c r="T776">
        <f>(Tabela2[[#This Row],[CAEC_lanche_entre_refeicoes]]*Tabela2[[#This Row],[FAVC_consumo_frequente_de_alimentos_mt_caloricos]])</f>
        <v>1</v>
      </c>
      <c r="U776" s="1">
        <f>IF(OR(Tabela2[[#This Row],[MTRANS]]="Walking",Tabela2[[#This Row],[MTRANS]]="Bike"),Tabela2[[#This Row],[FAF_atividade_fisica_frequente_em_horas]]+1,M776)</f>
        <v>1.360635</v>
      </c>
      <c r="V776">
        <f>(Tabela2[[#This Row],[SMOKE]]+Tabela2[[#This Row],[CALC_bebe_alcool_frequentemente]])</f>
        <v>1</v>
      </c>
      <c r="W776" s="8">
        <f>(Tabela2[[#This Row],[Weight]]/(Tabela2[[#This Row],[Height]] ^2))</f>
        <v>25.306876986352822</v>
      </c>
    </row>
    <row r="777" spans="1:23" x14ac:dyDescent="0.25">
      <c r="A777" t="s">
        <v>15</v>
      </c>
      <c r="B777" s="7">
        <v>18.128205999999999</v>
      </c>
      <c r="C777" s="4">
        <v>1.7784469999999999</v>
      </c>
      <c r="D777" s="7">
        <v>80.273807000000005</v>
      </c>
      <c r="E777">
        <v>1</v>
      </c>
      <c r="F777">
        <v>1</v>
      </c>
      <c r="G777" s="2">
        <v>1.5700890000000001</v>
      </c>
      <c r="H777" s="2">
        <v>3</v>
      </c>
      <c r="I777">
        <v>1</v>
      </c>
      <c r="J777">
        <v>0</v>
      </c>
      <c r="K777" s="2">
        <v>2</v>
      </c>
      <c r="L777">
        <v>0</v>
      </c>
      <c r="M777" s="7">
        <v>2.7078820000000001</v>
      </c>
      <c r="N777" s="7">
        <v>0</v>
      </c>
      <c r="O777">
        <v>0</v>
      </c>
      <c r="P777" t="s">
        <v>14</v>
      </c>
      <c r="Q777">
        <v>2</v>
      </c>
      <c r="R777" s="8">
        <f>(Tabela2[[#This Row],[FAF_atividade_fisica_frequente_em_horas]]+ 0.1)</f>
        <v>2.8078820000000002</v>
      </c>
      <c r="S777" s="1">
        <f>(Tabela2[[#This Row],[TUE_tempo_uso_aparelhos_em_horas]]/Tabela2[[#This Row],[FAF_Var]])</f>
        <v>0</v>
      </c>
      <c r="T777">
        <f>(Tabela2[[#This Row],[CAEC_lanche_entre_refeicoes]]*Tabela2[[#This Row],[FAVC_consumo_frequente_de_alimentos_mt_caloricos]])</f>
        <v>1</v>
      </c>
      <c r="U777" s="1">
        <f>IF(OR(Tabela2[[#This Row],[MTRANS]]="Walking",Tabela2[[#This Row],[MTRANS]]="Bike"),Tabela2[[#This Row],[FAF_atividade_fisica_frequente_em_horas]]+1,M777)</f>
        <v>2.7078820000000001</v>
      </c>
      <c r="V777">
        <f>(Tabela2[[#This Row],[SMOKE]]+Tabela2[[#This Row],[CALC_bebe_alcool_frequentemente]])</f>
        <v>0</v>
      </c>
      <c r="W777" s="8">
        <f>(Tabela2[[#This Row],[Weight]]/(Tabela2[[#This Row],[Height]] ^2))</f>
        <v>25.380022665048838</v>
      </c>
    </row>
    <row r="778" spans="1:23" x14ac:dyDescent="0.25">
      <c r="A778" t="s">
        <v>15</v>
      </c>
      <c r="B778" s="7">
        <v>21</v>
      </c>
      <c r="C778" s="4">
        <v>1.7095610000000001</v>
      </c>
      <c r="D778" s="7">
        <v>75</v>
      </c>
      <c r="E778">
        <v>1</v>
      </c>
      <c r="F778">
        <v>1</v>
      </c>
      <c r="G778" s="2">
        <v>2</v>
      </c>
      <c r="H778" s="2">
        <v>3</v>
      </c>
      <c r="I778">
        <v>1</v>
      </c>
      <c r="J778">
        <v>0</v>
      </c>
      <c r="K778" s="2">
        <v>1.6363259999999999</v>
      </c>
      <c r="L778">
        <v>0</v>
      </c>
      <c r="M778" s="7">
        <v>1</v>
      </c>
      <c r="N778" s="7">
        <v>0</v>
      </c>
      <c r="O778">
        <v>1</v>
      </c>
      <c r="P778" t="s">
        <v>14</v>
      </c>
      <c r="Q778">
        <v>2</v>
      </c>
      <c r="R778" s="8">
        <f>(Tabela2[[#This Row],[FAF_atividade_fisica_frequente_em_horas]]+ 0.1)</f>
        <v>1.1000000000000001</v>
      </c>
      <c r="S778" s="1">
        <f>(Tabela2[[#This Row],[TUE_tempo_uso_aparelhos_em_horas]]/Tabela2[[#This Row],[FAF_Var]])</f>
        <v>0</v>
      </c>
      <c r="T778">
        <f>(Tabela2[[#This Row],[CAEC_lanche_entre_refeicoes]]*Tabela2[[#This Row],[FAVC_consumo_frequente_de_alimentos_mt_caloricos]])</f>
        <v>1</v>
      </c>
      <c r="U778" s="1">
        <f>IF(OR(Tabela2[[#This Row],[MTRANS]]="Walking",Tabela2[[#This Row],[MTRANS]]="Bike"),Tabela2[[#This Row],[FAF_atividade_fisica_frequente_em_horas]]+1,M778)</f>
        <v>1</v>
      </c>
      <c r="V778">
        <f>(Tabela2[[#This Row],[SMOKE]]+Tabela2[[#This Row],[CALC_bebe_alcool_frequentemente]])</f>
        <v>1</v>
      </c>
      <c r="W778" s="8">
        <f>(Tabela2[[#This Row],[Weight]]/(Tabela2[[#This Row],[Height]] ^2))</f>
        <v>25.662092133053811</v>
      </c>
    </row>
    <row r="779" spans="1:23" x14ac:dyDescent="0.25">
      <c r="A779" t="s">
        <v>13</v>
      </c>
      <c r="B779" s="7">
        <v>29.08107</v>
      </c>
      <c r="C779" s="4">
        <v>1.6745680000000001</v>
      </c>
      <c r="D779" s="7">
        <v>71.602621999999997</v>
      </c>
      <c r="E779">
        <v>1</v>
      </c>
      <c r="F779">
        <v>1</v>
      </c>
      <c r="G779" s="2">
        <v>2</v>
      </c>
      <c r="H779" s="2">
        <v>3</v>
      </c>
      <c r="I779">
        <v>1</v>
      </c>
      <c r="J779">
        <v>0</v>
      </c>
      <c r="K779" s="2">
        <v>1.701835</v>
      </c>
      <c r="L779">
        <v>0</v>
      </c>
      <c r="M779" s="7">
        <v>1.6822710000000001</v>
      </c>
      <c r="N779" s="7">
        <v>0</v>
      </c>
      <c r="O779">
        <v>1</v>
      </c>
      <c r="P779" t="s">
        <v>17</v>
      </c>
      <c r="Q779">
        <v>2</v>
      </c>
      <c r="R779" s="8">
        <f>(Tabela2[[#This Row],[FAF_atividade_fisica_frequente_em_horas]]+ 0.1)</f>
        <v>1.7822710000000002</v>
      </c>
      <c r="S779" s="1">
        <f>(Tabela2[[#This Row],[TUE_tempo_uso_aparelhos_em_horas]]/Tabela2[[#This Row],[FAF_Var]])</f>
        <v>0</v>
      </c>
      <c r="T779">
        <f>(Tabela2[[#This Row],[CAEC_lanche_entre_refeicoes]]*Tabela2[[#This Row],[FAVC_consumo_frequente_de_alimentos_mt_caloricos]])</f>
        <v>1</v>
      </c>
      <c r="U779" s="1">
        <f>IF(OR(Tabela2[[#This Row],[MTRANS]]="Walking",Tabela2[[#This Row],[MTRANS]]="Bike"),Tabela2[[#This Row],[FAF_atividade_fisica_frequente_em_horas]]+1,M779)</f>
        <v>1.6822710000000001</v>
      </c>
      <c r="V779">
        <f>(Tabela2[[#This Row],[SMOKE]]+Tabela2[[#This Row],[CALC_bebe_alcool_frequentemente]])</f>
        <v>1</v>
      </c>
      <c r="W779" s="8">
        <f>(Tabela2[[#This Row],[Weight]]/(Tabela2[[#This Row],[Height]] ^2))</f>
        <v>25.534264351815867</v>
      </c>
    </row>
    <row r="780" spans="1:23" x14ac:dyDescent="0.25">
      <c r="A780" t="s">
        <v>15</v>
      </c>
      <c r="B780" s="7">
        <v>26.358919</v>
      </c>
      <c r="C780" s="4">
        <v>1.755317</v>
      </c>
      <c r="D780" s="7">
        <v>82.228793999999994</v>
      </c>
      <c r="E780">
        <v>1</v>
      </c>
      <c r="F780">
        <v>1</v>
      </c>
      <c r="G780" s="2">
        <v>1.94313</v>
      </c>
      <c r="H780" s="2">
        <v>3.559841</v>
      </c>
      <c r="I780">
        <v>1</v>
      </c>
      <c r="J780">
        <v>0</v>
      </c>
      <c r="K780" s="2">
        <v>2.3679960000000002</v>
      </c>
      <c r="L780">
        <v>0</v>
      </c>
      <c r="M780" s="7">
        <v>0.23552999999999999</v>
      </c>
      <c r="N780" s="7">
        <v>0.87997700000000001</v>
      </c>
      <c r="O780">
        <v>1</v>
      </c>
      <c r="P780" t="s">
        <v>14</v>
      </c>
      <c r="Q780">
        <v>2</v>
      </c>
      <c r="R780" s="8">
        <f>(Tabela2[[#This Row],[FAF_atividade_fisica_frequente_em_horas]]+ 0.1)</f>
        <v>0.33552999999999999</v>
      </c>
      <c r="S780" s="1">
        <f>(Tabela2[[#This Row],[TUE_tempo_uso_aparelhos_em_horas]]/Tabela2[[#This Row],[FAF_Var]])</f>
        <v>2.6226477513188091</v>
      </c>
      <c r="T780">
        <f>(Tabela2[[#This Row],[CAEC_lanche_entre_refeicoes]]*Tabela2[[#This Row],[FAVC_consumo_frequente_de_alimentos_mt_caloricos]])</f>
        <v>1</v>
      </c>
      <c r="U780" s="1">
        <f>IF(OR(Tabela2[[#This Row],[MTRANS]]="Walking",Tabela2[[#This Row],[MTRANS]]="Bike"),Tabela2[[#This Row],[FAF_atividade_fisica_frequente_em_horas]]+1,M780)</f>
        <v>0.23552999999999999</v>
      </c>
      <c r="V780">
        <f>(Tabela2[[#This Row],[SMOKE]]+Tabela2[[#This Row],[CALC_bebe_alcool_frequentemente]])</f>
        <v>1</v>
      </c>
      <c r="W780" s="8">
        <f>(Tabela2[[#This Row],[Weight]]/(Tabela2[[#This Row],[Height]] ^2))</f>
        <v>26.687801755437132</v>
      </c>
    </row>
    <row r="781" spans="1:23" x14ac:dyDescent="0.25">
      <c r="A781" t="s">
        <v>15</v>
      </c>
      <c r="B781" s="7">
        <v>22.717248999999999</v>
      </c>
      <c r="C781" s="4">
        <v>1.7080709999999999</v>
      </c>
      <c r="D781" s="7">
        <v>75</v>
      </c>
      <c r="E781">
        <v>1</v>
      </c>
      <c r="F781">
        <v>1</v>
      </c>
      <c r="G781" s="2">
        <v>2.7144469999999998</v>
      </c>
      <c r="H781" s="2">
        <v>3</v>
      </c>
      <c r="I781">
        <v>1</v>
      </c>
      <c r="J781">
        <v>0</v>
      </c>
      <c r="K781" s="2">
        <v>3</v>
      </c>
      <c r="L781">
        <v>0</v>
      </c>
      <c r="M781" s="7">
        <v>1.0968180000000001</v>
      </c>
      <c r="N781" s="7">
        <v>1.89388</v>
      </c>
      <c r="O781">
        <v>1</v>
      </c>
      <c r="P781" t="s">
        <v>14</v>
      </c>
      <c r="Q781">
        <v>2</v>
      </c>
      <c r="R781" s="8">
        <f>(Tabela2[[#This Row],[FAF_atividade_fisica_frequente_em_horas]]+ 0.1)</f>
        <v>1.1968180000000002</v>
      </c>
      <c r="S781" s="1">
        <f>(Tabela2[[#This Row],[TUE_tempo_uso_aparelhos_em_horas]]/Tabela2[[#This Row],[FAF_Var]])</f>
        <v>1.5824294086485997</v>
      </c>
      <c r="T781">
        <f>(Tabela2[[#This Row],[CAEC_lanche_entre_refeicoes]]*Tabela2[[#This Row],[FAVC_consumo_frequente_de_alimentos_mt_caloricos]])</f>
        <v>1</v>
      </c>
      <c r="U781" s="1">
        <f>IF(OR(Tabela2[[#This Row],[MTRANS]]="Walking",Tabela2[[#This Row],[MTRANS]]="Bike"),Tabela2[[#This Row],[FAF_atividade_fisica_frequente_em_horas]]+1,M781)</f>
        <v>1.0968180000000001</v>
      </c>
      <c r="V781">
        <f>(Tabela2[[#This Row],[SMOKE]]+Tabela2[[#This Row],[CALC_bebe_alcool_frequentemente]])</f>
        <v>1</v>
      </c>
      <c r="W781" s="8">
        <f>(Tabela2[[#This Row],[Weight]]/(Tabela2[[#This Row],[Height]] ^2))</f>
        <v>25.706883239150905</v>
      </c>
    </row>
    <row r="782" spans="1:23" x14ac:dyDescent="0.25">
      <c r="A782" t="s">
        <v>15</v>
      </c>
      <c r="B782" s="7">
        <v>19.816949000000001</v>
      </c>
      <c r="C782" s="4">
        <v>1.8069470000000001</v>
      </c>
      <c r="D782" s="7">
        <v>85.079588999999999</v>
      </c>
      <c r="E782">
        <v>1</v>
      </c>
      <c r="F782">
        <v>1</v>
      </c>
      <c r="G782" s="2">
        <v>2</v>
      </c>
      <c r="H782" s="2">
        <v>3</v>
      </c>
      <c r="I782">
        <v>1</v>
      </c>
      <c r="J782">
        <v>0</v>
      </c>
      <c r="K782" s="2">
        <v>2.2920729999999998</v>
      </c>
      <c r="L782">
        <v>0</v>
      </c>
      <c r="M782" s="7">
        <v>1.067817</v>
      </c>
      <c r="N782" s="7">
        <v>0.19667999999999999</v>
      </c>
      <c r="O782">
        <v>1</v>
      </c>
      <c r="P782" t="s">
        <v>14</v>
      </c>
      <c r="Q782">
        <v>2</v>
      </c>
      <c r="R782" s="8">
        <f>(Tabela2[[#This Row],[FAF_atividade_fisica_frequente_em_horas]]+ 0.1)</f>
        <v>1.1678170000000001</v>
      </c>
      <c r="S782" s="1">
        <f>(Tabela2[[#This Row],[TUE_tempo_uso_aparelhos_em_horas]]/Tabela2[[#This Row],[FAF_Var]])</f>
        <v>0.16841679817985178</v>
      </c>
      <c r="T782">
        <f>(Tabela2[[#This Row],[CAEC_lanche_entre_refeicoes]]*Tabela2[[#This Row],[FAVC_consumo_frequente_de_alimentos_mt_caloricos]])</f>
        <v>1</v>
      </c>
      <c r="U782" s="1">
        <f>IF(OR(Tabela2[[#This Row],[MTRANS]]="Walking",Tabela2[[#This Row],[MTRANS]]="Bike"),Tabela2[[#This Row],[FAF_atividade_fisica_frequente_em_horas]]+1,M782)</f>
        <v>1.067817</v>
      </c>
      <c r="V782">
        <f>(Tabela2[[#This Row],[SMOKE]]+Tabela2[[#This Row],[CALC_bebe_alcool_frequentemente]])</f>
        <v>1</v>
      </c>
      <c r="W782" s="8">
        <f>(Tabela2[[#This Row],[Weight]]/(Tabela2[[#This Row],[Height]] ^2))</f>
        <v>26.057608486595939</v>
      </c>
    </row>
    <row r="783" spans="1:23" x14ac:dyDescent="0.25">
      <c r="A783" t="s">
        <v>13</v>
      </c>
      <c r="B783" s="7">
        <v>24.023972000000001</v>
      </c>
      <c r="C783" s="4">
        <v>1.5996969999999999</v>
      </c>
      <c r="D783" s="7">
        <v>64.808021999999994</v>
      </c>
      <c r="E783">
        <v>0</v>
      </c>
      <c r="F783">
        <v>1</v>
      </c>
      <c r="G783" s="2">
        <v>2.9035449999999998</v>
      </c>
      <c r="H783" s="2">
        <v>3</v>
      </c>
      <c r="I783">
        <v>1</v>
      </c>
      <c r="J783">
        <v>0</v>
      </c>
      <c r="K783" s="2">
        <v>1.5499309999999999</v>
      </c>
      <c r="L783">
        <v>0</v>
      </c>
      <c r="M783" s="7">
        <v>0</v>
      </c>
      <c r="N783" s="7">
        <v>0.27388200000000001</v>
      </c>
      <c r="O783">
        <v>1</v>
      </c>
      <c r="P783" t="s">
        <v>14</v>
      </c>
      <c r="Q783">
        <v>2</v>
      </c>
      <c r="R783" s="8">
        <f>(Tabela2[[#This Row],[FAF_atividade_fisica_frequente_em_horas]]+ 0.1)</f>
        <v>0.1</v>
      </c>
      <c r="S783" s="1">
        <f>(Tabela2[[#This Row],[TUE_tempo_uso_aparelhos_em_horas]]/Tabela2[[#This Row],[FAF_Var]])</f>
        <v>2.73882</v>
      </c>
      <c r="T783">
        <f>(Tabela2[[#This Row],[CAEC_lanche_entre_refeicoes]]*Tabela2[[#This Row],[FAVC_consumo_frequente_de_alimentos_mt_caloricos]])</f>
        <v>1</v>
      </c>
      <c r="U783" s="1">
        <f>IF(OR(Tabela2[[#This Row],[MTRANS]]="Walking",Tabela2[[#This Row],[MTRANS]]="Bike"),Tabela2[[#This Row],[FAF_atividade_fisica_frequente_em_horas]]+1,M783)</f>
        <v>0</v>
      </c>
      <c r="V783">
        <f>(Tabela2[[#This Row],[SMOKE]]+Tabela2[[#This Row],[CALC_bebe_alcool_frequentemente]])</f>
        <v>1</v>
      </c>
      <c r="W783" s="8">
        <f>(Tabela2[[#This Row],[Weight]]/(Tabela2[[#This Row],[Height]] ^2))</f>
        <v>25.325224614336921</v>
      </c>
    </row>
    <row r="784" spans="1:23" x14ac:dyDescent="0.25">
      <c r="A784" t="s">
        <v>13</v>
      </c>
      <c r="B784" s="7">
        <v>32.593128999999998</v>
      </c>
      <c r="C784" s="4">
        <v>1.721903</v>
      </c>
      <c r="D784" s="7">
        <v>72.748902999999999</v>
      </c>
      <c r="E784">
        <v>1</v>
      </c>
      <c r="F784">
        <v>1</v>
      </c>
      <c r="G784" s="2">
        <v>2</v>
      </c>
      <c r="H784" s="2">
        <v>3</v>
      </c>
      <c r="I784">
        <v>1</v>
      </c>
      <c r="J784">
        <v>0</v>
      </c>
      <c r="K784" s="2">
        <v>1</v>
      </c>
      <c r="L784">
        <v>0</v>
      </c>
      <c r="M784" s="7">
        <v>0</v>
      </c>
      <c r="N784" s="7">
        <v>1.339232</v>
      </c>
      <c r="O784">
        <v>1</v>
      </c>
      <c r="P784" t="s">
        <v>17</v>
      </c>
      <c r="Q784">
        <v>2</v>
      </c>
      <c r="R784" s="8">
        <f>(Tabela2[[#This Row],[FAF_atividade_fisica_frequente_em_horas]]+ 0.1)</f>
        <v>0.1</v>
      </c>
      <c r="S784" s="1">
        <f>(Tabela2[[#This Row],[TUE_tempo_uso_aparelhos_em_horas]]/Tabela2[[#This Row],[FAF_Var]])</f>
        <v>13.39232</v>
      </c>
      <c r="T784">
        <f>(Tabela2[[#This Row],[CAEC_lanche_entre_refeicoes]]*Tabela2[[#This Row],[FAVC_consumo_frequente_de_alimentos_mt_caloricos]])</f>
        <v>1</v>
      </c>
      <c r="U784" s="1">
        <f>IF(OR(Tabela2[[#This Row],[MTRANS]]="Walking",Tabela2[[#This Row],[MTRANS]]="Bike"),Tabela2[[#This Row],[FAF_atividade_fisica_frequente_em_horas]]+1,M784)</f>
        <v>0</v>
      </c>
      <c r="V784">
        <f>(Tabela2[[#This Row],[SMOKE]]+Tabela2[[#This Row],[CALC_bebe_alcool_frequentemente]])</f>
        <v>1</v>
      </c>
      <c r="W784" s="8">
        <f>(Tabela2[[#This Row],[Weight]]/(Tabela2[[#This Row],[Height]] ^2))</f>
        <v>24.536300591108244</v>
      </c>
    </row>
    <row r="785" spans="1:23" x14ac:dyDescent="0.25">
      <c r="A785" t="s">
        <v>15</v>
      </c>
      <c r="B785" s="7">
        <v>23</v>
      </c>
      <c r="C785" s="4">
        <v>1.712556</v>
      </c>
      <c r="D785" s="7">
        <v>75.480763999999994</v>
      </c>
      <c r="E785">
        <v>1</v>
      </c>
      <c r="F785">
        <v>1</v>
      </c>
      <c r="G785" s="2">
        <v>3</v>
      </c>
      <c r="H785" s="2">
        <v>3.654061</v>
      </c>
      <c r="I785">
        <v>1</v>
      </c>
      <c r="J785">
        <v>0</v>
      </c>
      <c r="K785" s="2">
        <v>1.2299150000000001</v>
      </c>
      <c r="L785">
        <v>0</v>
      </c>
      <c r="M785" s="7">
        <v>0.793489</v>
      </c>
      <c r="N785" s="7">
        <v>1.5976079999999999</v>
      </c>
      <c r="O785">
        <v>1</v>
      </c>
      <c r="P785" t="s">
        <v>14</v>
      </c>
      <c r="Q785">
        <v>2</v>
      </c>
      <c r="R785" s="8">
        <f>(Tabela2[[#This Row],[FAF_atividade_fisica_frequente_em_horas]]+ 0.1)</f>
        <v>0.89348899999999998</v>
      </c>
      <c r="S785" s="1">
        <f>(Tabela2[[#This Row],[TUE_tempo_uso_aparelhos_em_horas]]/Tabela2[[#This Row],[FAF_Var]])</f>
        <v>1.7880555888209031</v>
      </c>
      <c r="T785">
        <f>(Tabela2[[#This Row],[CAEC_lanche_entre_refeicoes]]*Tabela2[[#This Row],[FAVC_consumo_frequente_de_alimentos_mt_caloricos]])</f>
        <v>1</v>
      </c>
      <c r="U785" s="1">
        <f>IF(OR(Tabela2[[#This Row],[MTRANS]]="Walking",Tabela2[[#This Row],[MTRANS]]="Bike"),Tabela2[[#This Row],[FAF_atividade_fisica_frequente_em_horas]]+1,M785)</f>
        <v>0.793489</v>
      </c>
      <c r="V785">
        <f>(Tabela2[[#This Row],[SMOKE]]+Tabela2[[#This Row],[CALC_bebe_alcool_frequentemente]])</f>
        <v>1</v>
      </c>
      <c r="W785" s="8">
        <f>(Tabela2[[#This Row],[Weight]]/(Tabela2[[#This Row],[Height]] ^2))</f>
        <v>25.736336363996369</v>
      </c>
    </row>
    <row r="786" spans="1:23" x14ac:dyDescent="0.25">
      <c r="A786" t="s">
        <v>13</v>
      </c>
      <c r="B786" s="7">
        <v>16.941489000000001</v>
      </c>
      <c r="C786" s="4">
        <v>1.551288</v>
      </c>
      <c r="D786" s="7">
        <v>54.93242</v>
      </c>
      <c r="E786">
        <v>0</v>
      </c>
      <c r="F786">
        <v>1</v>
      </c>
      <c r="G786" s="2">
        <v>1.7537499999999999</v>
      </c>
      <c r="H786" s="2">
        <v>1.2961560000000001</v>
      </c>
      <c r="I786">
        <v>1</v>
      </c>
      <c r="J786">
        <v>0</v>
      </c>
      <c r="K786" s="2">
        <v>2</v>
      </c>
      <c r="L786">
        <v>1</v>
      </c>
      <c r="M786" s="7">
        <v>0.11017399999999999</v>
      </c>
      <c r="N786" s="7">
        <v>1.9446749999999999</v>
      </c>
      <c r="O786">
        <v>1</v>
      </c>
      <c r="P786" t="s">
        <v>14</v>
      </c>
      <c r="Q786">
        <v>2</v>
      </c>
      <c r="R786" s="8">
        <f>(Tabela2[[#This Row],[FAF_atividade_fisica_frequente_em_horas]]+ 0.1)</f>
        <v>0.210174</v>
      </c>
      <c r="S786" s="1">
        <f>(Tabela2[[#This Row],[TUE_tempo_uso_aparelhos_em_horas]]/Tabela2[[#This Row],[FAF_Var]])</f>
        <v>9.2526906277655652</v>
      </c>
      <c r="T786">
        <f>(Tabela2[[#This Row],[CAEC_lanche_entre_refeicoes]]*Tabela2[[#This Row],[FAVC_consumo_frequente_de_alimentos_mt_caloricos]])</f>
        <v>1</v>
      </c>
      <c r="U786" s="1">
        <f>IF(OR(Tabela2[[#This Row],[MTRANS]]="Walking",Tabela2[[#This Row],[MTRANS]]="Bike"),Tabela2[[#This Row],[FAF_atividade_fisica_frequente_em_horas]]+1,M786)</f>
        <v>0.11017399999999999</v>
      </c>
      <c r="V786">
        <f>(Tabela2[[#This Row],[SMOKE]]+Tabela2[[#This Row],[CALC_bebe_alcool_frequentemente]])</f>
        <v>1</v>
      </c>
      <c r="W786" s="8">
        <f>(Tabela2[[#This Row],[Weight]]/(Tabela2[[#This Row],[Height]] ^2))</f>
        <v>22.826738618008303</v>
      </c>
    </row>
    <row r="787" spans="1:23" x14ac:dyDescent="0.25">
      <c r="A787" t="s">
        <v>13</v>
      </c>
      <c r="B787" s="7">
        <v>16.172992000000001</v>
      </c>
      <c r="C787" s="4">
        <v>1.603842</v>
      </c>
      <c r="D787" s="7">
        <v>65</v>
      </c>
      <c r="E787">
        <v>1</v>
      </c>
      <c r="F787">
        <v>1</v>
      </c>
      <c r="G787" s="2">
        <v>2.5435629999999998</v>
      </c>
      <c r="H787" s="2">
        <v>1</v>
      </c>
      <c r="I787">
        <v>1</v>
      </c>
      <c r="J787">
        <v>0</v>
      </c>
      <c r="K787" s="2">
        <v>2</v>
      </c>
      <c r="L787">
        <v>1</v>
      </c>
      <c r="M787" s="7">
        <v>0.69428100000000004</v>
      </c>
      <c r="N787" s="7">
        <v>1.0569109999999999</v>
      </c>
      <c r="O787">
        <v>1</v>
      </c>
      <c r="P787" t="s">
        <v>14</v>
      </c>
      <c r="Q787">
        <v>2</v>
      </c>
      <c r="R787" s="8">
        <f>(Tabela2[[#This Row],[FAF_atividade_fisica_frequente_em_horas]]+ 0.1)</f>
        <v>0.79428100000000001</v>
      </c>
      <c r="S787" s="1">
        <f>(Tabela2[[#This Row],[TUE_tempo_uso_aparelhos_em_horas]]/Tabela2[[#This Row],[FAF_Var]])</f>
        <v>1.3306512430739246</v>
      </c>
      <c r="T787">
        <f>(Tabela2[[#This Row],[CAEC_lanche_entre_refeicoes]]*Tabela2[[#This Row],[FAVC_consumo_frequente_de_alimentos_mt_caloricos]])</f>
        <v>1</v>
      </c>
      <c r="U787" s="1">
        <f>IF(OR(Tabela2[[#This Row],[MTRANS]]="Walking",Tabela2[[#This Row],[MTRANS]]="Bike"),Tabela2[[#This Row],[FAF_atividade_fisica_frequente_em_horas]]+1,M787)</f>
        <v>0.69428100000000004</v>
      </c>
      <c r="V787">
        <f>(Tabela2[[#This Row],[SMOKE]]+Tabela2[[#This Row],[CALC_bebe_alcool_frequentemente]])</f>
        <v>1</v>
      </c>
      <c r="W787" s="8">
        <f>(Tabela2[[#This Row],[Weight]]/(Tabela2[[#This Row],[Height]] ^2))</f>
        <v>25.269124328601528</v>
      </c>
    </row>
    <row r="788" spans="1:23" x14ac:dyDescent="0.25">
      <c r="A788" t="s">
        <v>13</v>
      </c>
      <c r="B788" s="7">
        <v>23.712589999999999</v>
      </c>
      <c r="C788" s="4">
        <v>1.588597</v>
      </c>
      <c r="D788" s="7">
        <v>62.339002999999998</v>
      </c>
      <c r="E788">
        <v>0</v>
      </c>
      <c r="F788">
        <v>1</v>
      </c>
      <c r="G788" s="2">
        <v>2.3972799999999999</v>
      </c>
      <c r="H788" s="2">
        <v>2.6565880000000002</v>
      </c>
      <c r="I788">
        <v>1</v>
      </c>
      <c r="J788">
        <v>0</v>
      </c>
      <c r="K788" s="2">
        <v>2.0610620000000002</v>
      </c>
      <c r="L788">
        <v>0</v>
      </c>
      <c r="M788" s="7">
        <v>1.912981</v>
      </c>
      <c r="N788" s="7">
        <v>1.887386</v>
      </c>
      <c r="O788">
        <v>1</v>
      </c>
      <c r="P788" t="s">
        <v>14</v>
      </c>
      <c r="Q788">
        <v>2</v>
      </c>
      <c r="R788" s="8">
        <f>(Tabela2[[#This Row],[FAF_atividade_fisica_frequente_em_horas]]+ 0.1)</f>
        <v>2.0129809999999999</v>
      </c>
      <c r="S788" s="1">
        <f>(Tabela2[[#This Row],[TUE_tempo_uso_aparelhos_em_horas]]/Tabela2[[#This Row],[FAF_Var]])</f>
        <v>0.93760745878873175</v>
      </c>
      <c r="T788">
        <f>(Tabela2[[#This Row],[CAEC_lanche_entre_refeicoes]]*Tabela2[[#This Row],[FAVC_consumo_frequente_de_alimentos_mt_caloricos]])</f>
        <v>1</v>
      </c>
      <c r="U788" s="1">
        <f>IF(OR(Tabela2[[#This Row],[MTRANS]]="Walking",Tabela2[[#This Row],[MTRANS]]="Bike"),Tabela2[[#This Row],[FAF_atividade_fisica_frequente_em_horas]]+1,M788)</f>
        <v>1.912981</v>
      </c>
      <c r="V788">
        <f>(Tabela2[[#This Row],[SMOKE]]+Tabela2[[#This Row],[CALC_bebe_alcool_frequentemente]])</f>
        <v>1</v>
      </c>
      <c r="W788" s="8">
        <f>(Tabela2[[#This Row],[Weight]]/(Tabela2[[#This Row],[Height]] ^2))</f>
        <v>24.702014715821026</v>
      </c>
    </row>
    <row r="789" spans="1:23" x14ac:dyDescent="0.25">
      <c r="A789" t="s">
        <v>13</v>
      </c>
      <c r="B789" s="7">
        <v>35.194088999999998</v>
      </c>
      <c r="C789" s="4">
        <v>1.6734819999999999</v>
      </c>
      <c r="D789" s="7">
        <v>73.193589000000003</v>
      </c>
      <c r="E789">
        <v>1</v>
      </c>
      <c r="F789">
        <v>0</v>
      </c>
      <c r="G789" s="2">
        <v>3</v>
      </c>
      <c r="H789" s="2">
        <v>2.8097159999999999</v>
      </c>
      <c r="I789">
        <v>1</v>
      </c>
      <c r="J789">
        <v>0</v>
      </c>
      <c r="K789" s="2">
        <v>1.5914250000000001</v>
      </c>
      <c r="L789">
        <v>0</v>
      </c>
      <c r="M789" s="7">
        <v>0.17802299999999999</v>
      </c>
      <c r="N789" s="7">
        <v>0</v>
      </c>
      <c r="O789">
        <v>1</v>
      </c>
      <c r="P789" t="s">
        <v>17</v>
      </c>
      <c r="Q789">
        <v>2</v>
      </c>
      <c r="R789" s="8">
        <f>(Tabela2[[#This Row],[FAF_atividade_fisica_frequente_em_horas]]+ 0.1)</f>
        <v>0.27802300000000002</v>
      </c>
      <c r="S789" s="1">
        <f>(Tabela2[[#This Row],[TUE_tempo_uso_aparelhos_em_horas]]/Tabela2[[#This Row],[FAF_Var]])</f>
        <v>0</v>
      </c>
      <c r="T789">
        <f>(Tabela2[[#This Row],[CAEC_lanche_entre_refeicoes]]*Tabela2[[#This Row],[FAVC_consumo_frequente_de_alimentos_mt_caloricos]])</f>
        <v>0</v>
      </c>
      <c r="U789" s="1">
        <f>IF(OR(Tabela2[[#This Row],[MTRANS]]="Walking",Tabela2[[#This Row],[MTRANS]]="Bike"),Tabela2[[#This Row],[FAF_atividade_fisica_frequente_em_horas]]+1,M789)</f>
        <v>0.17802299999999999</v>
      </c>
      <c r="V789">
        <f>(Tabela2[[#This Row],[SMOKE]]+Tabela2[[#This Row],[CALC_bebe_alcool_frequentemente]])</f>
        <v>1</v>
      </c>
      <c r="W789" s="8">
        <f>(Tabela2[[#This Row],[Weight]]/(Tabela2[[#This Row],[Height]] ^2))</f>
        <v>26.13550837194731</v>
      </c>
    </row>
    <row r="790" spans="1:23" x14ac:dyDescent="0.25">
      <c r="A790" t="s">
        <v>15</v>
      </c>
      <c r="B790" s="7">
        <v>23.172982000000001</v>
      </c>
      <c r="C790" s="4">
        <v>1.8586240000000001</v>
      </c>
      <c r="D790" s="7">
        <v>88.675503000000006</v>
      </c>
      <c r="E790">
        <v>1</v>
      </c>
      <c r="F790">
        <v>1</v>
      </c>
      <c r="G790" s="2">
        <v>2</v>
      </c>
      <c r="H790" s="2">
        <v>2.77684</v>
      </c>
      <c r="I790">
        <v>1</v>
      </c>
      <c r="J790">
        <v>0</v>
      </c>
      <c r="K790" s="2">
        <v>1.2782309999999999</v>
      </c>
      <c r="L790">
        <v>0</v>
      </c>
      <c r="M790" s="7">
        <v>0.55713000000000001</v>
      </c>
      <c r="N790" s="7">
        <v>1</v>
      </c>
      <c r="O790">
        <v>1</v>
      </c>
      <c r="P790" t="s">
        <v>17</v>
      </c>
      <c r="Q790">
        <v>2</v>
      </c>
      <c r="R790" s="8">
        <f>(Tabela2[[#This Row],[FAF_atividade_fisica_frequente_em_horas]]+ 0.1)</f>
        <v>0.65712999999999999</v>
      </c>
      <c r="S790" s="1">
        <f>(Tabela2[[#This Row],[TUE_tempo_uso_aparelhos_em_horas]]/Tabela2[[#This Row],[FAF_Var]])</f>
        <v>1.5217689041742122</v>
      </c>
      <c r="T790">
        <f>(Tabela2[[#This Row],[CAEC_lanche_entre_refeicoes]]*Tabela2[[#This Row],[FAVC_consumo_frequente_de_alimentos_mt_caloricos]])</f>
        <v>1</v>
      </c>
      <c r="U790" s="1">
        <f>IF(OR(Tabela2[[#This Row],[MTRANS]]="Walking",Tabela2[[#This Row],[MTRANS]]="Bike"),Tabela2[[#This Row],[FAF_atividade_fisica_frequente_em_horas]]+1,M790)</f>
        <v>0.55713000000000001</v>
      </c>
      <c r="V790">
        <f>(Tabela2[[#This Row],[SMOKE]]+Tabela2[[#This Row],[CALC_bebe_alcool_frequentemente]])</f>
        <v>1</v>
      </c>
      <c r="W790" s="8">
        <f>(Tabela2[[#This Row],[Weight]]/(Tabela2[[#This Row],[Height]] ^2))</f>
        <v>25.669687345253191</v>
      </c>
    </row>
    <row r="791" spans="1:23" x14ac:dyDescent="0.25">
      <c r="A791" t="s">
        <v>13</v>
      </c>
      <c r="B791" s="7">
        <v>37.218161000000002</v>
      </c>
      <c r="C791" s="4">
        <v>1.5938939999999999</v>
      </c>
      <c r="D791" s="7">
        <v>63.320628999999997</v>
      </c>
      <c r="E791">
        <v>1</v>
      </c>
      <c r="F791">
        <v>1</v>
      </c>
      <c r="G791" s="2">
        <v>2.3746399999999999</v>
      </c>
      <c r="H791" s="2">
        <v>3</v>
      </c>
      <c r="I791">
        <v>1</v>
      </c>
      <c r="J791">
        <v>0</v>
      </c>
      <c r="K791" s="2">
        <v>2</v>
      </c>
      <c r="L791">
        <v>0</v>
      </c>
      <c r="M791" s="7">
        <v>2.892922</v>
      </c>
      <c r="N791" s="7">
        <v>0.48081299999999999</v>
      </c>
      <c r="O791">
        <v>1</v>
      </c>
      <c r="P791" t="s">
        <v>17</v>
      </c>
      <c r="Q791">
        <v>2</v>
      </c>
      <c r="R791" s="8">
        <f>(Tabela2[[#This Row],[FAF_atividade_fisica_frequente_em_horas]]+ 0.1)</f>
        <v>2.9929220000000001</v>
      </c>
      <c r="S791" s="1">
        <f>(Tabela2[[#This Row],[TUE_tempo_uso_aparelhos_em_horas]]/Tabela2[[#This Row],[FAF_Var]])</f>
        <v>0.16065002696361616</v>
      </c>
      <c r="T791">
        <f>(Tabela2[[#This Row],[CAEC_lanche_entre_refeicoes]]*Tabela2[[#This Row],[FAVC_consumo_frequente_de_alimentos_mt_caloricos]])</f>
        <v>1</v>
      </c>
      <c r="U791" s="1">
        <f>IF(OR(Tabela2[[#This Row],[MTRANS]]="Walking",Tabela2[[#This Row],[MTRANS]]="Bike"),Tabela2[[#This Row],[FAF_atividade_fisica_frequente_em_horas]]+1,M791)</f>
        <v>2.892922</v>
      </c>
      <c r="V791">
        <f>(Tabela2[[#This Row],[SMOKE]]+Tabela2[[#This Row],[CALC_bebe_alcool_frequentemente]])</f>
        <v>1</v>
      </c>
      <c r="W791" s="8">
        <f>(Tabela2[[#This Row],[Weight]]/(Tabela2[[#This Row],[Height]] ^2))</f>
        <v>24.924493908432453</v>
      </c>
    </row>
    <row r="792" spans="1:23" x14ac:dyDescent="0.25">
      <c r="A792" t="s">
        <v>15</v>
      </c>
      <c r="B792" s="7">
        <v>19.076443000000001</v>
      </c>
      <c r="C792" s="4">
        <v>1.62</v>
      </c>
      <c r="D792" s="7">
        <v>69.529624999999996</v>
      </c>
      <c r="E792">
        <v>0</v>
      </c>
      <c r="F792">
        <v>1</v>
      </c>
      <c r="G792" s="2">
        <v>2.2786439999999999</v>
      </c>
      <c r="H792" s="2">
        <v>1</v>
      </c>
      <c r="I792">
        <v>1</v>
      </c>
      <c r="J792">
        <v>0</v>
      </c>
      <c r="K792" s="2">
        <v>2.6289850000000001</v>
      </c>
      <c r="L792">
        <v>0</v>
      </c>
      <c r="M792" s="7">
        <v>1</v>
      </c>
      <c r="N792" s="7">
        <v>1.2853730000000001</v>
      </c>
      <c r="O792">
        <v>1</v>
      </c>
      <c r="P792" t="s">
        <v>14</v>
      </c>
      <c r="Q792">
        <v>2</v>
      </c>
      <c r="R792" s="8">
        <f>(Tabela2[[#This Row],[FAF_atividade_fisica_frequente_em_horas]]+ 0.1)</f>
        <v>1.1000000000000001</v>
      </c>
      <c r="S792" s="1">
        <f>(Tabela2[[#This Row],[TUE_tempo_uso_aparelhos_em_horas]]/Tabela2[[#This Row],[FAF_Var]])</f>
        <v>1.168520909090909</v>
      </c>
      <c r="T792">
        <f>(Tabela2[[#This Row],[CAEC_lanche_entre_refeicoes]]*Tabela2[[#This Row],[FAVC_consumo_frequente_de_alimentos_mt_caloricos]])</f>
        <v>1</v>
      </c>
      <c r="U792" s="1">
        <f>IF(OR(Tabela2[[#This Row],[MTRANS]]="Walking",Tabela2[[#This Row],[MTRANS]]="Bike"),Tabela2[[#This Row],[FAF_atividade_fisica_frequente_em_horas]]+1,M792)</f>
        <v>1</v>
      </c>
      <c r="V792">
        <f>(Tabela2[[#This Row],[SMOKE]]+Tabela2[[#This Row],[CALC_bebe_alcool_frequentemente]])</f>
        <v>1</v>
      </c>
      <c r="W792" s="8">
        <f>(Tabela2[[#This Row],[Weight]]/(Tabela2[[#This Row],[Height]] ^2))</f>
        <v>26.493531854900162</v>
      </c>
    </row>
    <row r="793" spans="1:23" x14ac:dyDescent="0.25">
      <c r="A793" t="s">
        <v>13</v>
      </c>
      <c r="B793" s="7">
        <v>16.30687</v>
      </c>
      <c r="C793" s="4">
        <v>1.616366</v>
      </c>
      <c r="D793" s="7">
        <v>67.183127999999996</v>
      </c>
      <c r="E793">
        <v>1</v>
      </c>
      <c r="F793">
        <v>1</v>
      </c>
      <c r="G793" s="2">
        <v>1.6208450000000001</v>
      </c>
      <c r="H793" s="2">
        <v>1</v>
      </c>
      <c r="I793">
        <v>1</v>
      </c>
      <c r="J793">
        <v>0</v>
      </c>
      <c r="K793" s="2">
        <v>2</v>
      </c>
      <c r="L793">
        <v>1</v>
      </c>
      <c r="M793" s="7">
        <v>0.92659199999999997</v>
      </c>
      <c r="N793" s="7">
        <v>1.657098</v>
      </c>
      <c r="O793">
        <v>0</v>
      </c>
      <c r="P793" t="s">
        <v>14</v>
      </c>
      <c r="Q793">
        <v>2</v>
      </c>
      <c r="R793" s="8">
        <f>(Tabela2[[#This Row],[FAF_atividade_fisica_frequente_em_horas]]+ 0.1)</f>
        <v>1.0265919999999999</v>
      </c>
      <c r="S793" s="1">
        <f>(Tabela2[[#This Row],[TUE_tempo_uso_aparelhos_em_horas]]/Tabela2[[#This Row],[FAF_Var]])</f>
        <v>1.6141738879710732</v>
      </c>
      <c r="T793">
        <f>(Tabela2[[#This Row],[CAEC_lanche_entre_refeicoes]]*Tabela2[[#This Row],[FAVC_consumo_frequente_de_alimentos_mt_caloricos]])</f>
        <v>1</v>
      </c>
      <c r="U793" s="1">
        <f>IF(OR(Tabela2[[#This Row],[MTRANS]]="Walking",Tabela2[[#This Row],[MTRANS]]="Bike"),Tabela2[[#This Row],[FAF_atividade_fisica_frequente_em_horas]]+1,M793)</f>
        <v>0.92659199999999997</v>
      </c>
      <c r="V793">
        <f>(Tabela2[[#This Row],[SMOKE]]+Tabela2[[#This Row],[CALC_bebe_alcool_frequentemente]])</f>
        <v>0</v>
      </c>
      <c r="W793" s="8">
        <f>(Tabela2[[#This Row],[Weight]]/(Tabela2[[#This Row],[Height]] ^2))</f>
        <v>25.714661236495751</v>
      </c>
    </row>
    <row r="794" spans="1:23" x14ac:dyDescent="0.25">
      <c r="A794" t="s">
        <v>13</v>
      </c>
      <c r="B794" s="7">
        <v>18.297229000000002</v>
      </c>
      <c r="C794" s="4">
        <v>1.6373960000000001</v>
      </c>
      <c r="D794" s="7">
        <v>70</v>
      </c>
      <c r="E794">
        <v>1</v>
      </c>
      <c r="F794">
        <v>1</v>
      </c>
      <c r="G794" s="2">
        <v>2</v>
      </c>
      <c r="H794" s="2">
        <v>1.9990140000000001</v>
      </c>
      <c r="I794">
        <v>1</v>
      </c>
      <c r="J794">
        <v>0</v>
      </c>
      <c r="K794" s="2">
        <v>2.326165</v>
      </c>
      <c r="L794">
        <v>0</v>
      </c>
      <c r="M794" s="7">
        <v>7.0499999999999998E-3</v>
      </c>
      <c r="N794" s="7">
        <v>0</v>
      </c>
      <c r="O794">
        <v>0</v>
      </c>
      <c r="P794" t="s">
        <v>14</v>
      </c>
      <c r="Q794">
        <v>2</v>
      </c>
      <c r="R794" s="8">
        <f>(Tabela2[[#This Row],[FAF_atividade_fisica_frequente_em_horas]]+ 0.1)</f>
        <v>0.10705000000000001</v>
      </c>
      <c r="S794" s="1">
        <f>(Tabela2[[#This Row],[TUE_tempo_uso_aparelhos_em_horas]]/Tabela2[[#This Row],[FAF_Var]])</f>
        <v>0</v>
      </c>
      <c r="T794">
        <f>(Tabela2[[#This Row],[CAEC_lanche_entre_refeicoes]]*Tabela2[[#This Row],[FAVC_consumo_frequente_de_alimentos_mt_caloricos]])</f>
        <v>1</v>
      </c>
      <c r="U794" s="1">
        <f>IF(OR(Tabela2[[#This Row],[MTRANS]]="Walking",Tabela2[[#This Row],[MTRANS]]="Bike"),Tabela2[[#This Row],[FAF_atividade_fisica_frequente_em_horas]]+1,M794)</f>
        <v>7.0499999999999998E-3</v>
      </c>
      <c r="V794">
        <f>(Tabela2[[#This Row],[SMOKE]]+Tabela2[[#This Row],[CALC_bebe_alcool_frequentemente]])</f>
        <v>0</v>
      </c>
      <c r="W794" s="8">
        <f>(Tabela2[[#This Row],[Weight]]/(Tabela2[[#This Row],[Height]] ^2))</f>
        <v>26.109021134042287</v>
      </c>
    </row>
    <row r="795" spans="1:23" x14ac:dyDescent="0.25">
      <c r="A795" t="s">
        <v>13</v>
      </c>
      <c r="B795" s="7">
        <v>18.610761</v>
      </c>
      <c r="C795" s="4">
        <v>1.5507230000000001</v>
      </c>
      <c r="D795" s="7">
        <v>60.628321</v>
      </c>
      <c r="E795">
        <v>0</v>
      </c>
      <c r="F795">
        <v>1</v>
      </c>
      <c r="G795" s="2">
        <v>2.8231790000000001</v>
      </c>
      <c r="H795" s="2">
        <v>2.644692</v>
      </c>
      <c r="I795">
        <v>1</v>
      </c>
      <c r="J795">
        <v>0</v>
      </c>
      <c r="K795" s="2">
        <v>1.226764</v>
      </c>
      <c r="L795">
        <v>1</v>
      </c>
      <c r="M795" s="7">
        <v>0.74752799999999997</v>
      </c>
      <c r="N795" s="7">
        <v>8.8990000000000007E-3</v>
      </c>
      <c r="O795">
        <v>1</v>
      </c>
      <c r="P795" t="s">
        <v>14</v>
      </c>
      <c r="Q795">
        <v>2</v>
      </c>
      <c r="R795" s="8">
        <f>(Tabela2[[#This Row],[FAF_atividade_fisica_frequente_em_horas]]+ 0.1)</f>
        <v>0.84752799999999995</v>
      </c>
      <c r="S795" s="1">
        <f>(Tabela2[[#This Row],[TUE_tempo_uso_aparelhos_em_horas]]/Tabela2[[#This Row],[FAF_Var]])</f>
        <v>1.0499948084311081E-2</v>
      </c>
      <c r="T795">
        <f>(Tabela2[[#This Row],[CAEC_lanche_entre_refeicoes]]*Tabela2[[#This Row],[FAVC_consumo_frequente_de_alimentos_mt_caloricos]])</f>
        <v>1</v>
      </c>
      <c r="U795" s="1">
        <f>IF(OR(Tabela2[[#This Row],[MTRANS]]="Walking",Tabela2[[#This Row],[MTRANS]]="Bike"),Tabela2[[#This Row],[FAF_atividade_fisica_frequente_em_horas]]+1,M795)</f>
        <v>0.74752799999999997</v>
      </c>
      <c r="V795">
        <f>(Tabela2[[#This Row],[SMOKE]]+Tabela2[[#This Row],[CALC_bebe_alcool_frequentemente]])</f>
        <v>1</v>
      </c>
      <c r="W795" s="8">
        <f>(Tabela2[[#This Row],[Weight]]/(Tabela2[[#This Row],[Height]] ^2))</f>
        <v>25.211987593410957</v>
      </c>
    </row>
    <row r="796" spans="1:23" x14ac:dyDescent="0.25">
      <c r="A796" t="s">
        <v>13</v>
      </c>
      <c r="B796" s="7">
        <v>17.451084999999999</v>
      </c>
      <c r="C796" s="4">
        <v>1.6</v>
      </c>
      <c r="D796" s="7">
        <v>65</v>
      </c>
      <c r="E796">
        <v>1</v>
      </c>
      <c r="F796">
        <v>1</v>
      </c>
      <c r="G796" s="2">
        <v>3</v>
      </c>
      <c r="H796" s="2">
        <v>2.4497230000000001</v>
      </c>
      <c r="I796">
        <v>1</v>
      </c>
      <c r="J796">
        <v>0</v>
      </c>
      <c r="K796" s="2">
        <v>2</v>
      </c>
      <c r="L796">
        <v>1</v>
      </c>
      <c r="M796" s="7">
        <v>0.47959200000000002</v>
      </c>
      <c r="N796" s="7">
        <v>1.720642</v>
      </c>
      <c r="O796">
        <v>1</v>
      </c>
      <c r="P796" t="s">
        <v>14</v>
      </c>
      <c r="Q796">
        <v>2</v>
      </c>
      <c r="R796" s="8">
        <f>(Tabela2[[#This Row],[FAF_atividade_fisica_frequente_em_horas]]+ 0.1)</f>
        <v>0.579592</v>
      </c>
      <c r="S796" s="1">
        <f>(Tabela2[[#This Row],[TUE_tempo_uso_aparelhos_em_horas]]/Tabela2[[#This Row],[FAF_Var]])</f>
        <v>2.9687124736021202</v>
      </c>
      <c r="T796">
        <f>(Tabela2[[#This Row],[CAEC_lanche_entre_refeicoes]]*Tabela2[[#This Row],[FAVC_consumo_frequente_de_alimentos_mt_caloricos]])</f>
        <v>1</v>
      </c>
      <c r="U796" s="1">
        <f>IF(OR(Tabela2[[#This Row],[MTRANS]]="Walking",Tabela2[[#This Row],[MTRANS]]="Bike"),Tabela2[[#This Row],[FAF_atividade_fisica_frequente_em_horas]]+1,M796)</f>
        <v>0.47959200000000002</v>
      </c>
      <c r="V796">
        <f>(Tabela2[[#This Row],[SMOKE]]+Tabela2[[#This Row],[CALC_bebe_alcool_frequentemente]])</f>
        <v>1</v>
      </c>
      <c r="W796" s="8">
        <f>(Tabela2[[#This Row],[Weight]]/(Tabela2[[#This Row],[Height]] ^2))</f>
        <v>25.390624999999996</v>
      </c>
    </row>
    <row r="797" spans="1:23" x14ac:dyDescent="0.25">
      <c r="A797" t="s">
        <v>15</v>
      </c>
      <c r="B797" s="7">
        <v>29.740496</v>
      </c>
      <c r="C797" s="4">
        <v>1.820471</v>
      </c>
      <c r="D797" s="7">
        <v>87.668828000000005</v>
      </c>
      <c r="E797">
        <v>0</v>
      </c>
      <c r="F797">
        <v>1</v>
      </c>
      <c r="G797" s="2">
        <v>3</v>
      </c>
      <c r="H797" s="2">
        <v>3</v>
      </c>
      <c r="I797">
        <v>1</v>
      </c>
      <c r="J797">
        <v>0</v>
      </c>
      <c r="K797" s="2">
        <v>1.1746110000000001</v>
      </c>
      <c r="L797">
        <v>0</v>
      </c>
      <c r="M797" s="7">
        <v>2</v>
      </c>
      <c r="N797" s="7">
        <v>0</v>
      </c>
      <c r="O797">
        <v>0</v>
      </c>
      <c r="P797" t="s">
        <v>17</v>
      </c>
      <c r="Q797">
        <v>2</v>
      </c>
      <c r="R797" s="8">
        <f>(Tabela2[[#This Row],[FAF_atividade_fisica_frequente_em_horas]]+ 0.1)</f>
        <v>2.1</v>
      </c>
      <c r="S797" s="1">
        <f>(Tabela2[[#This Row],[TUE_tempo_uso_aparelhos_em_horas]]/Tabela2[[#This Row],[FAF_Var]])</f>
        <v>0</v>
      </c>
      <c r="T797">
        <f>(Tabela2[[#This Row],[CAEC_lanche_entre_refeicoes]]*Tabela2[[#This Row],[FAVC_consumo_frequente_de_alimentos_mt_caloricos]])</f>
        <v>1</v>
      </c>
      <c r="U797" s="1">
        <f>IF(OR(Tabela2[[#This Row],[MTRANS]]="Walking",Tabela2[[#This Row],[MTRANS]]="Bike"),Tabela2[[#This Row],[FAF_atividade_fisica_frequente_em_horas]]+1,M797)</f>
        <v>2</v>
      </c>
      <c r="V797">
        <f>(Tabela2[[#This Row],[SMOKE]]+Tabela2[[#This Row],[CALC_bebe_alcool_frequentemente]])</f>
        <v>0</v>
      </c>
      <c r="W797" s="8">
        <f>(Tabela2[[#This Row],[Weight]]/(Tabela2[[#This Row],[Height]] ^2))</f>
        <v>26.453166816895745</v>
      </c>
    </row>
    <row r="798" spans="1:23" x14ac:dyDescent="0.25">
      <c r="A798" t="s">
        <v>13</v>
      </c>
      <c r="B798" s="7">
        <v>31.539393</v>
      </c>
      <c r="C798" s="4">
        <v>1.6574960000000001</v>
      </c>
      <c r="D798" s="7">
        <v>73.641632999999999</v>
      </c>
      <c r="E798">
        <v>1</v>
      </c>
      <c r="F798">
        <v>1</v>
      </c>
      <c r="G798" s="2">
        <v>2</v>
      </c>
      <c r="H798" s="2">
        <v>3</v>
      </c>
      <c r="I798">
        <v>1</v>
      </c>
      <c r="J798">
        <v>0</v>
      </c>
      <c r="K798" s="2">
        <v>1</v>
      </c>
      <c r="L798">
        <v>0</v>
      </c>
      <c r="M798" s="7">
        <v>0</v>
      </c>
      <c r="N798" s="7">
        <v>1.1124890000000001</v>
      </c>
      <c r="O798">
        <v>1</v>
      </c>
      <c r="P798" t="s">
        <v>17</v>
      </c>
      <c r="Q798">
        <v>2</v>
      </c>
      <c r="R798" s="8">
        <f>(Tabela2[[#This Row],[FAF_atividade_fisica_frequente_em_horas]]+ 0.1)</f>
        <v>0.1</v>
      </c>
      <c r="S798" s="1">
        <f>(Tabela2[[#This Row],[TUE_tempo_uso_aparelhos_em_horas]]/Tabela2[[#This Row],[FAF_Var]])</f>
        <v>11.124890000000001</v>
      </c>
      <c r="T798">
        <f>(Tabela2[[#This Row],[CAEC_lanche_entre_refeicoes]]*Tabela2[[#This Row],[FAVC_consumo_frequente_de_alimentos_mt_caloricos]])</f>
        <v>1</v>
      </c>
      <c r="U798" s="1">
        <f>IF(OR(Tabela2[[#This Row],[MTRANS]]="Walking",Tabela2[[#This Row],[MTRANS]]="Bike"),Tabela2[[#This Row],[FAF_atividade_fisica_frequente_em_horas]]+1,M798)</f>
        <v>0</v>
      </c>
      <c r="V798">
        <f>(Tabela2[[#This Row],[SMOKE]]+Tabela2[[#This Row],[CALC_bebe_alcool_frequentemente]])</f>
        <v>1</v>
      </c>
      <c r="W798" s="8">
        <f>(Tabela2[[#This Row],[Weight]]/(Tabela2[[#This Row],[Height]] ^2))</f>
        <v>26.805161760184564</v>
      </c>
    </row>
    <row r="799" spans="1:23" x14ac:dyDescent="0.25">
      <c r="A799" t="s">
        <v>15</v>
      </c>
      <c r="B799" s="7">
        <v>18.026457000000001</v>
      </c>
      <c r="C799" s="4">
        <v>1.7521230000000001</v>
      </c>
      <c r="D799" s="7">
        <v>80</v>
      </c>
      <c r="E799">
        <v>1</v>
      </c>
      <c r="F799">
        <v>1</v>
      </c>
      <c r="G799" s="2">
        <v>2</v>
      </c>
      <c r="H799" s="2">
        <v>2.7941560000000001</v>
      </c>
      <c r="I799">
        <v>1</v>
      </c>
      <c r="J799">
        <v>0</v>
      </c>
      <c r="K799" s="2">
        <v>2.3773620000000002</v>
      </c>
      <c r="L799">
        <v>0</v>
      </c>
      <c r="M799" s="7">
        <v>0.10123600000000001</v>
      </c>
      <c r="N799" s="7">
        <v>0.105895</v>
      </c>
      <c r="O799">
        <v>0</v>
      </c>
      <c r="P799" t="s">
        <v>14</v>
      </c>
      <c r="Q799">
        <v>2</v>
      </c>
      <c r="R799" s="8">
        <f>(Tabela2[[#This Row],[FAF_atividade_fisica_frequente_em_horas]]+ 0.1)</f>
        <v>0.20123600000000003</v>
      </c>
      <c r="S799" s="1">
        <f>(Tabela2[[#This Row],[TUE_tempo_uso_aparelhos_em_horas]]/Tabela2[[#This Row],[FAF_Var]])</f>
        <v>0.52622294221709831</v>
      </c>
      <c r="T799">
        <f>(Tabela2[[#This Row],[CAEC_lanche_entre_refeicoes]]*Tabela2[[#This Row],[FAVC_consumo_frequente_de_alimentos_mt_caloricos]])</f>
        <v>1</v>
      </c>
      <c r="U799" s="1">
        <f>IF(OR(Tabela2[[#This Row],[MTRANS]]="Walking",Tabela2[[#This Row],[MTRANS]]="Bike"),Tabela2[[#This Row],[FAF_atividade_fisica_frequente_em_horas]]+1,M799)</f>
        <v>0.10123600000000001</v>
      </c>
      <c r="V799">
        <f>(Tabela2[[#This Row],[SMOKE]]+Tabela2[[#This Row],[CALC_bebe_alcool_frequentemente]])</f>
        <v>0</v>
      </c>
      <c r="W799" s="8">
        <f>(Tabela2[[#This Row],[Weight]]/(Tabela2[[#This Row],[Height]] ^2))</f>
        <v>26.059183602983151</v>
      </c>
    </row>
    <row r="800" spans="1:23" x14ac:dyDescent="0.25">
      <c r="A800" t="s">
        <v>15</v>
      </c>
      <c r="B800" s="7">
        <v>19.475539999999999</v>
      </c>
      <c r="C800" s="4">
        <v>1.8572310000000001</v>
      </c>
      <c r="D800" s="7">
        <v>88.138777000000005</v>
      </c>
      <c r="E800">
        <v>1</v>
      </c>
      <c r="F800">
        <v>1</v>
      </c>
      <c r="G800" s="2">
        <v>2.0619519999999998</v>
      </c>
      <c r="H800" s="2">
        <v>4</v>
      </c>
      <c r="I800">
        <v>1</v>
      </c>
      <c r="J800">
        <v>0</v>
      </c>
      <c r="K800" s="2">
        <v>2.4264649999999999</v>
      </c>
      <c r="L800">
        <v>0</v>
      </c>
      <c r="M800" s="7">
        <v>2</v>
      </c>
      <c r="N800" s="7">
        <v>0.160138</v>
      </c>
      <c r="O800">
        <v>1</v>
      </c>
      <c r="P800" t="s">
        <v>14</v>
      </c>
      <c r="Q800">
        <v>2</v>
      </c>
      <c r="R800" s="8">
        <f>(Tabela2[[#This Row],[FAF_atividade_fisica_frequente_em_horas]]+ 0.1)</f>
        <v>2.1</v>
      </c>
      <c r="S800" s="1">
        <f>(Tabela2[[#This Row],[TUE_tempo_uso_aparelhos_em_horas]]/Tabela2[[#This Row],[FAF_Var]])</f>
        <v>7.6256190476190477E-2</v>
      </c>
      <c r="T800">
        <f>(Tabela2[[#This Row],[CAEC_lanche_entre_refeicoes]]*Tabela2[[#This Row],[FAVC_consumo_frequente_de_alimentos_mt_caloricos]])</f>
        <v>1</v>
      </c>
      <c r="U800" s="1">
        <f>IF(OR(Tabela2[[#This Row],[MTRANS]]="Walking",Tabela2[[#This Row],[MTRANS]]="Bike"),Tabela2[[#This Row],[FAF_atividade_fisica_frequente_em_horas]]+1,M800)</f>
        <v>2</v>
      </c>
      <c r="V800">
        <f>(Tabela2[[#This Row],[SMOKE]]+Tabela2[[#This Row],[CALC_bebe_alcool_frequentemente]])</f>
        <v>1</v>
      </c>
      <c r="W800" s="8">
        <f>(Tabela2[[#This Row],[Weight]]/(Tabela2[[#This Row],[Height]] ^2))</f>
        <v>25.552604428356002</v>
      </c>
    </row>
    <row r="801" spans="1:23" x14ac:dyDescent="0.25">
      <c r="A801" t="s">
        <v>13</v>
      </c>
      <c r="B801" s="7">
        <v>19</v>
      </c>
      <c r="C801" s="4">
        <v>1.76</v>
      </c>
      <c r="D801" s="7">
        <v>79.544998000000007</v>
      </c>
      <c r="E801">
        <v>1</v>
      </c>
      <c r="F801">
        <v>1</v>
      </c>
      <c r="G801" s="2">
        <v>2</v>
      </c>
      <c r="H801" s="2">
        <v>1.1467940000000001</v>
      </c>
      <c r="I801">
        <v>1</v>
      </c>
      <c r="J801">
        <v>0</v>
      </c>
      <c r="K801" s="2">
        <v>3</v>
      </c>
      <c r="L801">
        <v>0</v>
      </c>
      <c r="M801" s="7">
        <v>1.8097449999999999</v>
      </c>
      <c r="N801" s="7">
        <v>1.690102</v>
      </c>
      <c r="O801">
        <v>2</v>
      </c>
      <c r="P801" t="s">
        <v>14</v>
      </c>
      <c r="Q801">
        <v>2</v>
      </c>
      <c r="R801" s="8">
        <f>(Tabela2[[#This Row],[FAF_atividade_fisica_frequente_em_horas]]+ 0.1)</f>
        <v>1.909745</v>
      </c>
      <c r="S801" s="1">
        <f>(Tabela2[[#This Row],[TUE_tempo_uso_aparelhos_em_horas]]/Tabela2[[#This Row],[FAF_Var]])</f>
        <v>0.88498830995761213</v>
      </c>
      <c r="T801">
        <f>(Tabela2[[#This Row],[CAEC_lanche_entre_refeicoes]]*Tabela2[[#This Row],[FAVC_consumo_frequente_de_alimentos_mt_caloricos]])</f>
        <v>1</v>
      </c>
      <c r="U801" s="1">
        <f>IF(OR(Tabela2[[#This Row],[MTRANS]]="Walking",Tabela2[[#This Row],[MTRANS]]="Bike"),Tabela2[[#This Row],[FAF_atividade_fisica_frequente_em_horas]]+1,M801)</f>
        <v>1.8097449999999999</v>
      </c>
      <c r="V801">
        <f>(Tabela2[[#This Row],[SMOKE]]+Tabela2[[#This Row],[CALC_bebe_alcool_frequentemente]])</f>
        <v>2</v>
      </c>
      <c r="W801" s="8">
        <f>(Tabela2[[#This Row],[Weight]]/(Tabela2[[#This Row],[Height]] ^2))</f>
        <v>25.67955772210744</v>
      </c>
    </row>
    <row r="802" spans="1:23" x14ac:dyDescent="0.25">
      <c r="A802" t="s">
        <v>13</v>
      </c>
      <c r="B802" s="7">
        <v>18</v>
      </c>
      <c r="C802" s="4">
        <v>1.644682</v>
      </c>
      <c r="D802" s="7">
        <v>68.392133000000001</v>
      </c>
      <c r="E802">
        <v>1</v>
      </c>
      <c r="F802">
        <v>1</v>
      </c>
      <c r="G802" s="2">
        <v>2</v>
      </c>
      <c r="H802" s="2">
        <v>1.1316949999999999</v>
      </c>
      <c r="I802">
        <v>1</v>
      </c>
      <c r="J802">
        <v>0</v>
      </c>
      <c r="K802" s="2">
        <v>1.3445389999999999</v>
      </c>
      <c r="L802">
        <v>0</v>
      </c>
      <c r="M802" s="7">
        <v>0</v>
      </c>
      <c r="N802" s="7">
        <v>1.59257</v>
      </c>
      <c r="O802">
        <v>0</v>
      </c>
      <c r="P802" t="s">
        <v>14</v>
      </c>
      <c r="Q802">
        <v>2</v>
      </c>
      <c r="R802" s="8">
        <f>(Tabela2[[#This Row],[FAF_atividade_fisica_frequente_em_horas]]+ 0.1)</f>
        <v>0.1</v>
      </c>
      <c r="S802" s="1">
        <f>(Tabela2[[#This Row],[TUE_tempo_uso_aparelhos_em_horas]]/Tabela2[[#This Row],[FAF_Var]])</f>
        <v>15.925699999999999</v>
      </c>
      <c r="T802">
        <f>(Tabela2[[#This Row],[CAEC_lanche_entre_refeicoes]]*Tabela2[[#This Row],[FAVC_consumo_frequente_de_alimentos_mt_caloricos]])</f>
        <v>1</v>
      </c>
      <c r="U802" s="1">
        <f>IF(OR(Tabela2[[#This Row],[MTRANS]]="Walking",Tabela2[[#This Row],[MTRANS]]="Bike"),Tabela2[[#This Row],[FAF_atividade_fisica_frequente_em_horas]]+1,M802)</f>
        <v>0</v>
      </c>
      <c r="V802">
        <f>(Tabela2[[#This Row],[SMOKE]]+Tabela2[[#This Row],[CALC_bebe_alcool_frequentemente]])</f>
        <v>0</v>
      </c>
      <c r="W802" s="8">
        <f>(Tabela2[[#This Row],[Weight]]/(Tabela2[[#This Row],[Height]] ^2))</f>
        <v>25.283795550958612</v>
      </c>
    </row>
    <row r="803" spans="1:23" x14ac:dyDescent="0.25">
      <c r="A803" t="s">
        <v>13</v>
      </c>
      <c r="B803" s="7">
        <v>18.270434000000002</v>
      </c>
      <c r="C803" s="4">
        <v>1.7371650000000001</v>
      </c>
      <c r="D803" s="7">
        <v>76.699774000000005</v>
      </c>
      <c r="E803">
        <v>1</v>
      </c>
      <c r="F803">
        <v>1</v>
      </c>
      <c r="G803" s="2">
        <v>2.8389690000000001</v>
      </c>
      <c r="H803" s="2">
        <v>3</v>
      </c>
      <c r="I803">
        <v>1</v>
      </c>
      <c r="J803">
        <v>0</v>
      </c>
      <c r="K803" s="2">
        <v>2.4259270000000002</v>
      </c>
      <c r="L803">
        <v>0</v>
      </c>
      <c r="M803" s="7">
        <v>1</v>
      </c>
      <c r="N803" s="7">
        <v>1.453335</v>
      </c>
      <c r="O803">
        <v>2</v>
      </c>
      <c r="P803" t="s">
        <v>14</v>
      </c>
      <c r="Q803">
        <v>2</v>
      </c>
      <c r="R803" s="8">
        <f>(Tabela2[[#This Row],[FAF_atividade_fisica_frequente_em_horas]]+ 0.1)</f>
        <v>1.1000000000000001</v>
      </c>
      <c r="S803" s="1">
        <f>(Tabela2[[#This Row],[TUE_tempo_uso_aparelhos_em_horas]]/Tabela2[[#This Row],[FAF_Var]])</f>
        <v>1.3212136363636362</v>
      </c>
      <c r="T803">
        <f>(Tabela2[[#This Row],[CAEC_lanche_entre_refeicoes]]*Tabela2[[#This Row],[FAVC_consumo_frequente_de_alimentos_mt_caloricos]])</f>
        <v>1</v>
      </c>
      <c r="U803" s="1">
        <f>IF(OR(Tabela2[[#This Row],[MTRANS]]="Walking",Tabela2[[#This Row],[MTRANS]]="Bike"),Tabela2[[#This Row],[FAF_atividade_fisica_frequente_em_horas]]+1,M803)</f>
        <v>1</v>
      </c>
      <c r="V803">
        <f>(Tabela2[[#This Row],[SMOKE]]+Tabela2[[#This Row],[CALC_bebe_alcool_frequentemente]])</f>
        <v>2</v>
      </c>
      <c r="W803" s="8">
        <f>(Tabela2[[#This Row],[Weight]]/(Tabela2[[#This Row],[Height]] ^2))</f>
        <v>25.416277458650733</v>
      </c>
    </row>
    <row r="804" spans="1:23" x14ac:dyDescent="0.25">
      <c r="A804" t="s">
        <v>13</v>
      </c>
      <c r="B804" s="7">
        <v>19.816227999999999</v>
      </c>
      <c r="C804" s="4">
        <v>1.5078530000000001</v>
      </c>
      <c r="D804" s="7">
        <v>64.259378999999996</v>
      </c>
      <c r="E804">
        <v>0</v>
      </c>
      <c r="F804">
        <v>1</v>
      </c>
      <c r="G804" s="2">
        <v>2.568063</v>
      </c>
      <c r="H804" s="2">
        <v>3</v>
      </c>
      <c r="I804">
        <v>1</v>
      </c>
      <c r="J804">
        <v>0</v>
      </c>
      <c r="K804" s="2">
        <v>1.8179829999999999</v>
      </c>
      <c r="L804">
        <v>1</v>
      </c>
      <c r="M804" s="7">
        <v>0</v>
      </c>
      <c r="N804" s="7">
        <v>0</v>
      </c>
      <c r="O804">
        <v>1</v>
      </c>
      <c r="P804" t="s">
        <v>14</v>
      </c>
      <c r="Q804">
        <v>2</v>
      </c>
      <c r="R804" s="8">
        <f>(Tabela2[[#This Row],[FAF_atividade_fisica_frequente_em_horas]]+ 0.1)</f>
        <v>0.1</v>
      </c>
      <c r="S804" s="1">
        <f>(Tabela2[[#This Row],[TUE_tempo_uso_aparelhos_em_horas]]/Tabela2[[#This Row],[FAF_Var]])</f>
        <v>0</v>
      </c>
      <c r="T804">
        <f>(Tabela2[[#This Row],[CAEC_lanche_entre_refeicoes]]*Tabela2[[#This Row],[FAVC_consumo_frequente_de_alimentos_mt_caloricos]])</f>
        <v>1</v>
      </c>
      <c r="U804" s="1">
        <f>IF(OR(Tabela2[[#This Row],[MTRANS]]="Walking",Tabela2[[#This Row],[MTRANS]]="Bike"),Tabela2[[#This Row],[FAF_atividade_fisica_frequente_em_horas]]+1,M804)</f>
        <v>0</v>
      </c>
      <c r="V804">
        <f>(Tabela2[[#This Row],[SMOKE]]+Tabela2[[#This Row],[CALC_bebe_alcool_frequentemente]])</f>
        <v>1</v>
      </c>
      <c r="W804" s="8">
        <f>(Tabela2[[#This Row],[Weight]]/(Tabela2[[#This Row],[Height]] ^2))</f>
        <v>28.263016719957434</v>
      </c>
    </row>
    <row r="805" spans="1:23" x14ac:dyDescent="0.25">
      <c r="A805" t="s">
        <v>15</v>
      </c>
      <c r="B805" s="7">
        <v>28.39124</v>
      </c>
      <c r="C805" s="4">
        <v>1.81006</v>
      </c>
      <c r="D805" s="7">
        <v>87.286783</v>
      </c>
      <c r="E805">
        <v>0</v>
      </c>
      <c r="F805">
        <v>1</v>
      </c>
      <c r="G805" s="2">
        <v>3</v>
      </c>
      <c r="H805" s="2">
        <v>3</v>
      </c>
      <c r="I805">
        <v>1</v>
      </c>
      <c r="J805">
        <v>0</v>
      </c>
      <c r="K805" s="2">
        <v>1.205633</v>
      </c>
      <c r="L805">
        <v>0</v>
      </c>
      <c r="M805" s="7">
        <v>2</v>
      </c>
      <c r="N805" s="7">
        <v>0</v>
      </c>
      <c r="O805">
        <v>0</v>
      </c>
      <c r="P805" t="s">
        <v>17</v>
      </c>
      <c r="Q805">
        <v>2</v>
      </c>
      <c r="R805" s="8">
        <f>(Tabela2[[#This Row],[FAF_atividade_fisica_frequente_em_horas]]+ 0.1)</f>
        <v>2.1</v>
      </c>
      <c r="S805" s="1">
        <f>(Tabela2[[#This Row],[TUE_tempo_uso_aparelhos_em_horas]]/Tabela2[[#This Row],[FAF_Var]])</f>
        <v>0</v>
      </c>
      <c r="T805">
        <f>(Tabela2[[#This Row],[CAEC_lanche_entre_refeicoes]]*Tabela2[[#This Row],[FAVC_consumo_frequente_de_alimentos_mt_caloricos]])</f>
        <v>1</v>
      </c>
      <c r="U805" s="1">
        <f>IF(OR(Tabela2[[#This Row],[MTRANS]]="Walking",Tabela2[[#This Row],[MTRANS]]="Bike"),Tabela2[[#This Row],[FAF_atividade_fisica_frequente_em_horas]]+1,M805)</f>
        <v>2</v>
      </c>
      <c r="V805">
        <f>(Tabela2[[#This Row],[SMOKE]]+Tabela2[[#This Row],[CALC_bebe_alcool_frequentemente]])</f>
        <v>0</v>
      </c>
      <c r="W805" s="8">
        <f>(Tabela2[[#This Row],[Weight]]/(Tabela2[[#This Row],[Height]] ^2))</f>
        <v>26.641737528982159</v>
      </c>
    </row>
    <row r="806" spans="1:23" x14ac:dyDescent="0.25">
      <c r="A806" t="s">
        <v>15</v>
      </c>
      <c r="B806" s="7">
        <v>26.758516</v>
      </c>
      <c r="C806" s="4">
        <v>1.80179</v>
      </c>
      <c r="D806" s="7">
        <v>86.981201999999996</v>
      </c>
      <c r="E806">
        <v>0</v>
      </c>
      <c r="F806">
        <v>1</v>
      </c>
      <c r="G806" s="2">
        <v>2.6529579999999999</v>
      </c>
      <c r="H806" s="2">
        <v>2.4881890000000002</v>
      </c>
      <c r="I806">
        <v>1</v>
      </c>
      <c r="J806">
        <v>0</v>
      </c>
      <c r="K806" s="2">
        <v>2</v>
      </c>
      <c r="L806">
        <v>0</v>
      </c>
      <c r="M806" s="7">
        <v>2</v>
      </c>
      <c r="N806" s="7">
        <v>9.6614000000000005E-2</v>
      </c>
      <c r="O806">
        <v>0</v>
      </c>
      <c r="P806" t="s">
        <v>17</v>
      </c>
      <c r="Q806">
        <v>2</v>
      </c>
      <c r="R806" s="8">
        <f>(Tabela2[[#This Row],[FAF_atividade_fisica_frequente_em_horas]]+ 0.1)</f>
        <v>2.1</v>
      </c>
      <c r="S806" s="1">
        <f>(Tabela2[[#This Row],[TUE_tempo_uso_aparelhos_em_horas]]/Tabela2[[#This Row],[FAF_Var]])</f>
        <v>4.6006666666666668E-2</v>
      </c>
      <c r="T806">
        <f>(Tabela2[[#This Row],[CAEC_lanche_entre_refeicoes]]*Tabela2[[#This Row],[FAVC_consumo_frequente_de_alimentos_mt_caloricos]])</f>
        <v>1</v>
      </c>
      <c r="U806" s="1">
        <f>IF(OR(Tabela2[[#This Row],[MTRANS]]="Walking",Tabela2[[#This Row],[MTRANS]]="Bike"),Tabela2[[#This Row],[FAF_atividade_fisica_frequente_em_horas]]+1,M806)</f>
        <v>2</v>
      </c>
      <c r="V806">
        <f>(Tabela2[[#This Row],[SMOKE]]+Tabela2[[#This Row],[CALC_bebe_alcool_frequentemente]])</f>
        <v>0</v>
      </c>
      <c r="W806" s="8">
        <f>(Tabela2[[#This Row],[Weight]]/(Tabela2[[#This Row],[Height]] ^2))</f>
        <v>26.792735729738585</v>
      </c>
    </row>
    <row r="807" spans="1:23" x14ac:dyDescent="0.25">
      <c r="A807" t="s">
        <v>15</v>
      </c>
      <c r="B807" s="7">
        <v>21.033794</v>
      </c>
      <c r="C807" s="4">
        <v>1.625891</v>
      </c>
      <c r="D807" s="7">
        <v>70</v>
      </c>
      <c r="E807">
        <v>0</v>
      </c>
      <c r="F807">
        <v>1</v>
      </c>
      <c r="G807" s="2">
        <v>2</v>
      </c>
      <c r="H807" s="2">
        <v>1</v>
      </c>
      <c r="I807">
        <v>0</v>
      </c>
      <c r="J807">
        <v>0</v>
      </c>
      <c r="K807" s="2">
        <v>2.0087600000000001</v>
      </c>
      <c r="L807">
        <v>0</v>
      </c>
      <c r="M807" s="7">
        <v>0.63119000000000003</v>
      </c>
      <c r="N807" s="7">
        <v>0</v>
      </c>
      <c r="O807">
        <v>1</v>
      </c>
      <c r="P807" t="s">
        <v>14</v>
      </c>
      <c r="Q807">
        <v>2</v>
      </c>
      <c r="R807" s="8">
        <f>(Tabela2[[#This Row],[FAF_atividade_fisica_frequente_em_horas]]+ 0.1)</f>
        <v>0.73119000000000001</v>
      </c>
      <c r="S807" s="1">
        <f>(Tabela2[[#This Row],[TUE_tempo_uso_aparelhos_em_horas]]/Tabela2[[#This Row],[FAF_Var]])</f>
        <v>0</v>
      </c>
      <c r="T807">
        <f>(Tabela2[[#This Row],[CAEC_lanche_entre_refeicoes]]*Tabela2[[#This Row],[FAVC_consumo_frequente_de_alimentos_mt_caloricos]])</f>
        <v>0</v>
      </c>
      <c r="U807" s="1">
        <f>IF(OR(Tabela2[[#This Row],[MTRANS]]="Walking",Tabela2[[#This Row],[MTRANS]]="Bike"),Tabela2[[#This Row],[FAF_atividade_fisica_frequente_em_horas]]+1,M807)</f>
        <v>0.63119000000000003</v>
      </c>
      <c r="V807">
        <f>(Tabela2[[#This Row],[SMOKE]]+Tabela2[[#This Row],[CALC_bebe_alcool_frequentemente]])</f>
        <v>1</v>
      </c>
      <c r="W807" s="8">
        <f>(Tabela2[[#This Row],[Weight]]/(Tabela2[[#This Row],[Height]] ^2))</f>
        <v>26.479829590203295</v>
      </c>
    </row>
    <row r="808" spans="1:23" x14ac:dyDescent="0.25">
      <c r="A808" t="s">
        <v>15</v>
      </c>
      <c r="B808" s="7">
        <v>22.429811999999998</v>
      </c>
      <c r="C808" s="4">
        <v>1.6403700000000001</v>
      </c>
      <c r="D808" s="7">
        <v>70</v>
      </c>
      <c r="E808">
        <v>0</v>
      </c>
      <c r="F808">
        <v>1</v>
      </c>
      <c r="G808" s="2">
        <v>2</v>
      </c>
      <c r="H808" s="2">
        <v>1</v>
      </c>
      <c r="I808">
        <v>0</v>
      </c>
      <c r="J808">
        <v>0</v>
      </c>
      <c r="K808" s="2">
        <v>2.0691839999999999</v>
      </c>
      <c r="L808">
        <v>0</v>
      </c>
      <c r="M808" s="7">
        <v>0.72989800000000005</v>
      </c>
      <c r="N808" s="7">
        <v>0</v>
      </c>
      <c r="O808">
        <v>1</v>
      </c>
      <c r="P808" t="s">
        <v>14</v>
      </c>
      <c r="Q808">
        <v>2</v>
      </c>
      <c r="R808" s="8">
        <f>(Tabela2[[#This Row],[FAF_atividade_fisica_frequente_em_horas]]+ 0.1)</f>
        <v>0.82989800000000002</v>
      </c>
      <c r="S808" s="1">
        <f>(Tabela2[[#This Row],[TUE_tempo_uso_aparelhos_em_horas]]/Tabela2[[#This Row],[FAF_Var]])</f>
        <v>0</v>
      </c>
      <c r="T808">
        <f>(Tabela2[[#This Row],[CAEC_lanche_entre_refeicoes]]*Tabela2[[#This Row],[FAVC_consumo_frequente_de_alimentos_mt_caloricos]])</f>
        <v>0</v>
      </c>
      <c r="U808" s="1">
        <f>IF(OR(Tabela2[[#This Row],[MTRANS]]="Walking",Tabela2[[#This Row],[MTRANS]]="Bike"),Tabela2[[#This Row],[FAF_atividade_fisica_frequente_em_horas]]+1,M808)</f>
        <v>0.72989800000000005</v>
      </c>
      <c r="V808">
        <f>(Tabela2[[#This Row],[SMOKE]]+Tabela2[[#This Row],[CALC_bebe_alcool_frequentemente]])</f>
        <v>1</v>
      </c>
      <c r="W808" s="8">
        <f>(Tabela2[[#This Row],[Weight]]/(Tabela2[[#This Row],[Height]] ^2))</f>
        <v>26.014435350937646</v>
      </c>
    </row>
    <row r="809" spans="1:23" x14ac:dyDescent="0.25">
      <c r="A809" t="s">
        <v>15</v>
      </c>
      <c r="B809" s="7">
        <v>26.650418999999999</v>
      </c>
      <c r="C809" s="4">
        <v>1.7910470000000001</v>
      </c>
      <c r="D809" s="7">
        <v>83.263120000000001</v>
      </c>
      <c r="E809">
        <v>0</v>
      </c>
      <c r="F809">
        <v>1</v>
      </c>
      <c r="G809" s="2">
        <v>1.2778499999999999</v>
      </c>
      <c r="H809" s="2">
        <v>3.9995910000000001</v>
      </c>
      <c r="I809">
        <v>1</v>
      </c>
      <c r="J809">
        <v>0</v>
      </c>
      <c r="K809" s="2">
        <v>2.4959440000000002</v>
      </c>
      <c r="L809">
        <v>0</v>
      </c>
      <c r="M809" s="7">
        <v>3.4199999999999999E-3</v>
      </c>
      <c r="N809" s="7">
        <v>1</v>
      </c>
      <c r="O809">
        <v>0</v>
      </c>
      <c r="P809" t="s">
        <v>17</v>
      </c>
      <c r="Q809">
        <v>2</v>
      </c>
      <c r="R809" s="8">
        <f>(Tabela2[[#This Row],[FAF_atividade_fisica_frequente_em_horas]]+ 0.1)</f>
        <v>0.10342000000000001</v>
      </c>
      <c r="S809" s="1">
        <f>(Tabela2[[#This Row],[TUE_tempo_uso_aparelhos_em_horas]]/Tabela2[[#This Row],[FAF_Var]])</f>
        <v>9.6693096112937518</v>
      </c>
      <c r="T809">
        <f>(Tabela2[[#This Row],[CAEC_lanche_entre_refeicoes]]*Tabela2[[#This Row],[FAVC_consumo_frequente_de_alimentos_mt_caloricos]])</f>
        <v>1</v>
      </c>
      <c r="U809" s="1">
        <f>IF(OR(Tabela2[[#This Row],[MTRANS]]="Walking",Tabela2[[#This Row],[MTRANS]]="Bike"),Tabela2[[#This Row],[FAF_atividade_fisica_frequente_em_horas]]+1,M809)</f>
        <v>3.4199999999999999E-3</v>
      </c>
      <c r="V809">
        <f>(Tabela2[[#This Row],[SMOKE]]+Tabela2[[#This Row],[CALC_bebe_alcool_frequentemente]])</f>
        <v>0</v>
      </c>
      <c r="W809" s="8">
        <f>(Tabela2[[#This Row],[Weight]]/(Tabela2[[#This Row],[Height]] ^2))</f>
        <v>25.956056770196781</v>
      </c>
    </row>
    <row r="810" spans="1:23" x14ac:dyDescent="0.25">
      <c r="A810" t="s">
        <v>15</v>
      </c>
      <c r="B810" s="7">
        <v>21.618245999999999</v>
      </c>
      <c r="C810" s="4">
        <v>1.679306</v>
      </c>
      <c r="D810" s="7">
        <v>75</v>
      </c>
      <c r="E810">
        <v>1</v>
      </c>
      <c r="F810">
        <v>1</v>
      </c>
      <c r="G810" s="2">
        <v>2</v>
      </c>
      <c r="H810" s="2">
        <v>3</v>
      </c>
      <c r="I810">
        <v>1</v>
      </c>
      <c r="J810">
        <v>0</v>
      </c>
      <c r="K810" s="2">
        <v>1.9578709999999999</v>
      </c>
      <c r="L810">
        <v>0</v>
      </c>
      <c r="M810" s="7">
        <v>0.99459200000000003</v>
      </c>
      <c r="N810" s="7">
        <v>0.117303</v>
      </c>
      <c r="O810">
        <v>1</v>
      </c>
      <c r="P810" t="s">
        <v>14</v>
      </c>
      <c r="Q810">
        <v>2</v>
      </c>
      <c r="R810" s="8">
        <f>(Tabela2[[#This Row],[FAF_atividade_fisica_frequente_em_horas]]+ 0.1)</f>
        <v>1.094592</v>
      </c>
      <c r="S810" s="1">
        <f>(Tabela2[[#This Row],[TUE_tempo_uso_aparelhos_em_horas]]/Tabela2[[#This Row],[FAF_Var]])</f>
        <v>0.10716595772671461</v>
      </c>
      <c r="T810">
        <f>(Tabela2[[#This Row],[CAEC_lanche_entre_refeicoes]]*Tabela2[[#This Row],[FAVC_consumo_frequente_de_alimentos_mt_caloricos]])</f>
        <v>1</v>
      </c>
      <c r="U810" s="1">
        <f>IF(OR(Tabela2[[#This Row],[MTRANS]]="Walking",Tabela2[[#This Row],[MTRANS]]="Bike"),Tabela2[[#This Row],[FAF_atividade_fisica_frequente_em_horas]]+1,M810)</f>
        <v>0.99459200000000003</v>
      </c>
      <c r="V810">
        <f>(Tabela2[[#This Row],[SMOKE]]+Tabela2[[#This Row],[CALC_bebe_alcool_frequentemente]])</f>
        <v>1</v>
      </c>
      <c r="W810" s="8">
        <f>(Tabela2[[#This Row],[Weight]]/(Tabela2[[#This Row],[Height]] ^2))</f>
        <v>26.595097329436076</v>
      </c>
    </row>
    <row r="811" spans="1:23" x14ac:dyDescent="0.25">
      <c r="A811" t="s">
        <v>13</v>
      </c>
      <c r="B811" s="7">
        <v>21.012542</v>
      </c>
      <c r="C811" s="4">
        <v>1.6151450000000001</v>
      </c>
      <c r="D811" s="7">
        <v>68.653346999999997</v>
      </c>
      <c r="E811">
        <v>1</v>
      </c>
      <c r="F811">
        <v>1</v>
      </c>
      <c r="G811" s="2">
        <v>1.729824</v>
      </c>
      <c r="H811" s="2">
        <v>3.6129410000000002</v>
      </c>
      <c r="I811">
        <v>0</v>
      </c>
      <c r="J811">
        <v>0</v>
      </c>
      <c r="K811" s="2">
        <v>2.0437029999999998</v>
      </c>
      <c r="L811">
        <v>0</v>
      </c>
      <c r="M811" s="7">
        <v>0.56211800000000001</v>
      </c>
      <c r="N811" s="7">
        <v>0.42664299999999999</v>
      </c>
      <c r="O811">
        <v>1</v>
      </c>
      <c r="P811" t="s">
        <v>14</v>
      </c>
      <c r="Q811">
        <v>2</v>
      </c>
      <c r="R811" s="8">
        <f>(Tabela2[[#This Row],[FAF_atividade_fisica_frequente_em_horas]]+ 0.1)</f>
        <v>0.66211799999999998</v>
      </c>
      <c r="S811" s="1">
        <f>(Tabela2[[#This Row],[TUE_tempo_uso_aparelhos_em_horas]]/Tabela2[[#This Row],[FAF_Var]])</f>
        <v>0.64436097493196076</v>
      </c>
      <c r="T811">
        <f>(Tabela2[[#This Row],[CAEC_lanche_entre_refeicoes]]*Tabela2[[#This Row],[FAVC_consumo_frequente_de_alimentos_mt_caloricos]])</f>
        <v>0</v>
      </c>
      <c r="U811" s="1">
        <f>IF(OR(Tabela2[[#This Row],[MTRANS]]="Walking",Tabela2[[#This Row],[MTRANS]]="Bike"),Tabela2[[#This Row],[FAF_atividade_fisica_frequente_em_horas]]+1,M811)</f>
        <v>0.56211800000000001</v>
      </c>
      <c r="V811">
        <f>(Tabela2[[#This Row],[SMOKE]]+Tabela2[[#This Row],[CALC_bebe_alcool_frequentemente]])</f>
        <v>1</v>
      </c>
      <c r="W811" s="8">
        <f>(Tabela2[[#This Row],[Weight]]/(Tabela2[[#This Row],[Height]] ^2))</f>
        <v>26.317139362770305</v>
      </c>
    </row>
    <row r="812" spans="1:23" x14ac:dyDescent="0.25">
      <c r="A812" t="s">
        <v>13</v>
      </c>
      <c r="B812" s="7">
        <v>21.071194999999999</v>
      </c>
      <c r="C812" s="4">
        <v>1.6164670000000001</v>
      </c>
      <c r="D812" s="7">
        <v>68.771850000000001</v>
      </c>
      <c r="E812">
        <v>1</v>
      </c>
      <c r="F812">
        <v>1</v>
      </c>
      <c r="G812" s="2">
        <v>1.4525239999999999</v>
      </c>
      <c r="H812" s="2">
        <v>3.9505530000000002</v>
      </c>
      <c r="I812">
        <v>0</v>
      </c>
      <c r="J812">
        <v>0</v>
      </c>
      <c r="K812" s="2">
        <v>2.109858</v>
      </c>
      <c r="L812">
        <v>0</v>
      </c>
      <c r="M812" s="7">
        <v>0.50884700000000005</v>
      </c>
      <c r="N812" s="7">
        <v>1.1946330000000001</v>
      </c>
      <c r="O812">
        <v>1</v>
      </c>
      <c r="P812" t="s">
        <v>14</v>
      </c>
      <c r="Q812">
        <v>2</v>
      </c>
      <c r="R812" s="8">
        <f>(Tabela2[[#This Row],[FAF_atividade_fisica_frequente_em_horas]]+ 0.1)</f>
        <v>0.60884700000000003</v>
      </c>
      <c r="S812" s="1">
        <f>(Tabela2[[#This Row],[TUE_tempo_uso_aparelhos_em_horas]]/Tabela2[[#This Row],[FAF_Var]])</f>
        <v>1.9621234891524473</v>
      </c>
      <c r="T812">
        <f>(Tabela2[[#This Row],[CAEC_lanche_entre_refeicoes]]*Tabela2[[#This Row],[FAVC_consumo_frequente_de_alimentos_mt_caloricos]])</f>
        <v>0</v>
      </c>
      <c r="U812" s="1">
        <f>IF(OR(Tabela2[[#This Row],[MTRANS]]="Walking",Tabela2[[#This Row],[MTRANS]]="Bike"),Tabela2[[#This Row],[FAF_atividade_fisica_frequente_em_horas]]+1,M812)</f>
        <v>0.50884700000000005</v>
      </c>
      <c r="V812">
        <f>(Tabela2[[#This Row],[SMOKE]]+Tabela2[[#This Row],[CALC_bebe_alcool_frequentemente]])</f>
        <v>1</v>
      </c>
      <c r="W812" s="8">
        <f>(Tabela2[[#This Row],[Weight]]/(Tabela2[[#This Row],[Height]] ^2))</f>
        <v>26.319462834794745</v>
      </c>
    </row>
    <row r="813" spans="1:23" x14ac:dyDescent="0.25">
      <c r="A813" t="s">
        <v>15</v>
      </c>
      <c r="B813" s="7">
        <v>19.741202000000001</v>
      </c>
      <c r="C813" s="4">
        <v>1.816783</v>
      </c>
      <c r="D813" s="7">
        <v>86.522799000000006</v>
      </c>
      <c r="E813">
        <v>1</v>
      </c>
      <c r="F813">
        <v>1</v>
      </c>
      <c r="G813" s="2">
        <v>2</v>
      </c>
      <c r="H813" s="2">
        <v>3</v>
      </c>
      <c r="I813">
        <v>1</v>
      </c>
      <c r="J813">
        <v>0</v>
      </c>
      <c r="K813" s="2">
        <v>2.1773859999999998</v>
      </c>
      <c r="L813">
        <v>0</v>
      </c>
      <c r="M813" s="7">
        <v>0.336814</v>
      </c>
      <c r="N813" s="7">
        <v>4.8129999999999996E-3</v>
      </c>
      <c r="O813">
        <v>1</v>
      </c>
      <c r="P813" t="s">
        <v>14</v>
      </c>
      <c r="Q813">
        <v>2</v>
      </c>
      <c r="R813" s="8">
        <f>(Tabela2[[#This Row],[FAF_atividade_fisica_frequente_em_horas]]+ 0.1)</f>
        <v>0.43681400000000004</v>
      </c>
      <c r="S813" s="1">
        <f>(Tabela2[[#This Row],[TUE_tempo_uso_aparelhos_em_horas]]/Tabela2[[#This Row],[FAF_Var]])</f>
        <v>1.1018419739294068E-2</v>
      </c>
      <c r="T813">
        <f>(Tabela2[[#This Row],[CAEC_lanche_entre_refeicoes]]*Tabela2[[#This Row],[FAVC_consumo_frequente_de_alimentos_mt_caloricos]])</f>
        <v>1</v>
      </c>
      <c r="U813" s="1">
        <f>IF(OR(Tabela2[[#This Row],[MTRANS]]="Walking",Tabela2[[#This Row],[MTRANS]]="Bike"),Tabela2[[#This Row],[FAF_atividade_fisica_frequente_em_horas]]+1,M813)</f>
        <v>0.336814</v>
      </c>
      <c r="V813">
        <f>(Tabela2[[#This Row],[SMOKE]]+Tabela2[[#This Row],[CALC_bebe_alcool_frequentemente]])</f>
        <v>1</v>
      </c>
      <c r="W813" s="8">
        <f>(Tabela2[[#This Row],[Weight]]/(Tabela2[[#This Row],[Height]] ^2))</f>
        <v>26.213465841655264</v>
      </c>
    </row>
    <row r="814" spans="1:23" x14ac:dyDescent="0.25">
      <c r="A814" t="s">
        <v>15</v>
      </c>
      <c r="B814" s="7">
        <v>19.216380000000001</v>
      </c>
      <c r="C814" s="4">
        <v>1.8124720000000001</v>
      </c>
      <c r="D814" s="7">
        <v>86.748294999999999</v>
      </c>
      <c r="E814">
        <v>1</v>
      </c>
      <c r="F814">
        <v>1</v>
      </c>
      <c r="G814" s="2">
        <v>2</v>
      </c>
      <c r="H814" s="2">
        <v>3</v>
      </c>
      <c r="I814">
        <v>1</v>
      </c>
      <c r="J814">
        <v>0</v>
      </c>
      <c r="K814" s="2">
        <v>2.1686510000000001</v>
      </c>
      <c r="L814">
        <v>0</v>
      </c>
      <c r="M814" s="7">
        <v>0.97799800000000003</v>
      </c>
      <c r="N814" s="7">
        <v>0.14263799999999999</v>
      </c>
      <c r="O814">
        <v>1</v>
      </c>
      <c r="P814" t="s">
        <v>14</v>
      </c>
      <c r="Q814">
        <v>2</v>
      </c>
      <c r="R814" s="8">
        <f>(Tabela2[[#This Row],[FAF_atividade_fisica_frequente_em_horas]]+ 0.1)</f>
        <v>1.077998</v>
      </c>
      <c r="S814" s="1">
        <f>(Tabela2[[#This Row],[TUE_tempo_uso_aparelhos_em_horas]]/Tabela2[[#This Row],[FAF_Var]])</f>
        <v>0.13231749966140938</v>
      </c>
      <c r="T814">
        <f>(Tabela2[[#This Row],[CAEC_lanche_entre_refeicoes]]*Tabela2[[#This Row],[FAVC_consumo_frequente_de_alimentos_mt_caloricos]])</f>
        <v>1</v>
      </c>
      <c r="U814" s="1">
        <f>IF(OR(Tabela2[[#This Row],[MTRANS]]="Walking",Tabela2[[#This Row],[MTRANS]]="Bike"),Tabela2[[#This Row],[FAF_atividade_fisica_frequente_em_horas]]+1,M814)</f>
        <v>0.97799800000000003</v>
      </c>
      <c r="V814">
        <f>(Tabela2[[#This Row],[SMOKE]]+Tabela2[[#This Row],[CALC_bebe_alcool_frequentemente]])</f>
        <v>1</v>
      </c>
      <c r="W814" s="8">
        <f>(Tabela2[[#This Row],[Weight]]/(Tabela2[[#This Row],[Height]] ^2))</f>
        <v>26.40695561597472</v>
      </c>
    </row>
    <row r="815" spans="1:23" x14ac:dyDescent="0.25">
      <c r="A815" t="s">
        <v>13</v>
      </c>
      <c r="B815" s="7">
        <v>42.244750000000003</v>
      </c>
      <c r="C815" s="4">
        <v>1.7682310000000001</v>
      </c>
      <c r="D815" s="7">
        <v>75.629310000000004</v>
      </c>
      <c r="E815">
        <v>1</v>
      </c>
      <c r="F815">
        <v>1</v>
      </c>
      <c r="G815" s="2">
        <v>3</v>
      </c>
      <c r="H815" s="2">
        <v>2.9518369999999998</v>
      </c>
      <c r="I815">
        <v>1</v>
      </c>
      <c r="J815">
        <v>0</v>
      </c>
      <c r="K815" s="2">
        <v>2.1120320000000001</v>
      </c>
      <c r="L815">
        <v>0</v>
      </c>
      <c r="M815" s="7">
        <v>0.37868299999999999</v>
      </c>
      <c r="N815" s="7">
        <v>0</v>
      </c>
      <c r="O815">
        <v>1</v>
      </c>
      <c r="P815" t="s">
        <v>17</v>
      </c>
      <c r="Q815">
        <v>2</v>
      </c>
      <c r="R815" s="8">
        <f>(Tabela2[[#This Row],[FAF_atividade_fisica_frequente_em_horas]]+ 0.1)</f>
        <v>0.47868299999999997</v>
      </c>
      <c r="S815" s="1">
        <f>(Tabela2[[#This Row],[TUE_tempo_uso_aparelhos_em_horas]]/Tabela2[[#This Row],[FAF_Var]])</f>
        <v>0</v>
      </c>
      <c r="T815">
        <f>(Tabela2[[#This Row],[CAEC_lanche_entre_refeicoes]]*Tabela2[[#This Row],[FAVC_consumo_frequente_de_alimentos_mt_caloricos]])</f>
        <v>1</v>
      </c>
      <c r="U815" s="1">
        <f>IF(OR(Tabela2[[#This Row],[MTRANS]]="Walking",Tabela2[[#This Row],[MTRANS]]="Bike"),Tabela2[[#This Row],[FAF_atividade_fisica_frequente_em_horas]]+1,M815)</f>
        <v>0.37868299999999999</v>
      </c>
      <c r="V815">
        <f>(Tabela2[[#This Row],[SMOKE]]+Tabela2[[#This Row],[CALC_bebe_alcool_frequentemente]])</f>
        <v>1</v>
      </c>
      <c r="W815" s="8">
        <f>(Tabela2[[#This Row],[Weight]]/(Tabela2[[#This Row],[Height]] ^2))</f>
        <v>24.188678252471178</v>
      </c>
    </row>
    <row r="816" spans="1:23" x14ac:dyDescent="0.25">
      <c r="A816" t="s">
        <v>15</v>
      </c>
      <c r="B816" s="7">
        <v>22.283082</v>
      </c>
      <c r="C816" s="4">
        <v>1.8709309999999999</v>
      </c>
      <c r="D816" s="7">
        <v>89.251638999999997</v>
      </c>
      <c r="E816">
        <v>1</v>
      </c>
      <c r="F816">
        <v>1</v>
      </c>
      <c r="G816" s="2">
        <v>2</v>
      </c>
      <c r="H816" s="2">
        <v>2.799979</v>
      </c>
      <c r="I816">
        <v>1</v>
      </c>
      <c r="J816">
        <v>0</v>
      </c>
      <c r="K816" s="2">
        <v>1.0813330000000001</v>
      </c>
      <c r="L816">
        <v>0</v>
      </c>
      <c r="M816" s="7">
        <v>0.44434699999999999</v>
      </c>
      <c r="N816" s="7">
        <v>1</v>
      </c>
      <c r="O816">
        <v>1</v>
      </c>
      <c r="P816" t="s">
        <v>14</v>
      </c>
      <c r="Q816">
        <v>2</v>
      </c>
      <c r="R816" s="8">
        <f>(Tabela2[[#This Row],[FAF_atividade_fisica_frequente_em_horas]]+ 0.1)</f>
        <v>0.54434700000000003</v>
      </c>
      <c r="S816" s="1">
        <f>(Tabela2[[#This Row],[TUE_tempo_uso_aparelhos_em_horas]]/Tabela2[[#This Row],[FAF_Var]])</f>
        <v>1.8370634907513037</v>
      </c>
      <c r="T816">
        <f>(Tabela2[[#This Row],[CAEC_lanche_entre_refeicoes]]*Tabela2[[#This Row],[FAVC_consumo_frequente_de_alimentos_mt_caloricos]])</f>
        <v>1</v>
      </c>
      <c r="U816" s="1">
        <f>IF(OR(Tabela2[[#This Row],[MTRANS]]="Walking",Tabela2[[#This Row],[MTRANS]]="Bike"),Tabela2[[#This Row],[FAF_atividade_fisica_frequente_em_horas]]+1,M816)</f>
        <v>0.44434699999999999</v>
      </c>
      <c r="V816">
        <f>(Tabela2[[#This Row],[SMOKE]]+Tabela2[[#This Row],[CALC_bebe_alcool_frequentemente]])</f>
        <v>1</v>
      </c>
      <c r="W816" s="8">
        <f>(Tabela2[[#This Row],[Weight]]/(Tabela2[[#This Row],[Height]] ^2))</f>
        <v>25.497679518825827</v>
      </c>
    </row>
    <row r="817" spans="1:23" x14ac:dyDescent="0.25">
      <c r="A817" t="s">
        <v>15</v>
      </c>
      <c r="B817" s="7">
        <v>21.086511999999999</v>
      </c>
      <c r="C817" s="4">
        <v>1.863685</v>
      </c>
      <c r="D817" s="7">
        <v>89.558853999999997</v>
      </c>
      <c r="E817">
        <v>1</v>
      </c>
      <c r="F817">
        <v>1</v>
      </c>
      <c r="G817" s="2">
        <v>2</v>
      </c>
      <c r="H817" s="2">
        <v>3</v>
      </c>
      <c r="I817">
        <v>1</v>
      </c>
      <c r="J817">
        <v>0</v>
      </c>
      <c r="K817" s="2">
        <v>1.005727</v>
      </c>
      <c r="L817">
        <v>0</v>
      </c>
      <c r="M817" s="7">
        <v>0</v>
      </c>
      <c r="N817" s="7">
        <v>0.79821900000000001</v>
      </c>
      <c r="O817">
        <v>1</v>
      </c>
      <c r="P817" t="s">
        <v>14</v>
      </c>
      <c r="Q817">
        <v>2</v>
      </c>
      <c r="R817" s="8">
        <f>(Tabela2[[#This Row],[FAF_atividade_fisica_frequente_em_horas]]+ 0.1)</f>
        <v>0.1</v>
      </c>
      <c r="S817" s="1">
        <f>(Tabela2[[#This Row],[TUE_tempo_uso_aparelhos_em_horas]]/Tabela2[[#This Row],[FAF_Var]])</f>
        <v>7.9821900000000001</v>
      </c>
      <c r="T817">
        <f>(Tabela2[[#This Row],[CAEC_lanche_entre_refeicoes]]*Tabela2[[#This Row],[FAVC_consumo_frequente_de_alimentos_mt_caloricos]])</f>
        <v>1</v>
      </c>
      <c r="U817" s="1">
        <f>IF(OR(Tabela2[[#This Row],[MTRANS]]="Walking",Tabela2[[#This Row],[MTRANS]]="Bike"),Tabela2[[#This Row],[FAF_atividade_fisica_frequente_em_horas]]+1,M817)</f>
        <v>0</v>
      </c>
      <c r="V817">
        <f>(Tabela2[[#This Row],[SMOKE]]+Tabela2[[#This Row],[CALC_bebe_alcool_frequentemente]])</f>
        <v>1</v>
      </c>
      <c r="W817" s="8">
        <f>(Tabela2[[#This Row],[Weight]]/(Tabela2[[#This Row],[Height]] ^2))</f>
        <v>25.784784621937103</v>
      </c>
    </row>
    <row r="818" spans="1:23" x14ac:dyDescent="0.25">
      <c r="A818" t="s">
        <v>15</v>
      </c>
      <c r="B818" s="7">
        <v>23.451595000000001</v>
      </c>
      <c r="C818" s="4">
        <v>1.6702269999999999</v>
      </c>
      <c r="D818" s="7">
        <v>75</v>
      </c>
      <c r="E818">
        <v>1</v>
      </c>
      <c r="F818">
        <v>1</v>
      </c>
      <c r="G818" s="2">
        <v>2</v>
      </c>
      <c r="H818" s="2">
        <v>3</v>
      </c>
      <c r="I818">
        <v>1</v>
      </c>
      <c r="J818">
        <v>0</v>
      </c>
      <c r="K818" s="2">
        <v>2</v>
      </c>
      <c r="L818">
        <v>0</v>
      </c>
      <c r="M818" s="7">
        <v>0.129163</v>
      </c>
      <c r="N818" s="7">
        <v>1.9836780000000001</v>
      </c>
      <c r="O818">
        <v>1</v>
      </c>
      <c r="P818" t="s">
        <v>14</v>
      </c>
      <c r="Q818">
        <v>2</v>
      </c>
      <c r="R818" s="8">
        <f>(Tabela2[[#This Row],[FAF_atividade_fisica_frequente_em_horas]]+ 0.1)</f>
        <v>0.22916300000000001</v>
      </c>
      <c r="S818" s="1">
        <f>(Tabela2[[#This Row],[TUE_tempo_uso_aparelhos_em_horas]]/Tabela2[[#This Row],[FAF_Var]])</f>
        <v>8.6561879535527115</v>
      </c>
      <c r="T818">
        <f>(Tabela2[[#This Row],[CAEC_lanche_entre_refeicoes]]*Tabela2[[#This Row],[FAVC_consumo_frequente_de_alimentos_mt_caloricos]])</f>
        <v>1</v>
      </c>
      <c r="U818" s="1">
        <f>IF(OR(Tabela2[[#This Row],[MTRANS]]="Walking",Tabela2[[#This Row],[MTRANS]]="Bike"),Tabela2[[#This Row],[FAF_atividade_fisica_frequente_em_horas]]+1,M818)</f>
        <v>0.129163</v>
      </c>
      <c r="V818">
        <f>(Tabela2[[#This Row],[SMOKE]]+Tabela2[[#This Row],[CALC_bebe_alcool_frequentemente]])</f>
        <v>1</v>
      </c>
      <c r="W818" s="8">
        <f>(Tabela2[[#This Row],[Weight]]/(Tabela2[[#This Row],[Height]] ^2))</f>
        <v>26.885013781380962</v>
      </c>
    </row>
    <row r="819" spans="1:23" x14ac:dyDescent="0.25">
      <c r="A819" t="s">
        <v>15</v>
      </c>
      <c r="B819" s="7">
        <v>22.740275</v>
      </c>
      <c r="C819" s="4">
        <v>1.7172879999999999</v>
      </c>
      <c r="D819" s="7">
        <v>75.948164000000006</v>
      </c>
      <c r="E819">
        <v>1</v>
      </c>
      <c r="F819">
        <v>1</v>
      </c>
      <c r="G819" s="2">
        <v>2</v>
      </c>
      <c r="H819" s="2">
        <v>3</v>
      </c>
      <c r="I819">
        <v>1</v>
      </c>
      <c r="J819">
        <v>0</v>
      </c>
      <c r="K819" s="2">
        <v>2</v>
      </c>
      <c r="L819">
        <v>0</v>
      </c>
      <c r="M819" s="7">
        <v>0</v>
      </c>
      <c r="N819" s="7">
        <v>2</v>
      </c>
      <c r="O819">
        <v>1</v>
      </c>
      <c r="P819" t="s">
        <v>14</v>
      </c>
      <c r="Q819">
        <v>2</v>
      </c>
      <c r="R819" s="8">
        <f>(Tabela2[[#This Row],[FAF_atividade_fisica_frequente_em_horas]]+ 0.1)</f>
        <v>0.1</v>
      </c>
      <c r="S819" s="1">
        <f>(Tabela2[[#This Row],[TUE_tempo_uso_aparelhos_em_horas]]/Tabela2[[#This Row],[FAF_Var]])</f>
        <v>20</v>
      </c>
      <c r="T819">
        <f>(Tabela2[[#This Row],[CAEC_lanche_entre_refeicoes]]*Tabela2[[#This Row],[FAVC_consumo_frequente_de_alimentos_mt_caloricos]])</f>
        <v>1</v>
      </c>
      <c r="U819" s="1">
        <f>IF(OR(Tabela2[[#This Row],[MTRANS]]="Walking",Tabela2[[#This Row],[MTRANS]]="Bike"),Tabela2[[#This Row],[FAF_atividade_fisica_frequente_em_horas]]+1,M819)</f>
        <v>0</v>
      </c>
      <c r="V819">
        <f>(Tabela2[[#This Row],[SMOKE]]+Tabela2[[#This Row],[CALC_bebe_alcool_frequentemente]])</f>
        <v>1</v>
      </c>
      <c r="W819" s="8">
        <f>(Tabela2[[#This Row],[Weight]]/(Tabela2[[#This Row],[Height]] ^2))</f>
        <v>25.753188647418973</v>
      </c>
    </row>
    <row r="820" spans="1:23" x14ac:dyDescent="0.25">
      <c r="A820" t="s">
        <v>15</v>
      </c>
      <c r="B820" s="7">
        <v>18.900252999999999</v>
      </c>
      <c r="C820" s="4">
        <v>1.750359</v>
      </c>
      <c r="D820" s="7">
        <v>79.828725000000006</v>
      </c>
      <c r="E820">
        <v>1</v>
      </c>
      <c r="F820">
        <v>1</v>
      </c>
      <c r="G820" s="2">
        <v>2</v>
      </c>
      <c r="H820" s="2">
        <v>2.228113</v>
      </c>
      <c r="I820">
        <v>1</v>
      </c>
      <c r="J820">
        <v>0</v>
      </c>
      <c r="K820" s="2">
        <v>2.045004</v>
      </c>
      <c r="L820">
        <v>0</v>
      </c>
      <c r="M820" s="7">
        <v>1.2936650000000001</v>
      </c>
      <c r="N820" s="7">
        <v>0.96180600000000005</v>
      </c>
      <c r="O820">
        <v>2</v>
      </c>
      <c r="P820" t="s">
        <v>14</v>
      </c>
      <c r="Q820">
        <v>2</v>
      </c>
      <c r="R820" s="8">
        <f>(Tabela2[[#This Row],[FAF_atividade_fisica_frequente_em_horas]]+ 0.1)</f>
        <v>1.3936650000000002</v>
      </c>
      <c r="S820" s="1">
        <f>(Tabela2[[#This Row],[TUE_tempo_uso_aparelhos_em_horas]]/Tabela2[[#This Row],[FAF_Var]])</f>
        <v>0.69012711089106771</v>
      </c>
      <c r="T820">
        <f>(Tabela2[[#This Row],[CAEC_lanche_entre_refeicoes]]*Tabela2[[#This Row],[FAVC_consumo_frequente_de_alimentos_mt_caloricos]])</f>
        <v>1</v>
      </c>
      <c r="U820" s="1">
        <f>IF(OR(Tabela2[[#This Row],[MTRANS]]="Walking",Tabela2[[#This Row],[MTRANS]]="Bike"),Tabela2[[#This Row],[FAF_atividade_fisica_frequente_em_horas]]+1,M820)</f>
        <v>1.2936650000000001</v>
      </c>
      <c r="V820">
        <f>(Tabela2[[#This Row],[SMOKE]]+Tabela2[[#This Row],[CALC_bebe_alcool_frequentemente]])</f>
        <v>2</v>
      </c>
      <c r="W820" s="8">
        <f>(Tabela2[[#This Row],[Weight]]/(Tabela2[[#This Row],[Height]] ^2))</f>
        <v>26.05583101721643</v>
      </c>
    </row>
    <row r="821" spans="1:23" x14ac:dyDescent="0.25">
      <c r="A821" t="s">
        <v>15</v>
      </c>
      <c r="B821" s="7">
        <v>23.170309</v>
      </c>
      <c r="C821" s="4">
        <v>1.707557</v>
      </c>
      <c r="D821" s="7">
        <v>75.306702000000001</v>
      </c>
      <c r="E821">
        <v>1</v>
      </c>
      <c r="F821">
        <v>1</v>
      </c>
      <c r="G821" s="2">
        <v>2.3033670000000002</v>
      </c>
      <c r="H821" s="2">
        <v>3.0427740000000001</v>
      </c>
      <c r="I821">
        <v>1</v>
      </c>
      <c r="J821">
        <v>0</v>
      </c>
      <c r="K821" s="2">
        <v>1.277636</v>
      </c>
      <c r="L821">
        <v>0</v>
      </c>
      <c r="M821" s="7">
        <v>0.94498199999999999</v>
      </c>
      <c r="N821" s="7">
        <v>0.36612600000000001</v>
      </c>
      <c r="O821">
        <v>1</v>
      </c>
      <c r="P821" t="s">
        <v>14</v>
      </c>
      <c r="Q821">
        <v>2</v>
      </c>
      <c r="R821" s="8">
        <f>(Tabela2[[#This Row],[FAF_atividade_fisica_frequente_em_horas]]+ 0.1)</f>
        <v>1.0449820000000001</v>
      </c>
      <c r="S821" s="1">
        <f>(Tabela2[[#This Row],[TUE_tempo_uso_aparelhos_em_horas]]/Tabela2[[#This Row],[FAF_Var]])</f>
        <v>0.35036584362218676</v>
      </c>
      <c r="T821">
        <f>(Tabela2[[#This Row],[CAEC_lanche_entre_refeicoes]]*Tabela2[[#This Row],[FAVC_consumo_frequente_de_alimentos_mt_caloricos]])</f>
        <v>1</v>
      </c>
      <c r="U821" s="1">
        <f>IF(OR(Tabela2[[#This Row],[MTRANS]]="Walking",Tabela2[[#This Row],[MTRANS]]="Bike"),Tabela2[[#This Row],[FAF_atividade_fisica_frequente_em_horas]]+1,M821)</f>
        <v>0.94498199999999999</v>
      </c>
      <c r="V821">
        <f>(Tabela2[[#This Row],[SMOKE]]+Tabela2[[#This Row],[CALC_bebe_alcool_frequentemente]])</f>
        <v>1</v>
      </c>
      <c r="W821" s="8">
        <f>(Tabela2[[#This Row],[Weight]]/(Tabela2[[#This Row],[Height]] ^2))</f>
        <v>25.827549872984189</v>
      </c>
    </row>
    <row r="822" spans="1:23" x14ac:dyDescent="0.25">
      <c r="A822" t="s">
        <v>13</v>
      </c>
      <c r="B822" s="7">
        <v>32.997118</v>
      </c>
      <c r="C822" s="4">
        <v>1.6724460000000001</v>
      </c>
      <c r="D822" s="7">
        <v>74.812707000000003</v>
      </c>
      <c r="E822">
        <v>1</v>
      </c>
      <c r="F822">
        <v>1</v>
      </c>
      <c r="G822" s="2">
        <v>2.9484249999999999</v>
      </c>
      <c r="H822" s="2">
        <v>1.1986429999999999</v>
      </c>
      <c r="I822">
        <v>1</v>
      </c>
      <c r="J822">
        <v>0</v>
      </c>
      <c r="K822" s="2">
        <v>1</v>
      </c>
      <c r="L822">
        <v>0</v>
      </c>
      <c r="M822" s="7">
        <v>0</v>
      </c>
      <c r="N822" s="7">
        <v>0.17379600000000001</v>
      </c>
      <c r="O822">
        <v>1</v>
      </c>
      <c r="P822" t="s">
        <v>17</v>
      </c>
      <c r="Q822">
        <v>2</v>
      </c>
      <c r="R822" s="8">
        <f>(Tabela2[[#This Row],[FAF_atividade_fisica_frequente_em_horas]]+ 0.1)</f>
        <v>0.1</v>
      </c>
      <c r="S822" s="1">
        <f>(Tabela2[[#This Row],[TUE_tempo_uso_aparelhos_em_horas]]/Tabela2[[#This Row],[FAF_Var]])</f>
        <v>1.7379599999999999</v>
      </c>
      <c r="T822">
        <f>(Tabela2[[#This Row],[CAEC_lanche_entre_refeicoes]]*Tabela2[[#This Row],[FAVC_consumo_frequente_de_alimentos_mt_caloricos]])</f>
        <v>1</v>
      </c>
      <c r="U822" s="1">
        <f>IF(OR(Tabela2[[#This Row],[MTRANS]]="Walking",Tabela2[[#This Row],[MTRANS]]="Bike"),Tabela2[[#This Row],[FAF_atividade_fisica_frequente_em_horas]]+1,M822)</f>
        <v>0</v>
      </c>
      <c r="V822">
        <f>(Tabela2[[#This Row],[SMOKE]]+Tabela2[[#This Row],[CALC_bebe_alcool_frequentemente]])</f>
        <v>1</v>
      </c>
      <c r="W822" s="8">
        <f>(Tabela2[[#This Row],[Weight]]/(Tabela2[[#This Row],[Height]] ^2))</f>
        <v>26.746758788740376</v>
      </c>
    </row>
    <row r="823" spans="1:23" x14ac:dyDescent="0.25">
      <c r="A823" t="s">
        <v>13</v>
      </c>
      <c r="B823" s="7">
        <v>32.501142999999999</v>
      </c>
      <c r="C823" s="4">
        <v>1.6759790000000001</v>
      </c>
      <c r="D823" s="7">
        <v>74.959746999999993</v>
      </c>
      <c r="E823">
        <v>1</v>
      </c>
      <c r="F823">
        <v>1</v>
      </c>
      <c r="G823" s="2">
        <v>2.291846</v>
      </c>
      <c r="H823" s="2">
        <v>1.5555570000000001</v>
      </c>
      <c r="I823">
        <v>1</v>
      </c>
      <c r="J823">
        <v>0</v>
      </c>
      <c r="K823" s="2">
        <v>1</v>
      </c>
      <c r="L823">
        <v>0</v>
      </c>
      <c r="M823" s="7">
        <v>0</v>
      </c>
      <c r="N823" s="7">
        <v>0.38827099999999998</v>
      </c>
      <c r="O823">
        <v>1</v>
      </c>
      <c r="P823" t="s">
        <v>17</v>
      </c>
      <c r="Q823">
        <v>2</v>
      </c>
      <c r="R823" s="8">
        <f>(Tabela2[[#This Row],[FAF_atividade_fisica_frequente_em_horas]]+ 0.1)</f>
        <v>0.1</v>
      </c>
      <c r="S823" s="1">
        <f>(Tabela2[[#This Row],[TUE_tempo_uso_aparelhos_em_horas]]/Tabela2[[#This Row],[FAF_Var]])</f>
        <v>3.8827099999999994</v>
      </c>
      <c r="T823">
        <f>(Tabela2[[#This Row],[CAEC_lanche_entre_refeicoes]]*Tabela2[[#This Row],[FAVC_consumo_frequente_de_alimentos_mt_caloricos]])</f>
        <v>1</v>
      </c>
      <c r="U823" s="1">
        <f>IF(OR(Tabela2[[#This Row],[MTRANS]]="Walking",Tabela2[[#This Row],[MTRANS]]="Bike"),Tabela2[[#This Row],[FAF_atividade_fisica_frequente_em_horas]]+1,M823)</f>
        <v>0</v>
      </c>
      <c r="V823">
        <f>(Tabela2[[#This Row],[SMOKE]]+Tabela2[[#This Row],[CALC_bebe_alcool_frequentemente]])</f>
        <v>1</v>
      </c>
      <c r="W823" s="8">
        <f>(Tabela2[[#This Row],[Weight]]/(Tabela2[[#This Row],[Height]] ^2))</f>
        <v>26.68645994181491</v>
      </c>
    </row>
    <row r="824" spans="1:23" x14ac:dyDescent="0.25">
      <c r="A824" t="s">
        <v>13</v>
      </c>
      <c r="B824" s="7">
        <v>21.938831</v>
      </c>
      <c r="C824" s="4">
        <v>1.6112390000000001</v>
      </c>
      <c r="D824" s="7">
        <v>67.939653000000007</v>
      </c>
      <c r="E824">
        <v>1</v>
      </c>
      <c r="F824">
        <v>1</v>
      </c>
      <c r="G824" s="2">
        <v>1.9061939999999999</v>
      </c>
      <c r="H824" s="2">
        <v>3.9877069999999999</v>
      </c>
      <c r="I824">
        <v>1</v>
      </c>
      <c r="J824">
        <v>0</v>
      </c>
      <c r="K824" s="2">
        <v>2.5977459999999999</v>
      </c>
      <c r="L824">
        <v>0</v>
      </c>
      <c r="M824" s="7">
        <v>1.922234</v>
      </c>
      <c r="N824" s="7">
        <v>1.3761239999999999</v>
      </c>
      <c r="O824">
        <v>1</v>
      </c>
      <c r="P824" t="s">
        <v>14</v>
      </c>
      <c r="Q824">
        <v>2</v>
      </c>
      <c r="R824" s="8">
        <f>(Tabela2[[#This Row],[FAF_atividade_fisica_frequente_em_horas]]+ 0.1)</f>
        <v>2.0222340000000001</v>
      </c>
      <c r="S824" s="1">
        <f>(Tabela2[[#This Row],[TUE_tempo_uso_aparelhos_em_horas]]/Tabela2[[#This Row],[FAF_Var]])</f>
        <v>0.68049691578719373</v>
      </c>
      <c r="T824">
        <f>(Tabela2[[#This Row],[CAEC_lanche_entre_refeicoes]]*Tabela2[[#This Row],[FAVC_consumo_frequente_de_alimentos_mt_caloricos]])</f>
        <v>1</v>
      </c>
      <c r="U824" s="1">
        <f>IF(OR(Tabela2[[#This Row],[MTRANS]]="Walking",Tabela2[[#This Row],[MTRANS]]="Bike"),Tabela2[[#This Row],[FAF_atividade_fisica_frequente_em_horas]]+1,M824)</f>
        <v>1.922234</v>
      </c>
      <c r="V824">
        <f>(Tabela2[[#This Row],[SMOKE]]+Tabela2[[#This Row],[CALC_bebe_alcool_frequentemente]])</f>
        <v>1</v>
      </c>
      <c r="W824" s="8">
        <f>(Tabela2[[#This Row],[Weight]]/(Tabela2[[#This Row],[Height]] ^2))</f>
        <v>26.169980169141109</v>
      </c>
    </row>
    <row r="825" spans="1:23" x14ac:dyDescent="0.25">
      <c r="A825" t="s">
        <v>13</v>
      </c>
      <c r="B825" s="7">
        <v>21.909534000000001</v>
      </c>
      <c r="C825" s="4">
        <v>1.611356</v>
      </c>
      <c r="D825" s="7">
        <v>68.066090000000003</v>
      </c>
      <c r="E825">
        <v>1</v>
      </c>
      <c r="F825">
        <v>1</v>
      </c>
      <c r="G825" s="2">
        <v>1.834155</v>
      </c>
      <c r="H825" s="2">
        <v>3.9959570000000002</v>
      </c>
      <c r="I825">
        <v>1</v>
      </c>
      <c r="J825">
        <v>0</v>
      </c>
      <c r="K825" s="2">
        <v>2.6328710000000002</v>
      </c>
      <c r="L825">
        <v>0</v>
      </c>
      <c r="M825" s="7">
        <v>1.2361139999999999</v>
      </c>
      <c r="N825" s="7">
        <v>1.9808749999999999</v>
      </c>
      <c r="O825">
        <v>1</v>
      </c>
      <c r="P825" t="s">
        <v>14</v>
      </c>
      <c r="Q825">
        <v>2</v>
      </c>
      <c r="R825" s="8">
        <f>(Tabela2[[#This Row],[FAF_atividade_fisica_frequente_em_horas]]+ 0.1)</f>
        <v>1.336114</v>
      </c>
      <c r="S825" s="1">
        <f>(Tabela2[[#This Row],[TUE_tempo_uso_aparelhos_em_horas]]/Tabela2[[#This Row],[FAF_Var]])</f>
        <v>1.4825643620230009</v>
      </c>
      <c r="T825">
        <f>(Tabela2[[#This Row],[CAEC_lanche_entre_refeicoes]]*Tabela2[[#This Row],[FAVC_consumo_frequente_de_alimentos_mt_caloricos]])</f>
        <v>1</v>
      </c>
      <c r="U825" s="1">
        <f>IF(OR(Tabela2[[#This Row],[MTRANS]]="Walking",Tabela2[[#This Row],[MTRANS]]="Bike"),Tabela2[[#This Row],[FAF_atividade_fisica_frequente_em_horas]]+1,M825)</f>
        <v>1.2361139999999999</v>
      </c>
      <c r="V825">
        <f>(Tabela2[[#This Row],[SMOKE]]+Tabela2[[#This Row],[CALC_bebe_alcool_frequentemente]])</f>
        <v>1</v>
      </c>
      <c r="W825" s="8">
        <f>(Tabela2[[#This Row],[Weight]]/(Tabela2[[#This Row],[Height]] ^2))</f>
        <v>26.214875684489659</v>
      </c>
    </row>
    <row r="826" spans="1:23" x14ac:dyDescent="0.25">
      <c r="A826" t="s">
        <v>15</v>
      </c>
      <c r="B826" s="7">
        <v>21</v>
      </c>
      <c r="C826" s="4">
        <v>1.62</v>
      </c>
      <c r="D826" s="7">
        <v>70</v>
      </c>
      <c r="E826">
        <v>0</v>
      </c>
      <c r="F826">
        <v>1</v>
      </c>
      <c r="G826" s="2">
        <v>2</v>
      </c>
      <c r="H826" s="2">
        <v>1</v>
      </c>
      <c r="I826">
        <v>0</v>
      </c>
      <c r="J826">
        <v>0</v>
      </c>
      <c r="K826" s="2">
        <v>3</v>
      </c>
      <c r="L826">
        <v>0</v>
      </c>
      <c r="M826" s="7">
        <v>1</v>
      </c>
      <c r="N826" s="7">
        <v>0</v>
      </c>
      <c r="O826">
        <v>1</v>
      </c>
      <c r="P826" t="s">
        <v>14</v>
      </c>
      <c r="Q826">
        <v>2</v>
      </c>
      <c r="R826" s="8">
        <f>(Tabela2[[#This Row],[FAF_atividade_fisica_frequente_em_horas]]+ 0.1)</f>
        <v>1.1000000000000001</v>
      </c>
      <c r="S826" s="1">
        <f>(Tabela2[[#This Row],[TUE_tempo_uso_aparelhos_em_horas]]/Tabela2[[#This Row],[FAF_Var]])</f>
        <v>0</v>
      </c>
      <c r="T826">
        <f>(Tabela2[[#This Row],[CAEC_lanche_entre_refeicoes]]*Tabela2[[#This Row],[FAVC_consumo_frequente_de_alimentos_mt_caloricos]])</f>
        <v>0</v>
      </c>
      <c r="U826" s="1">
        <f>IF(OR(Tabela2[[#This Row],[MTRANS]]="Walking",Tabela2[[#This Row],[MTRANS]]="Bike"),Tabela2[[#This Row],[FAF_atividade_fisica_frequente_em_horas]]+1,M826)</f>
        <v>1</v>
      </c>
      <c r="V826">
        <f>(Tabela2[[#This Row],[SMOKE]]+Tabela2[[#This Row],[CALC_bebe_alcool_frequentemente]])</f>
        <v>1</v>
      </c>
      <c r="W826" s="8">
        <f>(Tabela2[[#This Row],[Weight]]/(Tabela2[[#This Row],[Height]] ^2))</f>
        <v>26.672763298277697</v>
      </c>
    </row>
    <row r="827" spans="1:23" x14ac:dyDescent="0.25">
      <c r="A827" t="s">
        <v>13</v>
      </c>
      <c r="B827" s="7">
        <v>37.455751999999997</v>
      </c>
      <c r="C827" s="4">
        <v>1.5089079999999999</v>
      </c>
      <c r="D827" s="7">
        <v>63.183846000000003</v>
      </c>
      <c r="E827">
        <v>1</v>
      </c>
      <c r="F827">
        <v>1</v>
      </c>
      <c r="G827" s="2">
        <v>2.0485820000000001</v>
      </c>
      <c r="H827" s="2">
        <v>1.0471969999999999</v>
      </c>
      <c r="I827">
        <v>1</v>
      </c>
      <c r="J827">
        <v>0</v>
      </c>
      <c r="K827" s="2">
        <v>2</v>
      </c>
      <c r="L827">
        <v>0</v>
      </c>
      <c r="M827" s="7">
        <v>0.15135999999999999</v>
      </c>
      <c r="N827" s="7">
        <v>0.22595999999999999</v>
      </c>
      <c r="O827">
        <v>1</v>
      </c>
      <c r="P827" t="s">
        <v>17</v>
      </c>
      <c r="Q827">
        <v>2</v>
      </c>
      <c r="R827" s="8">
        <f>(Tabela2[[#This Row],[FAF_atividade_fisica_frequente_em_horas]]+ 0.1)</f>
        <v>0.25136000000000003</v>
      </c>
      <c r="S827" s="1">
        <f>(Tabela2[[#This Row],[TUE_tempo_uso_aparelhos_em_horas]]/Tabela2[[#This Row],[FAF_Var]])</f>
        <v>0.89894971355824305</v>
      </c>
      <c r="T827">
        <f>(Tabela2[[#This Row],[CAEC_lanche_entre_refeicoes]]*Tabela2[[#This Row],[FAVC_consumo_frequente_de_alimentos_mt_caloricos]])</f>
        <v>1</v>
      </c>
      <c r="U827" s="1">
        <f>IF(OR(Tabela2[[#This Row],[MTRANS]]="Walking",Tabela2[[#This Row],[MTRANS]]="Bike"),Tabela2[[#This Row],[FAF_atividade_fisica_frequente_em_horas]]+1,M827)</f>
        <v>0.15135999999999999</v>
      </c>
      <c r="V827">
        <f>(Tabela2[[#This Row],[SMOKE]]+Tabela2[[#This Row],[CALC_bebe_alcool_frequentemente]])</f>
        <v>1</v>
      </c>
      <c r="W827" s="8">
        <f>(Tabela2[[#This Row],[Weight]]/(Tabela2[[#This Row],[Height]] ^2))</f>
        <v>27.751121295399201</v>
      </c>
    </row>
    <row r="828" spans="1:23" x14ac:dyDescent="0.25">
      <c r="A828" t="s">
        <v>13</v>
      </c>
      <c r="B828" s="7">
        <v>40</v>
      </c>
      <c r="C828" s="4">
        <v>1.5611090000000001</v>
      </c>
      <c r="D828" s="7">
        <v>62.871794000000001</v>
      </c>
      <c r="E828">
        <v>1</v>
      </c>
      <c r="F828">
        <v>1</v>
      </c>
      <c r="G828" s="2">
        <v>2.948248</v>
      </c>
      <c r="H828" s="2">
        <v>3</v>
      </c>
      <c r="I828">
        <v>1</v>
      </c>
      <c r="J828">
        <v>0</v>
      </c>
      <c r="K828" s="2">
        <v>2.4299110000000002</v>
      </c>
      <c r="L828">
        <v>0</v>
      </c>
      <c r="M828" s="7">
        <v>0.11964</v>
      </c>
      <c r="N828" s="7">
        <v>0.36019299999999999</v>
      </c>
      <c r="O828">
        <v>1</v>
      </c>
      <c r="P828" t="s">
        <v>17</v>
      </c>
      <c r="Q828">
        <v>2</v>
      </c>
      <c r="R828" s="8">
        <f>(Tabela2[[#This Row],[FAF_atividade_fisica_frequente_em_horas]]+ 0.1)</f>
        <v>0.21964</v>
      </c>
      <c r="S828" s="1">
        <f>(Tabela2[[#This Row],[TUE_tempo_uso_aparelhos_em_horas]]/Tabela2[[#This Row],[FAF_Var]])</f>
        <v>1.6399244217810962</v>
      </c>
      <c r="T828">
        <f>(Tabela2[[#This Row],[CAEC_lanche_entre_refeicoes]]*Tabela2[[#This Row],[FAVC_consumo_frequente_de_alimentos_mt_caloricos]])</f>
        <v>1</v>
      </c>
      <c r="U828" s="1">
        <f>IF(OR(Tabela2[[#This Row],[MTRANS]]="Walking",Tabela2[[#This Row],[MTRANS]]="Bike"),Tabela2[[#This Row],[FAF_atividade_fisica_frequente_em_horas]]+1,M828)</f>
        <v>0.11964</v>
      </c>
      <c r="V828">
        <f>(Tabela2[[#This Row],[SMOKE]]+Tabela2[[#This Row],[CALC_bebe_alcool_frequentemente]])</f>
        <v>1</v>
      </c>
      <c r="W828" s="8">
        <f>(Tabela2[[#This Row],[Weight]]/(Tabela2[[#This Row],[Height]] ^2))</f>
        <v>25.79819955496728</v>
      </c>
    </row>
    <row r="829" spans="1:23" x14ac:dyDescent="0.25">
      <c r="A829" t="s">
        <v>13</v>
      </c>
      <c r="B829" s="7">
        <v>38.943282000000004</v>
      </c>
      <c r="C829" s="4">
        <v>1.5547280000000001</v>
      </c>
      <c r="D829" s="7">
        <v>63.011645000000001</v>
      </c>
      <c r="E829">
        <v>1</v>
      </c>
      <c r="F829">
        <v>1</v>
      </c>
      <c r="G829" s="2">
        <v>2.8694359999999999</v>
      </c>
      <c r="H829" s="2">
        <v>3</v>
      </c>
      <c r="I829">
        <v>1</v>
      </c>
      <c r="J829">
        <v>0</v>
      </c>
      <c r="K829" s="2">
        <v>2.972426</v>
      </c>
      <c r="L829">
        <v>0</v>
      </c>
      <c r="M829" s="7">
        <v>2.16079</v>
      </c>
      <c r="N829" s="7">
        <v>0.305954</v>
      </c>
      <c r="O829">
        <v>1</v>
      </c>
      <c r="P829" t="s">
        <v>17</v>
      </c>
      <c r="Q829">
        <v>2</v>
      </c>
      <c r="R829" s="8">
        <f>(Tabela2[[#This Row],[FAF_atividade_fisica_frequente_em_horas]]+ 0.1)</f>
        <v>2.2607900000000001</v>
      </c>
      <c r="S829" s="1">
        <f>(Tabela2[[#This Row],[TUE_tempo_uso_aparelhos_em_horas]]/Tabela2[[#This Row],[FAF_Var]])</f>
        <v>0.13533057028737741</v>
      </c>
      <c r="T829">
        <f>(Tabela2[[#This Row],[CAEC_lanche_entre_refeicoes]]*Tabela2[[#This Row],[FAVC_consumo_frequente_de_alimentos_mt_caloricos]])</f>
        <v>1</v>
      </c>
      <c r="U829" s="1">
        <f>IF(OR(Tabela2[[#This Row],[MTRANS]]="Walking",Tabela2[[#This Row],[MTRANS]]="Bike"),Tabela2[[#This Row],[FAF_atividade_fisica_frequente_em_horas]]+1,M829)</f>
        <v>2.16079</v>
      </c>
      <c r="V829">
        <f>(Tabela2[[#This Row],[SMOKE]]+Tabela2[[#This Row],[CALC_bebe_alcool_frequentemente]])</f>
        <v>1</v>
      </c>
      <c r="W829" s="8">
        <f>(Tabela2[[#This Row],[Weight]]/(Tabela2[[#This Row],[Height]] ^2))</f>
        <v>26.068256006653073</v>
      </c>
    </row>
    <row r="830" spans="1:23" x14ac:dyDescent="0.25">
      <c r="A830" t="s">
        <v>13</v>
      </c>
      <c r="B830" s="7">
        <v>21.987341000000001</v>
      </c>
      <c r="C830" s="4">
        <v>1.7301820000000001</v>
      </c>
      <c r="D830" s="7">
        <v>78.55444</v>
      </c>
      <c r="E830">
        <v>1</v>
      </c>
      <c r="F830">
        <v>1</v>
      </c>
      <c r="G830" s="2">
        <v>2.2937050000000001</v>
      </c>
      <c r="H830" s="2">
        <v>1</v>
      </c>
      <c r="I830">
        <v>1</v>
      </c>
      <c r="J830">
        <v>0</v>
      </c>
      <c r="K830" s="2">
        <v>2</v>
      </c>
      <c r="L830">
        <v>0</v>
      </c>
      <c r="M830" s="7">
        <v>2.0639430000000001</v>
      </c>
      <c r="N830" s="7">
        <v>0</v>
      </c>
      <c r="O830">
        <v>1</v>
      </c>
      <c r="P830" t="s">
        <v>14</v>
      </c>
      <c r="Q830">
        <v>2</v>
      </c>
      <c r="R830" s="8">
        <f>(Tabela2[[#This Row],[FAF_atividade_fisica_frequente_em_horas]]+ 0.1)</f>
        <v>2.1639430000000002</v>
      </c>
      <c r="S830" s="1">
        <f>(Tabela2[[#This Row],[TUE_tempo_uso_aparelhos_em_horas]]/Tabela2[[#This Row],[FAF_Var]])</f>
        <v>0</v>
      </c>
      <c r="T830">
        <f>(Tabela2[[#This Row],[CAEC_lanche_entre_refeicoes]]*Tabela2[[#This Row],[FAVC_consumo_frequente_de_alimentos_mt_caloricos]])</f>
        <v>1</v>
      </c>
      <c r="U830" s="1">
        <f>IF(OR(Tabela2[[#This Row],[MTRANS]]="Walking",Tabela2[[#This Row],[MTRANS]]="Bike"),Tabela2[[#This Row],[FAF_atividade_fisica_frequente_em_horas]]+1,M830)</f>
        <v>2.0639430000000001</v>
      </c>
      <c r="V830">
        <f>(Tabela2[[#This Row],[SMOKE]]+Tabela2[[#This Row],[CALC_bebe_alcool_frequentemente]])</f>
        <v>1</v>
      </c>
      <c r="W830" s="8">
        <f>(Tabela2[[#This Row],[Weight]]/(Tabela2[[#This Row],[Height]] ^2))</f>
        <v>26.241409465872799</v>
      </c>
    </row>
    <row r="831" spans="1:23" x14ac:dyDescent="0.25">
      <c r="A831" t="s">
        <v>13</v>
      </c>
      <c r="B831" s="7">
        <v>21.198217</v>
      </c>
      <c r="C831" s="4">
        <v>1.743841</v>
      </c>
      <c r="D831" s="7">
        <v>78.880359999999996</v>
      </c>
      <c r="E831">
        <v>1</v>
      </c>
      <c r="F831">
        <v>1</v>
      </c>
      <c r="G831" s="2">
        <v>2.510583</v>
      </c>
      <c r="H831" s="2">
        <v>1</v>
      </c>
      <c r="I831">
        <v>1</v>
      </c>
      <c r="J831">
        <v>0</v>
      </c>
      <c r="K831" s="2">
        <v>2</v>
      </c>
      <c r="L831">
        <v>0</v>
      </c>
      <c r="M831" s="7">
        <v>2.1196820000000001</v>
      </c>
      <c r="N831" s="7">
        <v>0</v>
      </c>
      <c r="O831">
        <v>1</v>
      </c>
      <c r="P831" t="s">
        <v>14</v>
      </c>
      <c r="Q831">
        <v>2</v>
      </c>
      <c r="R831" s="8">
        <f>(Tabela2[[#This Row],[FAF_atividade_fisica_frequente_em_horas]]+ 0.1)</f>
        <v>2.2196820000000002</v>
      </c>
      <c r="S831" s="1">
        <f>(Tabela2[[#This Row],[TUE_tempo_uso_aparelhos_em_horas]]/Tabela2[[#This Row],[FAF_Var]])</f>
        <v>0</v>
      </c>
      <c r="T831">
        <f>(Tabela2[[#This Row],[CAEC_lanche_entre_refeicoes]]*Tabela2[[#This Row],[FAVC_consumo_frequente_de_alimentos_mt_caloricos]])</f>
        <v>1</v>
      </c>
      <c r="U831" s="1">
        <f>IF(OR(Tabela2[[#This Row],[MTRANS]]="Walking",Tabela2[[#This Row],[MTRANS]]="Bike"),Tabela2[[#This Row],[FAF_atividade_fisica_frequente_em_horas]]+1,M831)</f>
        <v>2.1196820000000001</v>
      </c>
      <c r="V831">
        <f>(Tabela2[[#This Row],[SMOKE]]+Tabela2[[#This Row],[CALC_bebe_alcool_frequentemente]])</f>
        <v>1</v>
      </c>
      <c r="W831" s="8">
        <f>(Tabela2[[#This Row],[Weight]]/(Tabela2[[#This Row],[Height]] ^2))</f>
        <v>25.939112661695461</v>
      </c>
    </row>
    <row r="832" spans="1:23" x14ac:dyDescent="0.25">
      <c r="A832" t="s">
        <v>15</v>
      </c>
      <c r="B832" s="7">
        <v>21</v>
      </c>
      <c r="C832" s="4">
        <v>1.62</v>
      </c>
      <c r="D832" s="7">
        <v>70</v>
      </c>
      <c r="E832">
        <v>0</v>
      </c>
      <c r="F832">
        <v>1</v>
      </c>
      <c r="G832" s="2">
        <v>2</v>
      </c>
      <c r="H832" s="2">
        <v>1</v>
      </c>
      <c r="I832">
        <v>0</v>
      </c>
      <c r="J832">
        <v>0</v>
      </c>
      <c r="K832" s="2">
        <v>3</v>
      </c>
      <c r="L832">
        <v>0</v>
      </c>
      <c r="M832" s="7">
        <v>1</v>
      </c>
      <c r="N832" s="7">
        <v>0</v>
      </c>
      <c r="O832">
        <v>1</v>
      </c>
      <c r="P832" t="s">
        <v>14</v>
      </c>
      <c r="Q832">
        <v>2</v>
      </c>
      <c r="R832" s="8">
        <f>(Tabela2[[#This Row],[FAF_atividade_fisica_frequente_em_horas]]+ 0.1)</f>
        <v>1.1000000000000001</v>
      </c>
      <c r="S832" s="1">
        <f>(Tabela2[[#This Row],[TUE_tempo_uso_aparelhos_em_horas]]/Tabela2[[#This Row],[FAF_Var]])</f>
        <v>0</v>
      </c>
      <c r="T832">
        <f>(Tabela2[[#This Row],[CAEC_lanche_entre_refeicoes]]*Tabela2[[#This Row],[FAVC_consumo_frequente_de_alimentos_mt_caloricos]])</f>
        <v>0</v>
      </c>
      <c r="U832" s="1">
        <f>IF(OR(Tabela2[[#This Row],[MTRANS]]="Walking",Tabela2[[#This Row],[MTRANS]]="Bike"),Tabela2[[#This Row],[FAF_atividade_fisica_frequente_em_horas]]+1,M832)</f>
        <v>1</v>
      </c>
      <c r="V832">
        <f>(Tabela2[[#This Row],[SMOKE]]+Tabela2[[#This Row],[CALC_bebe_alcool_frequentemente]])</f>
        <v>1</v>
      </c>
      <c r="W832" s="8">
        <f>(Tabela2[[#This Row],[Weight]]/(Tabela2[[#This Row],[Height]] ^2))</f>
        <v>26.672763298277697</v>
      </c>
    </row>
    <row r="833" spans="1:23" x14ac:dyDescent="0.25">
      <c r="A833" t="s">
        <v>15</v>
      </c>
      <c r="B833" s="7">
        <v>21</v>
      </c>
      <c r="C833" s="4">
        <v>1.62</v>
      </c>
      <c r="D833" s="7">
        <v>70</v>
      </c>
      <c r="E833">
        <v>0</v>
      </c>
      <c r="F833">
        <v>1</v>
      </c>
      <c r="G833" s="2">
        <v>2</v>
      </c>
      <c r="H833" s="2">
        <v>1</v>
      </c>
      <c r="I833">
        <v>0</v>
      </c>
      <c r="J833">
        <v>0</v>
      </c>
      <c r="K833" s="2">
        <v>3</v>
      </c>
      <c r="L833">
        <v>0</v>
      </c>
      <c r="M833" s="7">
        <v>1</v>
      </c>
      <c r="N833" s="7">
        <v>0</v>
      </c>
      <c r="O833">
        <v>1</v>
      </c>
      <c r="P833" t="s">
        <v>14</v>
      </c>
      <c r="Q833">
        <v>2</v>
      </c>
      <c r="R833" s="8">
        <f>(Tabela2[[#This Row],[FAF_atividade_fisica_frequente_em_horas]]+ 0.1)</f>
        <v>1.1000000000000001</v>
      </c>
      <c r="S833" s="1">
        <f>(Tabela2[[#This Row],[TUE_tempo_uso_aparelhos_em_horas]]/Tabela2[[#This Row],[FAF_Var]])</f>
        <v>0</v>
      </c>
      <c r="T833">
        <f>(Tabela2[[#This Row],[CAEC_lanche_entre_refeicoes]]*Tabela2[[#This Row],[FAVC_consumo_frequente_de_alimentos_mt_caloricos]])</f>
        <v>0</v>
      </c>
      <c r="U833" s="1">
        <f>IF(OR(Tabela2[[#This Row],[MTRANS]]="Walking",Tabela2[[#This Row],[MTRANS]]="Bike"),Tabela2[[#This Row],[FAF_atividade_fisica_frequente_em_horas]]+1,M833)</f>
        <v>1</v>
      </c>
      <c r="V833">
        <f>(Tabela2[[#This Row],[SMOKE]]+Tabela2[[#This Row],[CALC_bebe_alcool_frequentemente]])</f>
        <v>1</v>
      </c>
      <c r="W833" s="8">
        <f>(Tabela2[[#This Row],[Weight]]/(Tabela2[[#This Row],[Height]] ^2))</f>
        <v>26.672763298277697</v>
      </c>
    </row>
    <row r="834" spans="1:23" x14ac:dyDescent="0.25">
      <c r="A834" t="s">
        <v>15</v>
      </c>
      <c r="B834" s="7">
        <v>21</v>
      </c>
      <c r="C834" s="4">
        <v>1.62</v>
      </c>
      <c r="D834" s="7">
        <v>70</v>
      </c>
      <c r="E834">
        <v>0</v>
      </c>
      <c r="F834">
        <v>1</v>
      </c>
      <c r="G834" s="2">
        <v>2</v>
      </c>
      <c r="H834" s="2">
        <v>1</v>
      </c>
      <c r="I834">
        <v>0</v>
      </c>
      <c r="J834">
        <v>0</v>
      </c>
      <c r="K834" s="2">
        <v>3</v>
      </c>
      <c r="L834">
        <v>0</v>
      </c>
      <c r="M834" s="7">
        <v>1</v>
      </c>
      <c r="N834" s="7">
        <v>0</v>
      </c>
      <c r="O834">
        <v>1</v>
      </c>
      <c r="P834" t="s">
        <v>14</v>
      </c>
      <c r="Q834">
        <v>2</v>
      </c>
      <c r="R834" s="8">
        <f>(Tabela2[[#This Row],[FAF_atividade_fisica_frequente_em_horas]]+ 0.1)</f>
        <v>1.1000000000000001</v>
      </c>
      <c r="S834" s="1">
        <f>(Tabela2[[#This Row],[TUE_tempo_uso_aparelhos_em_horas]]/Tabela2[[#This Row],[FAF_Var]])</f>
        <v>0</v>
      </c>
      <c r="T834">
        <f>(Tabela2[[#This Row],[CAEC_lanche_entre_refeicoes]]*Tabela2[[#This Row],[FAVC_consumo_frequente_de_alimentos_mt_caloricos]])</f>
        <v>0</v>
      </c>
      <c r="U834" s="1">
        <f>IF(OR(Tabela2[[#This Row],[MTRANS]]="Walking",Tabela2[[#This Row],[MTRANS]]="Bike"),Tabela2[[#This Row],[FAF_atividade_fisica_frequente_em_horas]]+1,M834)</f>
        <v>1</v>
      </c>
      <c r="V834">
        <f>(Tabela2[[#This Row],[SMOKE]]+Tabela2[[#This Row],[CALC_bebe_alcool_frequentemente]])</f>
        <v>1</v>
      </c>
      <c r="W834" s="8">
        <f>(Tabela2[[#This Row],[Weight]]/(Tabela2[[#This Row],[Height]] ^2))</f>
        <v>26.672763298277697</v>
      </c>
    </row>
    <row r="835" spans="1:23" x14ac:dyDescent="0.25">
      <c r="A835" t="s">
        <v>15</v>
      </c>
      <c r="B835" s="7">
        <v>21</v>
      </c>
      <c r="C835" s="4">
        <v>1.62</v>
      </c>
      <c r="D835" s="7">
        <v>70</v>
      </c>
      <c r="E835">
        <v>0</v>
      </c>
      <c r="F835">
        <v>1</v>
      </c>
      <c r="G835" s="2">
        <v>2</v>
      </c>
      <c r="H835" s="2">
        <v>1</v>
      </c>
      <c r="I835">
        <v>0</v>
      </c>
      <c r="J835">
        <v>0</v>
      </c>
      <c r="K835" s="2">
        <v>3</v>
      </c>
      <c r="L835">
        <v>0</v>
      </c>
      <c r="M835" s="7">
        <v>1</v>
      </c>
      <c r="N835" s="7">
        <v>0</v>
      </c>
      <c r="O835">
        <v>1</v>
      </c>
      <c r="P835" t="s">
        <v>14</v>
      </c>
      <c r="Q835">
        <v>2</v>
      </c>
      <c r="R835" s="8">
        <f>(Tabela2[[#This Row],[FAF_atividade_fisica_frequente_em_horas]]+ 0.1)</f>
        <v>1.1000000000000001</v>
      </c>
      <c r="S835" s="1">
        <f>(Tabela2[[#This Row],[TUE_tempo_uso_aparelhos_em_horas]]/Tabela2[[#This Row],[FAF_Var]])</f>
        <v>0</v>
      </c>
      <c r="T835">
        <f>(Tabela2[[#This Row],[CAEC_lanche_entre_refeicoes]]*Tabela2[[#This Row],[FAVC_consumo_frequente_de_alimentos_mt_caloricos]])</f>
        <v>0</v>
      </c>
      <c r="U835" s="1">
        <f>IF(OR(Tabela2[[#This Row],[MTRANS]]="Walking",Tabela2[[#This Row],[MTRANS]]="Bike"),Tabela2[[#This Row],[FAF_atividade_fisica_frequente_em_horas]]+1,M835)</f>
        <v>1</v>
      </c>
      <c r="V835">
        <f>(Tabela2[[#This Row],[SMOKE]]+Tabela2[[#This Row],[CALC_bebe_alcool_frequentemente]])</f>
        <v>1</v>
      </c>
      <c r="W835" s="8">
        <f>(Tabela2[[#This Row],[Weight]]/(Tabela2[[#This Row],[Height]] ^2))</f>
        <v>26.672763298277697</v>
      </c>
    </row>
    <row r="836" spans="1:23" x14ac:dyDescent="0.25">
      <c r="A836" t="s">
        <v>15</v>
      </c>
      <c r="B836" s="7">
        <v>21</v>
      </c>
      <c r="C836" s="4">
        <v>1.62</v>
      </c>
      <c r="D836" s="7">
        <v>70</v>
      </c>
      <c r="E836">
        <v>0</v>
      </c>
      <c r="F836">
        <v>1</v>
      </c>
      <c r="G836" s="2">
        <v>2</v>
      </c>
      <c r="H836" s="2">
        <v>1</v>
      </c>
      <c r="I836">
        <v>0</v>
      </c>
      <c r="J836">
        <v>0</v>
      </c>
      <c r="K836" s="2">
        <v>3</v>
      </c>
      <c r="L836">
        <v>0</v>
      </c>
      <c r="M836" s="7">
        <v>1</v>
      </c>
      <c r="N836" s="7">
        <v>0</v>
      </c>
      <c r="O836">
        <v>1</v>
      </c>
      <c r="P836" t="s">
        <v>14</v>
      </c>
      <c r="Q836">
        <v>2</v>
      </c>
      <c r="R836" s="8">
        <f>(Tabela2[[#This Row],[FAF_atividade_fisica_frequente_em_horas]]+ 0.1)</f>
        <v>1.1000000000000001</v>
      </c>
      <c r="S836" s="1">
        <f>(Tabela2[[#This Row],[TUE_tempo_uso_aparelhos_em_horas]]/Tabela2[[#This Row],[FAF_Var]])</f>
        <v>0</v>
      </c>
      <c r="T836">
        <f>(Tabela2[[#This Row],[CAEC_lanche_entre_refeicoes]]*Tabela2[[#This Row],[FAVC_consumo_frequente_de_alimentos_mt_caloricos]])</f>
        <v>0</v>
      </c>
      <c r="U836" s="1">
        <f>IF(OR(Tabela2[[#This Row],[MTRANS]]="Walking",Tabela2[[#This Row],[MTRANS]]="Bike"),Tabela2[[#This Row],[FAF_atividade_fisica_frequente_em_horas]]+1,M836)</f>
        <v>1</v>
      </c>
      <c r="V836">
        <f>(Tabela2[[#This Row],[SMOKE]]+Tabela2[[#This Row],[CALC_bebe_alcool_frequentemente]])</f>
        <v>1</v>
      </c>
      <c r="W836" s="8">
        <f>(Tabela2[[#This Row],[Weight]]/(Tabela2[[#This Row],[Height]] ^2))</f>
        <v>26.672763298277697</v>
      </c>
    </row>
    <row r="837" spans="1:23" x14ac:dyDescent="0.25">
      <c r="A837" t="s">
        <v>13</v>
      </c>
      <c r="B837" s="7">
        <v>29.32038</v>
      </c>
      <c r="C837" s="4">
        <v>1.642506</v>
      </c>
      <c r="D837" s="7">
        <v>69.906707999999995</v>
      </c>
      <c r="E837">
        <v>1</v>
      </c>
      <c r="F837">
        <v>1</v>
      </c>
      <c r="G837" s="2">
        <v>2.366949</v>
      </c>
      <c r="H837" s="2">
        <v>3</v>
      </c>
      <c r="I837">
        <v>1</v>
      </c>
      <c r="J837">
        <v>0</v>
      </c>
      <c r="K837" s="2">
        <v>1.926577</v>
      </c>
      <c r="L837">
        <v>0</v>
      </c>
      <c r="M837" s="7">
        <v>1.581242</v>
      </c>
      <c r="N837" s="7">
        <v>0</v>
      </c>
      <c r="O837">
        <v>1</v>
      </c>
      <c r="P837" t="s">
        <v>17</v>
      </c>
      <c r="Q837">
        <v>2</v>
      </c>
      <c r="R837" s="8">
        <f>(Tabela2[[#This Row],[FAF_atividade_fisica_frequente_em_horas]]+ 0.1)</f>
        <v>1.6812420000000001</v>
      </c>
      <c r="S837" s="1">
        <f>(Tabela2[[#This Row],[TUE_tempo_uso_aparelhos_em_horas]]/Tabela2[[#This Row],[FAF_Var]])</f>
        <v>0</v>
      </c>
      <c r="T837">
        <f>(Tabela2[[#This Row],[CAEC_lanche_entre_refeicoes]]*Tabela2[[#This Row],[FAVC_consumo_frequente_de_alimentos_mt_caloricos]])</f>
        <v>1</v>
      </c>
      <c r="U837" s="1">
        <f>IF(OR(Tabela2[[#This Row],[MTRANS]]="Walking",Tabela2[[#This Row],[MTRANS]]="Bike"),Tabela2[[#This Row],[FAF_atividade_fisica_frequente_em_horas]]+1,M837)</f>
        <v>1.581242</v>
      </c>
      <c r="V837">
        <f>(Tabela2[[#This Row],[SMOKE]]+Tabela2[[#This Row],[CALC_bebe_alcool_frequentemente]])</f>
        <v>1</v>
      </c>
      <c r="W837" s="8">
        <f>(Tabela2[[#This Row],[Weight]]/(Tabela2[[#This Row],[Height]] ^2))</f>
        <v>25.912237866918279</v>
      </c>
    </row>
    <row r="838" spans="1:23" x14ac:dyDescent="0.25">
      <c r="A838" t="s">
        <v>13</v>
      </c>
      <c r="B838" s="7">
        <v>31.255586999999998</v>
      </c>
      <c r="C838" s="4">
        <v>1.6930799999999999</v>
      </c>
      <c r="D838" s="7">
        <v>71.927379000000002</v>
      </c>
      <c r="E838">
        <v>1</v>
      </c>
      <c r="F838">
        <v>1</v>
      </c>
      <c r="G838" s="2">
        <v>2.6157879999999998</v>
      </c>
      <c r="H838" s="2">
        <v>3</v>
      </c>
      <c r="I838">
        <v>1</v>
      </c>
      <c r="J838">
        <v>0</v>
      </c>
      <c r="K838" s="2">
        <v>1.7717810000000001</v>
      </c>
      <c r="L838">
        <v>0</v>
      </c>
      <c r="M838" s="7">
        <v>0.75942200000000004</v>
      </c>
      <c r="N838" s="7">
        <v>0.68652899999999994</v>
      </c>
      <c r="O838">
        <v>1</v>
      </c>
      <c r="P838" t="s">
        <v>17</v>
      </c>
      <c r="Q838">
        <v>2</v>
      </c>
      <c r="R838" s="8">
        <f>(Tabela2[[#This Row],[FAF_atividade_fisica_frequente_em_horas]]+ 0.1)</f>
        <v>0.85942200000000002</v>
      </c>
      <c r="S838" s="1">
        <f>(Tabela2[[#This Row],[TUE_tempo_uso_aparelhos_em_horas]]/Tabela2[[#This Row],[FAF_Var]])</f>
        <v>0.79882642054776343</v>
      </c>
      <c r="T838">
        <f>(Tabela2[[#This Row],[CAEC_lanche_entre_refeicoes]]*Tabela2[[#This Row],[FAVC_consumo_frequente_de_alimentos_mt_caloricos]])</f>
        <v>1</v>
      </c>
      <c r="U838" s="1">
        <f>IF(OR(Tabela2[[#This Row],[MTRANS]]="Walking",Tabela2[[#This Row],[MTRANS]]="Bike"),Tabela2[[#This Row],[FAF_atividade_fisica_frequente_em_horas]]+1,M838)</f>
        <v>0.75942200000000004</v>
      </c>
      <c r="V838">
        <f>(Tabela2[[#This Row],[SMOKE]]+Tabela2[[#This Row],[CALC_bebe_alcool_frequentemente]])</f>
        <v>1</v>
      </c>
      <c r="W838" s="8">
        <f>(Tabela2[[#This Row],[Weight]]/(Tabela2[[#This Row],[Height]] ^2))</f>
        <v>25.092230945703307</v>
      </c>
    </row>
    <row r="839" spans="1:23" x14ac:dyDescent="0.25">
      <c r="A839" t="s">
        <v>15</v>
      </c>
      <c r="B839" s="7">
        <v>22.851773000000001</v>
      </c>
      <c r="C839" s="4">
        <v>1.7521150000000001</v>
      </c>
      <c r="D839" s="7">
        <v>79.414603</v>
      </c>
      <c r="E839">
        <v>1</v>
      </c>
      <c r="F839">
        <v>1</v>
      </c>
      <c r="G839" s="2">
        <v>3</v>
      </c>
      <c r="H839" s="2">
        <v>1</v>
      </c>
      <c r="I839">
        <v>1</v>
      </c>
      <c r="J839">
        <v>0</v>
      </c>
      <c r="K839" s="2">
        <v>2</v>
      </c>
      <c r="L839">
        <v>0</v>
      </c>
      <c r="M839" s="7">
        <v>2.3159830000000001</v>
      </c>
      <c r="N839" s="7">
        <v>0</v>
      </c>
      <c r="O839">
        <v>1</v>
      </c>
      <c r="P839" t="s">
        <v>14</v>
      </c>
      <c r="Q839">
        <v>2</v>
      </c>
      <c r="R839" s="8">
        <f>(Tabela2[[#This Row],[FAF_atividade_fisica_frequente_em_horas]]+ 0.1)</f>
        <v>2.4159830000000002</v>
      </c>
      <c r="S839" s="1">
        <f>(Tabela2[[#This Row],[TUE_tempo_uso_aparelhos_em_horas]]/Tabela2[[#This Row],[FAF_Var]])</f>
        <v>0</v>
      </c>
      <c r="T839">
        <f>(Tabela2[[#This Row],[CAEC_lanche_entre_refeicoes]]*Tabela2[[#This Row],[FAVC_consumo_frequente_de_alimentos_mt_caloricos]])</f>
        <v>1</v>
      </c>
      <c r="U839" s="1">
        <f>IF(OR(Tabela2[[#This Row],[MTRANS]]="Walking",Tabela2[[#This Row],[MTRANS]]="Bike"),Tabela2[[#This Row],[FAF_atividade_fisica_frequente_em_horas]]+1,M839)</f>
        <v>2.3159830000000001</v>
      </c>
      <c r="V839">
        <f>(Tabela2[[#This Row],[SMOKE]]+Tabela2[[#This Row],[CALC_bebe_alcool_frequentemente]])</f>
        <v>1</v>
      </c>
      <c r="W839" s="8">
        <f>(Tabela2[[#This Row],[Weight]]/(Tabela2[[#This Row],[Height]] ^2))</f>
        <v>25.868732731198474</v>
      </c>
    </row>
    <row r="840" spans="1:23" x14ac:dyDescent="0.25">
      <c r="A840" t="s">
        <v>15</v>
      </c>
      <c r="B840" s="7">
        <v>26</v>
      </c>
      <c r="C840" s="4">
        <v>1.7450330000000001</v>
      </c>
      <c r="D840" s="7">
        <v>80</v>
      </c>
      <c r="E840">
        <v>1</v>
      </c>
      <c r="F840">
        <v>1</v>
      </c>
      <c r="G840" s="2">
        <v>2.2172670000000001</v>
      </c>
      <c r="H840" s="2">
        <v>1.193589</v>
      </c>
      <c r="I840">
        <v>1</v>
      </c>
      <c r="J840">
        <v>0</v>
      </c>
      <c r="K840" s="2">
        <v>2</v>
      </c>
      <c r="L840">
        <v>0</v>
      </c>
      <c r="M840" s="7">
        <v>2</v>
      </c>
      <c r="N840" s="7">
        <v>0</v>
      </c>
      <c r="O840">
        <v>1</v>
      </c>
      <c r="P840" t="s">
        <v>14</v>
      </c>
      <c r="Q840">
        <v>2</v>
      </c>
      <c r="R840" s="8">
        <f>(Tabela2[[#This Row],[FAF_atividade_fisica_frequente_em_horas]]+ 0.1)</f>
        <v>2.1</v>
      </c>
      <c r="S840" s="1">
        <f>(Tabela2[[#This Row],[TUE_tempo_uso_aparelhos_em_horas]]/Tabela2[[#This Row],[FAF_Var]])</f>
        <v>0</v>
      </c>
      <c r="T840">
        <f>(Tabela2[[#This Row],[CAEC_lanche_entre_refeicoes]]*Tabela2[[#This Row],[FAVC_consumo_frequente_de_alimentos_mt_caloricos]])</f>
        <v>1</v>
      </c>
      <c r="U840" s="1">
        <f>IF(OR(Tabela2[[#This Row],[MTRANS]]="Walking",Tabela2[[#This Row],[MTRANS]]="Bike"),Tabela2[[#This Row],[FAF_atividade_fisica_frequente_em_horas]]+1,M840)</f>
        <v>2</v>
      </c>
      <c r="V840">
        <f>(Tabela2[[#This Row],[SMOKE]]+Tabela2[[#This Row],[CALC_bebe_alcool_frequentemente]])</f>
        <v>1</v>
      </c>
      <c r="W840" s="8">
        <f>(Tabela2[[#This Row],[Weight]]/(Tabela2[[#This Row],[Height]] ^2))</f>
        <v>26.271368641592112</v>
      </c>
    </row>
    <row r="841" spans="1:23" x14ac:dyDescent="0.25">
      <c r="A841" t="s">
        <v>15</v>
      </c>
      <c r="B841" s="7">
        <v>19.789290999999999</v>
      </c>
      <c r="C841" s="4">
        <v>1.820643</v>
      </c>
      <c r="D841" s="7">
        <v>85</v>
      </c>
      <c r="E841">
        <v>1</v>
      </c>
      <c r="F841">
        <v>1</v>
      </c>
      <c r="G841" s="2">
        <v>3</v>
      </c>
      <c r="H841" s="2">
        <v>3</v>
      </c>
      <c r="I841">
        <v>1</v>
      </c>
      <c r="J841">
        <v>0</v>
      </c>
      <c r="K841" s="2">
        <v>2.7592460000000001</v>
      </c>
      <c r="L841">
        <v>0</v>
      </c>
      <c r="M841" s="7">
        <v>1.763277</v>
      </c>
      <c r="N841" s="7">
        <v>0.45331399999999999</v>
      </c>
      <c r="O841">
        <v>1</v>
      </c>
      <c r="P841" t="s">
        <v>14</v>
      </c>
      <c r="Q841">
        <v>2</v>
      </c>
      <c r="R841" s="8">
        <f>(Tabela2[[#This Row],[FAF_atividade_fisica_frequente_em_horas]]+ 0.1)</f>
        <v>1.8632770000000001</v>
      </c>
      <c r="S841" s="1">
        <f>(Tabela2[[#This Row],[TUE_tempo_uso_aparelhos_em_horas]]/Tabela2[[#This Row],[FAF_Var]])</f>
        <v>0.24328857169384904</v>
      </c>
      <c r="T841">
        <f>(Tabela2[[#This Row],[CAEC_lanche_entre_refeicoes]]*Tabela2[[#This Row],[FAVC_consumo_frequente_de_alimentos_mt_caloricos]])</f>
        <v>1</v>
      </c>
      <c r="U841" s="1">
        <f>IF(OR(Tabela2[[#This Row],[MTRANS]]="Walking",Tabela2[[#This Row],[MTRANS]]="Bike"),Tabela2[[#This Row],[FAF_atividade_fisica_frequente_em_horas]]+1,M841)</f>
        <v>1.763277</v>
      </c>
      <c r="V841">
        <f>(Tabela2[[#This Row],[SMOKE]]+Tabela2[[#This Row],[CALC_bebe_alcool_frequentemente]])</f>
        <v>1</v>
      </c>
      <c r="W841" s="8">
        <f>(Tabela2[[#This Row],[Weight]]/(Tabela2[[#This Row],[Height]] ^2))</f>
        <v>25.6430296383848</v>
      </c>
    </row>
    <row r="842" spans="1:23" x14ac:dyDescent="0.25">
      <c r="A842" t="s">
        <v>15</v>
      </c>
      <c r="B842" s="7">
        <v>19.895876999999999</v>
      </c>
      <c r="C842" s="4">
        <v>1.8073300000000001</v>
      </c>
      <c r="D842" s="7">
        <v>85.073801000000003</v>
      </c>
      <c r="E842">
        <v>1</v>
      </c>
      <c r="F842">
        <v>1</v>
      </c>
      <c r="G842" s="2">
        <v>2.8015140000000001</v>
      </c>
      <c r="H842" s="2">
        <v>3</v>
      </c>
      <c r="I842">
        <v>1</v>
      </c>
      <c r="J842">
        <v>0</v>
      </c>
      <c r="K842" s="2">
        <v>2.734782</v>
      </c>
      <c r="L842">
        <v>0</v>
      </c>
      <c r="M842" s="7">
        <v>2.207881</v>
      </c>
      <c r="N842" s="7">
        <v>0.143675</v>
      </c>
      <c r="O842">
        <v>1</v>
      </c>
      <c r="P842" t="s">
        <v>14</v>
      </c>
      <c r="Q842">
        <v>2</v>
      </c>
      <c r="R842" s="8">
        <f>(Tabela2[[#This Row],[FAF_atividade_fisica_frequente_em_horas]]+ 0.1)</f>
        <v>2.3078810000000001</v>
      </c>
      <c r="S842" s="1">
        <f>(Tabela2[[#This Row],[TUE_tempo_uso_aparelhos_em_horas]]/Tabela2[[#This Row],[FAF_Var]])</f>
        <v>6.2254076358356426E-2</v>
      </c>
      <c r="T842">
        <f>(Tabela2[[#This Row],[CAEC_lanche_entre_refeicoes]]*Tabela2[[#This Row],[FAVC_consumo_frequente_de_alimentos_mt_caloricos]])</f>
        <v>1</v>
      </c>
      <c r="U842" s="1">
        <f>IF(OR(Tabela2[[#This Row],[MTRANS]]="Walking",Tabela2[[#This Row],[MTRANS]]="Bike"),Tabela2[[#This Row],[FAF_atividade_fisica_frequente_em_horas]]+1,M842)</f>
        <v>2.207881</v>
      </c>
      <c r="V842">
        <f>(Tabela2[[#This Row],[SMOKE]]+Tabela2[[#This Row],[CALC_bebe_alcool_frequentemente]])</f>
        <v>1</v>
      </c>
      <c r="W842" s="8">
        <f>(Tabela2[[#This Row],[Weight]]/(Tabela2[[#This Row],[Height]] ^2))</f>
        <v>26.044793711550234</v>
      </c>
    </row>
    <row r="843" spans="1:23" x14ac:dyDescent="0.25">
      <c r="A843" t="s">
        <v>15</v>
      </c>
      <c r="B843" s="7">
        <v>19.693804</v>
      </c>
      <c r="C843" s="4">
        <v>1.8</v>
      </c>
      <c r="D843" s="7">
        <v>85</v>
      </c>
      <c r="E843">
        <v>1</v>
      </c>
      <c r="F843">
        <v>1</v>
      </c>
      <c r="G843" s="2">
        <v>2.1887219999999998</v>
      </c>
      <c r="H843" s="2">
        <v>3</v>
      </c>
      <c r="I843">
        <v>1</v>
      </c>
      <c r="J843">
        <v>0</v>
      </c>
      <c r="K843" s="2">
        <v>2.7213560000000001</v>
      </c>
      <c r="L843">
        <v>0</v>
      </c>
      <c r="M843" s="7">
        <v>1.5289680000000001</v>
      </c>
      <c r="N843" s="7">
        <v>1</v>
      </c>
      <c r="O843">
        <v>1</v>
      </c>
      <c r="P843" t="s">
        <v>14</v>
      </c>
      <c r="Q843">
        <v>2</v>
      </c>
      <c r="R843" s="8">
        <f>(Tabela2[[#This Row],[FAF_atividade_fisica_frequente_em_horas]]+ 0.1)</f>
        <v>1.6289680000000002</v>
      </c>
      <c r="S843" s="1">
        <f>(Tabela2[[#This Row],[TUE_tempo_uso_aparelhos_em_horas]]/Tabela2[[#This Row],[FAF_Var]])</f>
        <v>0.61388560119044688</v>
      </c>
      <c r="T843">
        <f>(Tabela2[[#This Row],[CAEC_lanche_entre_refeicoes]]*Tabela2[[#This Row],[FAVC_consumo_frequente_de_alimentos_mt_caloricos]])</f>
        <v>1</v>
      </c>
      <c r="U843" s="1">
        <f>IF(OR(Tabela2[[#This Row],[MTRANS]]="Walking",Tabela2[[#This Row],[MTRANS]]="Bike"),Tabela2[[#This Row],[FAF_atividade_fisica_frequente_em_horas]]+1,M843)</f>
        <v>1.5289680000000001</v>
      </c>
      <c r="V843">
        <f>(Tabela2[[#This Row],[SMOKE]]+Tabela2[[#This Row],[CALC_bebe_alcool_frequentemente]])</f>
        <v>1</v>
      </c>
      <c r="W843" s="8">
        <f>(Tabela2[[#This Row],[Weight]]/(Tabela2[[#This Row],[Height]] ^2))</f>
        <v>26.234567901234566</v>
      </c>
    </row>
    <row r="844" spans="1:23" x14ac:dyDescent="0.25">
      <c r="A844" t="s">
        <v>15</v>
      </c>
      <c r="B844" s="7">
        <v>19.226313999999999</v>
      </c>
      <c r="C844" s="4">
        <v>1.814255</v>
      </c>
      <c r="D844" s="7">
        <v>85.255630999999994</v>
      </c>
      <c r="E844">
        <v>1</v>
      </c>
      <c r="F844">
        <v>1</v>
      </c>
      <c r="G844" s="2">
        <v>2.9713509999999999</v>
      </c>
      <c r="H844" s="2">
        <v>3.3901430000000001</v>
      </c>
      <c r="I844">
        <v>1</v>
      </c>
      <c r="J844">
        <v>0</v>
      </c>
      <c r="K844" s="2">
        <v>2.1337670000000002</v>
      </c>
      <c r="L844">
        <v>0</v>
      </c>
      <c r="M844" s="7">
        <v>2.318492</v>
      </c>
      <c r="N844" s="7">
        <v>0.67861800000000005</v>
      </c>
      <c r="O844">
        <v>1</v>
      </c>
      <c r="P844" t="s">
        <v>14</v>
      </c>
      <c r="Q844">
        <v>2</v>
      </c>
      <c r="R844" s="8">
        <f>(Tabela2[[#This Row],[FAF_atividade_fisica_frequente_em_horas]]+ 0.1)</f>
        <v>2.4184920000000001</v>
      </c>
      <c r="S844" s="1">
        <f>(Tabela2[[#This Row],[TUE_tempo_uso_aparelhos_em_horas]]/Tabela2[[#This Row],[FAF_Var]])</f>
        <v>0.28059551158325108</v>
      </c>
      <c r="T844">
        <f>(Tabela2[[#This Row],[CAEC_lanche_entre_refeicoes]]*Tabela2[[#This Row],[FAVC_consumo_frequente_de_alimentos_mt_caloricos]])</f>
        <v>1</v>
      </c>
      <c r="U844" s="1">
        <f>IF(OR(Tabela2[[#This Row],[MTRANS]]="Walking",Tabela2[[#This Row],[MTRANS]]="Bike"),Tabela2[[#This Row],[FAF_atividade_fisica_frequente_em_horas]]+1,M844)</f>
        <v>2.318492</v>
      </c>
      <c r="V844">
        <f>(Tabela2[[#This Row],[SMOKE]]+Tabela2[[#This Row],[CALC_bebe_alcool_frequentemente]])</f>
        <v>1</v>
      </c>
      <c r="W844" s="8">
        <f>(Tabela2[[#This Row],[Weight]]/(Tabela2[[#This Row],[Height]] ^2))</f>
        <v>25.901589474752434</v>
      </c>
    </row>
    <row r="845" spans="1:23" x14ac:dyDescent="0.25">
      <c r="A845" t="s">
        <v>15</v>
      </c>
      <c r="B845" s="7">
        <v>21.652228999999998</v>
      </c>
      <c r="C845" s="4">
        <v>1.7001809999999999</v>
      </c>
      <c r="D845" s="7">
        <v>75.057176999999996</v>
      </c>
      <c r="E845">
        <v>1</v>
      </c>
      <c r="F845">
        <v>1</v>
      </c>
      <c r="G845" s="2">
        <v>2.086093</v>
      </c>
      <c r="H845" s="2">
        <v>3.5463520000000002</v>
      </c>
      <c r="I845">
        <v>1</v>
      </c>
      <c r="J845">
        <v>0</v>
      </c>
      <c r="K845" s="2">
        <v>2.081121</v>
      </c>
      <c r="L845">
        <v>0</v>
      </c>
      <c r="M845" s="7">
        <v>1.9936659999999999</v>
      </c>
      <c r="N845" s="7">
        <v>0.67383499999999996</v>
      </c>
      <c r="O845">
        <v>1</v>
      </c>
      <c r="P845" t="s">
        <v>14</v>
      </c>
      <c r="Q845">
        <v>2</v>
      </c>
      <c r="R845" s="8">
        <f>(Tabela2[[#This Row],[FAF_atividade_fisica_frequente_em_horas]]+ 0.1)</f>
        <v>2.0936659999999998</v>
      </c>
      <c r="S845" s="1">
        <f>(Tabela2[[#This Row],[TUE_tempo_uso_aparelhos_em_horas]]/Tabela2[[#This Row],[FAF_Var]])</f>
        <v>0.32184455400240536</v>
      </c>
      <c r="T845">
        <f>(Tabela2[[#This Row],[CAEC_lanche_entre_refeicoes]]*Tabela2[[#This Row],[FAVC_consumo_frequente_de_alimentos_mt_caloricos]])</f>
        <v>1</v>
      </c>
      <c r="U845" s="1">
        <f>IF(OR(Tabela2[[#This Row],[MTRANS]]="Walking",Tabela2[[#This Row],[MTRANS]]="Bike"),Tabela2[[#This Row],[FAF_atividade_fisica_frequente_em_horas]]+1,M845)</f>
        <v>1.9936659999999999</v>
      </c>
      <c r="V845">
        <f>(Tabela2[[#This Row],[SMOKE]]+Tabela2[[#This Row],[CALC_bebe_alcool_frequentemente]])</f>
        <v>1</v>
      </c>
      <c r="W845" s="8">
        <f>(Tabela2[[#This Row],[Weight]]/(Tabela2[[#This Row],[Height]] ^2))</f>
        <v>25.965812037579965</v>
      </c>
    </row>
    <row r="846" spans="1:23" x14ac:dyDescent="0.25">
      <c r="A846" t="s">
        <v>13</v>
      </c>
      <c r="B846" s="7">
        <v>21.687408999999999</v>
      </c>
      <c r="C846" s="4">
        <v>1.604697</v>
      </c>
      <c r="D846" s="7">
        <v>68.016471999999993</v>
      </c>
      <c r="E846">
        <v>1</v>
      </c>
      <c r="F846">
        <v>1</v>
      </c>
      <c r="G846" s="2">
        <v>1.9016109999999999</v>
      </c>
      <c r="H846" s="2">
        <v>3.2665009999999999</v>
      </c>
      <c r="I846">
        <v>0</v>
      </c>
      <c r="J846">
        <v>0</v>
      </c>
      <c r="K846" s="2">
        <v>2.9269949999999998</v>
      </c>
      <c r="L846">
        <v>0</v>
      </c>
      <c r="M846" s="7">
        <v>0.98587199999999997</v>
      </c>
      <c r="N846" s="7">
        <v>0.30798199999999998</v>
      </c>
      <c r="O846">
        <v>1</v>
      </c>
      <c r="P846" t="s">
        <v>14</v>
      </c>
      <c r="Q846">
        <v>2</v>
      </c>
      <c r="R846" s="8">
        <f>(Tabela2[[#This Row],[FAF_atividade_fisica_frequente_em_horas]]+ 0.1)</f>
        <v>1.0858719999999999</v>
      </c>
      <c r="S846" s="1">
        <f>(Tabela2[[#This Row],[TUE_tempo_uso_aparelhos_em_horas]]/Tabela2[[#This Row],[FAF_Var]])</f>
        <v>0.2836264311079022</v>
      </c>
      <c r="T846">
        <f>(Tabela2[[#This Row],[CAEC_lanche_entre_refeicoes]]*Tabela2[[#This Row],[FAVC_consumo_frequente_de_alimentos_mt_caloricos]])</f>
        <v>0</v>
      </c>
      <c r="U846" s="1">
        <f>IF(OR(Tabela2[[#This Row],[MTRANS]]="Walking",Tabela2[[#This Row],[MTRANS]]="Bike"),Tabela2[[#This Row],[FAF_atividade_fisica_frequente_em_horas]]+1,M846)</f>
        <v>0.98587199999999997</v>
      </c>
      <c r="V846">
        <f>(Tabela2[[#This Row],[SMOKE]]+Tabela2[[#This Row],[CALC_bebe_alcool_frequentemente]])</f>
        <v>1</v>
      </c>
      <c r="W846" s="8">
        <f>(Tabela2[[#This Row],[Weight]]/(Tabela2[[#This Row],[Height]] ^2))</f>
        <v>26.413625745014041</v>
      </c>
    </row>
    <row r="847" spans="1:23" x14ac:dyDescent="0.25">
      <c r="A847" t="s">
        <v>13</v>
      </c>
      <c r="B847" s="7">
        <v>21.455463000000002</v>
      </c>
      <c r="C847" s="4">
        <v>1.611</v>
      </c>
      <c r="D847" s="7">
        <v>68.107866000000001</v>
      </c>
      <c r="E847">
        <v>1</v>
      </c>
      <c r="F847">
        <v>1</v>
      </c>
      <c r="G847" s="2">
        <v>1.977298</v>
      </c>
      <c r="H847" s="2">
        <v>3.5549740000000001</v>
      </c>
      <c r="I847">
        <v>0</v>
      </c>
      <c r="J847">
        <v>0</v>
      </c>
      <c r="K847" s="2">
        <v>2.2179570000000002</v>
      </c>
      <c r="L847">
        <v>0</v>
      </c>
      <c r="M847" s="7">
        <v>0.97811999999999999</v>
      </c>
      <c r="N847" s="7">
        <v>0.45975899999999997</v>
      </c>
      <c r="O847">
        <v>1</v>
      </c>
      <c r="P847" t="s">
        <v>14</v>
      </c>
      <c r="Q847">
        <v>2</v>
      </c>
      <c r="R847" s="8">
        <f>(Tabela2[[#This Row],[FAF_atividade_fisica_frequente_em_horas]]+ 0.1)</f>
        <v>1.07812</v>
      </c>
      <c r="S847" s="1">
        <f>(Tabela2[[#This Row],[TUE_tempo_uso_aparelhos_em_horas]]/Tabela2[[#This Row],[FAF_Var]])</f>
        <v>0.42644510815122622</v>
      </c>
      <c r="T847">
        <f>(Tabela2[[#This Row],[CAEC_lanche_entre_refeicoes]]*Tabela2[[#This Row],[FAVC_consumo_frequente_de_alimentos_mt_caloricos]])</f>
        <v>0</v>
      </c>
      <c r="U847" s="1">
        <f>IF(OR(Tabela2[[#This Row],[MTRANS]]="Walking",Tabela2[[#This Row],[MTRANS]]="Bike"),Tabela2[[#This Row],[FAF_atividade_fisica_frequente_em_horas]]+1,M847)</f>
        <v>0.97811999999999999</v>
      </c>
      <c r="V847">
        <f>(Tabela2[[#This Row],[SMOKE]]+Tabela2[[#This Row],[CALC_bebe_alcool_frequentemente]])</f>
        <v>1</v>
      </c>
      <c r="W847" s="8">
        <f>(Tabela2[[#This Row],[Weight]]/(Tabela2[[#This Row],[Height]] ^2))</f>
        <v>26.24255959089454</v>
      </c>
    </row>
    <row r="848" spans="1:23" x14ac:dyDescent="0.25">
      <c r="A848" t="s">
        <v>13</v>
      </c>
      <c r="B848" s="7">
        <v>21</v>
      </c>
      <c r="C848" s="4">
        <v>1.754497</v>
      </c>
      <c r="D848" s="7">
        <v>77.956920999999994</v>
      </c>
      <c r="E848">
        <v>1</v>
      </c>
      <c r="F848">
        <v>1</v>
      </c>
      <c r="G848" s="2">
        <v>2.4468719999999999</v>
      </c>
      <c r="H848" s="2">
        <v>2.3723109999999998</v>
      </c>
      <c r="I848">
        <v>1</v>
      </c>
      <c r="J848">
        <v>0</v>
      </c>
      <c r="K848" s="2">
        <v>1.8103100000000001</v>
      </c>
      <c r="L848">
        <v>0</v>
      </c>
      <c r="M848" s="7">
        <v>9.4893000000000005E-2</v>
      </c>
      <c r="N848" s="7">
        <v>1.6507780000000001</v>
      </c>
      <c r="O848">
        <v>1</v>
      </c>
      <c r="P848" t="s">
        <v>14</v>
      </c>
      <c r="Q848">
        <v>2</v>
      </c>
      <c r="R848" s="8">
        <f>(Tabela2[[#This Row],[FAF_atividade_fisica_frequente_em_horas]]+ 0.1)</f>
        <v>0.19489300000000001</v>
      </c>
      <c r="S848" s="1">
        <f>(Tabela2[[#This Row],[TUE_tempo_uso_aparelhos_em_horas]]/Tabela2[[#This Row],[FAF_Var]])</f>
        <v>8.4701759426967609</v>
      </c>
      <c r="T848">
        <f>(Tabela2[[#This Row],[CAEC_lanche_entre_refeicoes]]*Tabela2[[#This Row],[FAVC_consumo_frequente_de_alimentos_mt_caloricos]])</f>
        <v>1</v>
      </c>
      <c r="U848" s="1">
        <f>IF(OR(Tabela2[[#This Row],[MTRANS]]="Walking",Tabela2[[#This Row],[MTRANS]]="Bike"),Tabela2[[#This Row],[FAF_atividade_fisica_frequente_em_horas]]+1,M848)</f>
        <v>9.4893000000000005E-2</v>
      </c>
      <c r="V848">
        <f>(Tabela2[[#This Row],[SMOKE]]+Tabela2[[#This Row],[CALC_bebe_alcool_frequentemente]])</f>
        <v>1</v>
      </c>
      <c r="W848" s="8">
        <f>(Tabela2[[#This Row],[Weight]]/(Tabela2[[#This Row],[Height]] ^2))</f>
        <v>25.324997893224253</v>
      </c>
    </row>
    <row r="849" spans="1:23" x14ac:dyDescent="0.25">
      <c r="A849" t="s">
        <v>13</v>
      </c>
      <c r="B849" s="7">
        <v>21</v>
      </c>
      <c r="C849" s="4">
        <v>1.7529440000000001</v>
      </c>
      <c r="D849" s="7">
        <v>77.965531999999996</v>
      </c>
      <c r="E849">
        <v>1</v>
      </c>
      <c r="F849">
        <v>1</v>
      </c>
      <c r="G849" s="2">
        <v>2.839048</v>
      </c>
      <c r="H849" s="2">
        <v>2.1060099999999999</v>
      </c>
      <c r="I849">
        <v>1</v>
      </c>
      <c r="J849">
        <v>0</v>
      </c>
      <c r="K849" s="2">
        <v>1.639202</v>
      </c>
      <c r="L849">
        <v>0</v>
      </c>
      <c r="M849" s="7">
        <v>1.1173109999999999</v>
      </c>
      <c r="N849" s="7">
        <v>0.96791899999999997</v>
      </c>
      <c r="O849">
        <v>1</v>
      </c>
      <c r="P849" t="s">
        <v>14</v>
      </c>
      <c r="Q849">
        <v>2</v>
      </c>
      <c r="R849" s="8">
        <f>(Tabela2[[#This Row],[FAF_atividade_fisica_frequente_em_horas]]+ 0.1)</f>
        <v>1.217311</v>
      </c>
      <c r="S849" s="1">
        <f>(Tabela2[[#This Row],[TUE_tempo_uso_aparelhos_em_horas]]/Tabela2[[#This Row],[FAF_Var]])</f>
        <v>0.79512877153003625</v>
      </c>
      <c r="T849">
        <f>(Tabela2[[#This Row],[CAEC_lanche_entre_refeicoes]]*Tabela2[[#This Row],[FAVC_consumo_frequente_de_alimentos_mt_caloricos]])</f>
        <v>1</v>
      </c>
      <c r="U849" s="1">
        <f>IF(OR(Tabela2[[#This Row],[MTRANS]]="Walking",Tabela2[[#This Row],[MTRANS]]="Bike"),Tabela2[[#This Row],[FAF_atividade_fisica_frequente_em_horas]]+1,M849)</f>
        <v>1.1173109999999999</v>
      </c>
      <c r="V849">
        <f>(Tabela2[[#This Row],[SMOKE]]+Tabela2[[#This Row],[CALC_bebe_alcool_frequentemente]])</f>
        <v>1</v>
      </c>
      <c r="W849" s="8">
        <f>(Tabela2[[#This Row],[Weight]]/(Tabela2[[#This Row],[Height]] ^2))</f>
        <v>25.372692853634774</v>
      </c>
    </row>
    <row r="850" spans="1:23" x14ac:dyDescent="0.25">
      <c r="A850" t="s">
        <v>15</v>
      </c>
      <c r="B850" s="7">
        <v>19.337403999999999</v>
      </c>
      <c r="C850" s="4">
        <v>1.8599270000000001</v>
      </c>
      <c r="D850" s="7">
        <v>87.105828000000002</v>
      </c>
      <c r="E850">
        <v>1</v>
      </c>
      <c r="F850">
        <v>1</v>
      </c>
      <c r="G850" s="2">
        <v>2.2123200000000001</v>
      </c>
      <c r="H850" s="2">
        <v>4</v>
      </c>
      <c r="I850">
        <v>1</v>
      </c>
      <c r="J850">
        <v>0</v>
      </c>
      <c r="K850" s="2">
        <v>2.374044</v>
      </c>
      <c r="L850">
        <v>0</v>
      </c>
      <c r="M850" s="7">
        <v>2</v>
      </c>
      <c r="N850" s="7">
        <v>0.62263800000000002</v>
      </c>
      <c r="O850">
        <v>1</v>
      </c>
      <c r="P850" t="s">
        <v>14</v>
      </c>
      <c r="Q850">
        <v>2</v>
      </c>
      <c r="R850" s="8">
        <f>(Tabela2[[#This Row],[FAF_atividade_fisica_frequente_em_horas]]+ 0.1)</f>
        <v>2.1</v>
      </c>
      <c r="S850" s="1">
        <f>(Tabela2[[#This Row],[TUE_tempo_uso_aparelhos_em_horas]]/Tabela2[[#This Row],[FAF_Var]])</f>
        <v>0.29649428571428571</v>
      </c>
      <c r="T850">
        <f>(Tabela2[[#This Row],[CAEC_lanche_entre_refeicoes]]*Tabela2[[#This Row],[FAVC_consumo_frequente_de_alimentos_mt_caloricos]])</f>
        <v>1</v>
      </c>
      <c r="U850" s="1">
        <f>IF(OR(Tabela2[[#This Row],[MTRANS]]="Walking",Tabela2[[#This Row],[MTRANS]]="Bike"),Tabela2[[#This Row],[FAF_atividade_fisica_frequente_em_horas]]+1,M850)</f>
        <v>2</v>
      </c>
      <c r="V850">
        <f>(Tabela2[[#This Row],[SMOKE]]+Tabela2[[#This Row],[CALC_bebe_alcool_frequentemente]])</f>
        <v>1</v>
      </c>
      <c r="W850" s="8">
        <f>(Tabela2[[#This Row],[Weight]]/(Tabela2[[#This Row],[Height]] ^2))</f>
        <v>25.179982004199598</v>
      </c>
    </row>
    <row r="851" spans="1:23" x14ac:dyDescent="0.25">
      <c r="A851" t="s">
        <v>15</v>
      </c>
      <c r="B851" s="7">
        <v>21.701643000000001</v>
      </c>
      <c r="C851" s="4">
        <v>1.8960729999999999</v>
      </c>
      <c r="D851" s="7">
        <v>90.524460000000005</v>
      </c>
      <c r="E851">
        <v>1</v>
      </c>
      <c r="F851">
        <v>1</v>
      </c>
      <c r="G851" s="2">
        <v>2.427689</v>
      </c>
      <c r="H851" s="2">
        <v>3.715306</v>
      </c>
      <c r="I851">
        <v>1</v>
      </c>
      <c r="J851">
        <v>0</v>
      </c>
      <c r="K851" s="2">
        <v>2.876096</v>
      </c>
      <c r="L851">
        <v>0</v>
      </c>
      <c r="M851" s="7">
        <v>1.815768</v>
      </c>
      <c r="N851" s="7">
        <v>0.42646499999999998</v>
      </c>
      <c r="O851">
        <v>1</v>
      </c>
      <c r="P851" t="s">
        <v>14</v>
      </c>
      <c r="Q851">
        <v>2</v>
      </c>
      <c r="R851" s="8">
        <f>(Tabela2[[#This Row],[FAF_atividade_fisica_frequente_em_horas]]+ 0.1)</f>
        <v>1.9157680000000001</v>
      </c>
      <c r="S851" s="1">
        <f>(Tabela2[[#This Row],[TUE_tempo_uso_aparelhos_em_horas]]/Tabela2[[#This Row],[FAF_Var]])</f>
        <v>0.22260785230779506</v>
      </c>
      <c r="T851">
        <f>(Tabela2[[#This Row],[CAEC_lanche_entre_refeicoes]]*Tabela2[[#This Row],[FAVC_consumo_frequente_de_alimentos_mt_caloricos]])</f>
        <v>1</v>
      </c>
      <c r="U851" s="1">
        <f>IF(OR(Tabela2[[#This Row],[MTRANS]]="Walking",Tabela2[[#This Row],[MTRANS]]="Bike"),Tabela2[[#This Row],[FAF_atividade_fisica_frequente_em_horas]]+1,M851)</f>
        <v>1.815768</v>
      </c>
      <c r="V851">
        <f>(Tabela2[[#This Row],[SMOKE]]+Tabela2[[#This Row],[CALC_bebe_alcool_frequentemente]])</f>
        <v>1</v>
      </c>
      <c r="W851" s="8">
        <f>(Tabela2[[#This Row],[Weight]]/(Tabela2[[#This Row],[Height]] ^2))</f>
        <v>25.180006330555823</v>
      </c>
    </row>
    <row r="852" spans="1:23" x14ac:dyDescent="0.25">
      <c r="A852" t="s">
        <v>15</v>
      </c>
      <c r="B852" s="7">
        <v>21.620245000000001</v>
      </c>
      <c r="C852" s="4">
        <v>1.6053139999999999</v>
      </c>
      <c r="D852" s="7">
        <v>66.621645999999998</v>
      </c>
      <c r="E852">
        <v>1</v>
      </c>
      <c r="F852">
        <v>1</v>
      </c>
      <c r="G852" s="2">
        <v>2.3574959999999998</v>
      </c>
      <c r="H852" s="2">
        <v>3.3767170000000002</v>
      </c>
      <c r="I852">
        <v>1</v>
      </c>
      <c r="J852">
        <v>0</v>
      </c>
      <c r="K852" s="2">
        <v>2.1848429999999999</v>
      </c>
      <c r="L852">
        <v>0</v>
      </c>
      <c r="M852" s="7">
        <v>1.358185</v>
      </c>
      <c r="N852" s="7">
        <v>1.4885000000000001E-2</v>
      </c>
      <c r="O852">
        <v>1</v>
      </c>
      <c r="P852" t="s">
        <v>14</v>
      </c>
      <c r="Q852">
        <v>2</v>
      </c>
      <c r="R852" s="8">
        <f>(Tabela2[[#This Row],[FAF_atividade_fisica_frequente_em_horas]]+ 0.1)</f>
        <v>1.4581850000000001</v>
      </c>
      <c r="S852" s="1">
        <f>(Tabela2[[#This Row],[TUE_tempo_uso_aparelhos_em_horas]]/Tabela2[[#This Row],[FAF_Var]])</f>
        <v>1.0207895431649619E-2</v>
      </c>
      <c r="T852">
        <f>(Tabela2[[#This Row],[CAEC_lanche_entre_refeicoes]]*Tabela2[[#This Row],[FAVC_consumo_frequente_de_alimentos_mt_caloricos]])</f>
        <v>1</v>
      </c>
      <c r="U852" s="1">
        <f>IF(OR(Tabela2[[#This Row],[MTRANS]]="Walking",Tabela2[[#This Row],[MTRANS]]="Bike"),Tabela2[[#This Row],[FAF_atividade_fisica_frequente_em_horas]]+1,M852)</f>
        <v>1.358185</v>
      </c>
      <c r="V852">
        <f>(Tabela2[[#This Row],[SMOKE]]+Tabela2[[#This Row],[CALC_bebe_alcool_frequentemente]])</f>
        <v>1</v>
      </c>
      <c r="W852" s="8">
        <f>(Tabela2[[#This Row],[Weight]]/(Tabela2[[#This Row],[Height]] ^2))</f>
        <v>25.852072907957872</v>
      </c>
    </row>
    <row r="853" spans="1:23" x14ac:dyDescent="0.25">
      <c r="A853" t="s">
        <v>13</v>
      </c>
      <c r="B853" s="7">
        <v>21.012568999999999</v>
      </c>
      <c r="C853" s="4">
        <v>1.7586280000000001</v>
      </c>
      <c r="D853" s="7">
        <v>78.370039000000006</v>
      </c>
      <c r="E853">
        <v>1</v>
      </c>
      <c r="F853">
        <v>1</v>
      </c>
      <c r="G853" s="2">
        <v>3</v>
      </c>
      <c r="H853" s="2">
        <v>1</v>
      </c>
      <c r="I853">
        <v>1</v>
      </c>
      <c r="J853">
        <v>0</v>
      </c>
      <c r="K853" s="2">
        <v>2</v>
      </c>
      <c r="L853">
        <v>0</v>
      </c>
      <c r="M853" s="7">
        <v>2.971832</v>
      </c>
      <c r="N853" s="7">
        <v>0</v>
      </c>
      <c r="O853">
        <v>1</v>
      </c>
      <c r="P853" t="s">
        <v>14</v>
      </c>
      <c r="Q853">
        <v>2</v>
      </c>
      <c r="R853" s="8">
        <f>(Tabela2[[#This Row],[FAF_atividade_fisica_frequente_em_horas]]+ 0.1)</f>
        <v>3.0718320000000001</v>
      </c>
      <c r="S853" s="1">
        <f>(Tabela2[[#This Row],[TUE_tempo_uso_aparelhos_em_horas]]/Tabela2[[#This Row],[FAF_Var]])</f>
        <v>0</v>
      </c>
      <c r="T853">
        <f>(Tabela2[[#This Row],[CAEC_lanche_entre_refeicoes]]*Tabela2[[#This Row],[FAVC_consumo_frequente_de_alimentos_mt_caloricos]])</f>
        <v>1</v>
      </c>
      <c r="U853" s="1">
        <f>IF(OR(Tabela2[[#This Row],[MTRANS]]="Walking",Tabela2[[#This Row],[MTRANS]]="Bike"),Tabela2[[#This Row],[FAF_atividade_fisica_frequente_em_horas]]+1,M853)</f>
        <v>2.971832</v>
      </c>
      <c r="V853">
        <f>(Tabela2[[#This Row],[SMOKE]]+Tabela2[[#This Row],[CALC_bebe_alcool_frequentemente]])</f>
        <v>1</v>
      </c>
      <c r="W853" s="8">
        <f>(Tabela2[[#This Row],[Weight]]/(Tabela2[[#This Row],[Height]] ^2))</f>
        <v>25.339736582621018</v>
      </c>
    </row>
    <row r="854" spans="1:23" x14ac:dyDescent="0.25">
      <c r="A854" t="s">
        <v>13</v>
      </c>
      <c r="B854" s="7">
        <v>21.016622999999999</v>
      </c>
      <c r="C854" s="4">
        <v>1.7554270000000001</v>
      </c>
      <c r="D854" s="7">
        <v>78.300083999999998</v>
      </c>
      <c r="E854">
        <v>1</v>
      </c>
      <c r="F854">
        <v>1</v>
      </c>
      <c r="G854" s="2">
        <v>3</v>
      </c>
      <c r="H854" s="2">
        <v>1</v>
      </c>
      <c r="I854">
        <v>1</v>
      </c>
      <c r="J854">
        <v>0</v>
      </c>
      <c r="K854" s="2">
        <v>2</v>
      </c>
      <c r="L854">
        <v>0</v>
      </c>
      <c r="M854" s="7">
        <v>2.8774730000000002</v>
      </c>
      <c r="N854" s="7">
        <v>0</v>
      </c>
      <c r="O854">
        <v>1</v>
      </c>
      <c r="P854" t="s">
        <v>14</v>
      </c>
      <c r="Q854">
        <v>2</v>
      </c>
      <c r="R854" s="8">
        <f>(Tabela2[[#This Row],[FAF_atividade_fisica_frequente_em_horas]]+ 0.1)</f>
        <v>2.9774730000000003</v>
      </c>
      <c r="S854" s="1">
        <f>(Tabela2[[#This Row],[TUE_tempo_uso_aparelhos_em_horas]]/Tabela2[[#This Row],[FAF_Var]])</f>
        <v>0</v>
      </c>
      <c r="T854">
        <f>(Tabela2[[#This Row],[CAEC_lanche_entre_refeicoes]]*Tabela2[[#This Row],[FAVC_consumo_frequente_de_alimentos_mt_caloricos]])</f>
        <v>1</v>
      </c>
      <c r="U854" s="1">
        <f>IF(OR(Tabela2[[#This Row],[MTRANS]]="Walking",Tabela2[[#This Row],[MTRANS]]="Bike"),Tabela2[[#This Row],[FAF_atividade_fisica_frequente_em_horas]]+1,M854)</f>
        <v>2.8774730000000002</v>
      </c>
      <c r="V854">
        <f>(Tabela2[[#This Row],[SMOKE]]+Tabela2[[#This Row],[CALC_bebe_alcool_frequentemente]])</f>
        <v>1</v>
      </c>
      <c r="W854" s="8">
        <f>(Tabela2[[#This Row],[Weight]]/(Tabela2[[#This Row],[Height]] ^2))</f>
        <v>25.409532819247175</v>
      </c>
    </row>
    <row r="855" spans="1:23" x14ac:dyDescent="0.25">
      <c r="A855" t="s">
        <v>13</v>
      </c>
      <c r="B855" s="7">
        <v>19</v>
      </c>
      <c r="C855" s="4">
        <v>1.779882</v>
      </c>
      <c r="D855" s="7">
        <v>80.091886000000002</v>
      </c>
      <c r="E855">
        <v>1</v>
      </c>
      <c r="F855">
        <v>1</v>
      </c>
      <c r="G855" s="2">
        <v>1.0785290000000001</v>
      </c>
      <c r="H855" s="2">
        <v>1.211606</v>
      </c>
      <c r="I855">
        <v>1</v>
      </c>
      <c r="J855">
        <v>0</v>
      </c>
      <c r="K855" s="2">
        <v>2.568063</v>
      </c>
      <c r="L855">
        <v>0</v>
      </c>
      <c r="M855" s="7">
        <v>3</v>
      </c>
      <c r="N855" s="7">
        <v>0.81798300000000002</v>
      </c>
      <c r="O855">
        <v>0</v>
      </c>
      <c r="P855" t="s">
        <v>14</v>
      </c>
      <c r="Q855">
        <v>2</v>
      </c>
      <c r="R855" s="8">
        <f>(Tabela2[[#This Row],[FAF_atividade_fisica_frequente_em_horas]]+ 0.1)</f>
        <v>3.1</v>
      </c>
      <c r="S855" s="1">
        <f>(Tabela2[[#This Row],[TUE_tempo_uso_aparelhos_em_horas]]/Tabela2[[#This Row],[FAF_Var]])</f>
        <v>0.26386548387096775</v>
      </c>
      <c r="T855">
        <f>(Tabela2[[#This Row],[CAEC_lanche_entre_refeicoes]]*Tabela2[[#This Row],[FAVC_consumo_frequente_de_alimentos_mt_caloricos]])</f>
        <v>1</v>
      </c>
      <c r="U855" s="1">
        <f>IF(OR(Tabela2[[#This Row],[MTRANS]]="Walking",Tabela2[[#This Row],[MTRANS]]="Bike"),Tabela2[[#This Row],[FAF_atividade_fisica_frequente_em_horas]]+1,M855)</f>
        <v>3</v>
      </c>
      <c r="V855">
        <f>(Tabela2[[#This Row],[SMOKE]]+Tabela2[[#This Row],[CALC_bebe_alcool_frequentemente]])</f>
        <v>0</v>
      </c>
      <c r="W855" s="8">
        <f>(Tabela2[[#This Row],[Weight]]/(Tabela2[[#This Row],[Height]] ^2))</f>
        <v>25.281689805653112</v>
      </c>
    </row>
    <row r="856" spans="1:23" x14ac:dyDescent="0.25">
      <c r="A856" t="s">
        <v>15</v>
      </c>
      <c r="B856" s="7">
        <v>21</v>
      </c>
      <c r="C856" s="4">
        <v>1.7120610000000001</v>
      </c>
      <c r="D856" s="7">
        <v>75</v>
      </c>
      <c r="E856">
        <v>1</v>
      </c>
      <c r="F856">
        <v>1</v>
      </c>
      <c r="G856" s="2">
        <v>2</v>
      </c>
      <c r="H856" s="2">
        <v>3</v>
      </c>
      <c r="I856">
        <v>1</v>
      </c>
      <c r="J856">
        <v>0</v>
      </c>
      <c r="K856" s="2">
        <v>1.333707</v>
      </c>
      <c r="L856">
        <v>0</v>
      </c>
      <c r="M856" s="7">
        <v>1</v>
      </c>
      <c r="N856" s="7">
        <v>0</v>
      </c>
      <c r="O856">
        <v>1</v>
      </c>
      <c r="P856" t="s">
        <v>14</v>
      </c>
      <c r="Q856">
        <v>2</v>
      </c>
      <c r="R856" s="8">
        <f>(Tabela2[[#This Row],[FAF_atividade_fisica_frequente_em_horas]]+ 0.1)</f>
        <v>1.1000000000000001</v>
      </c>
      <c r="S856" s="1">
        <f>(Tabela2[[#This Row],[TUE_tempo_uso_aparelhos_em_horas]]/Tabela2[[#This Row],[FAF_Var]])</f>
        <v>0</v>
      </c>
      <c r="T856">
        <f>(Tabela2[[#This Row],[CAEC_lanche_entre_refeicoes]]*Tabela2[[#This Row],[FAVC_consumo_frequente_de_alimentos_mt_caloricos]])</f>
        <v>1</v>
      </c>
      <c r="U856" s="1">
        <f>IF(OR(Tabela2[[#This Row],[MTRANS]]="Walking",Tabela2[[#This Row],[MTRANS]]="Bike"),Tabela2[[#This Row],[FAF_atividade_fisica_frequente_em_horas]]+1,M856)</f>
        <v>1</v>
      </c>
      <c r="V856">
        <f>(Tabela2[[#This Row],[SMOKE]]+Tabela2[[#This Row],[CALC_bebe_alcool_frequentemente]])</f>
        <v>1</v>
      </c>
      <c r="W856" s="8">
        <f>(Tabela2[[#This Row],[Weight]]/(Tabela2[[#This Row],[Height]] ^2))</f>
        <v>25.58720182284905</v>
      </c>
    </row>
    <row r="857" spans="1:23" x14ac:dyDescent="0.25">
      <c r="A857" t="s">
        <v>15</v>
      </c>
      <c r="B857" s="7">
        <v>21</v>
      </c>
      <c r="C857" s="4">
        <v>1.6760139999999999</v>
      </c>
      <c r="D857" s="7">
        <v>75</v>
      </c>
      <c r="E857">
        <v>1</v>
      </c>
      <c r="F857">
        <v>1</v>
      </c>
      <c r="G857" s="2">
        <v>2</v>
      </c>
      <c r="H857" s="2">
        <v>3</v>
      </c>
      <c r="I857">
        <v>1</v>
      </c>
      <c r="J857">
        <v>0</v>
      </c>
      <c r="K857" s="2">
        <v>1.1640619999999999</v>
      </c>
      <c r="L857">
        <v>0</v>
      </c>
      <c r="M857" s="7">
        <v>1</v>
      </c>
      <c r="N857" s="7">
        <v>0</v>
      </c>
      <c r="O857">
        <v>1</v>
      </c>
      <c r="P857" t="s">
        <v>14</v>
      </c>
      <c r="Q857">
        <v>2</v>
      </c>
      <c r="R857" s="8">
        <f>(Tabela2[[#This Row],[FAF_atividade_fisica_frequente_em_horas]]+ 0.1)</f>
        <v>1.1000000000000001</v>
      </c>
      <c r="S857" s="1">
        <f>(Tabela2[[#This Row],[TUE_tempo_uso_aparelhos_em_horas]]/Tabela2[[#This Row],[FAF_Var]])</f>
        <v>0</v>
      </c>
      <c r="T857">
        <f>(Tabela2[[#This Row],[CAEC_lanche_entre_refeicoes]]*Tabela2[[#This Row],[FAVC_consumo_frequente_de_alimentos_mt_caloricos]])</f>
        <v>1</v>
      </c>
      <c r="U857" s="1">
        <f>IF(OR(Tabela2[[#This Row],[MTRANS]]="Walking",Tabela2[[#This Row],[MTRANS]]="Bike"),Tabela2[[#This Row],[FAF_atividade_fisica_frequente_em_horas]]+1,M857)</f>
        <v>1</v>
      </c>
      <c r="V857">
        <f>(Tabela2[[#This Row],[SMOKE]]+Tabela2[[#This Row],[CALC_bebe_alcool_frequentemente]])</f>
        <v>1</v>
      </c>
      <c r="W857" s="8">
        <f>(Tabela2[[#This Row],[Weight]]/(Tabela2[[#This Row],[Height]] ^2))</f>
        <v>26.699675266860929</v>
      </c>
    </row>
    <row r="858" spans="1:23" x14ac:dyDescent="0.25">
      <c r="A858" t="s">
        <v>13</v>
      </c>
      <c r="B858" s="7">
        <v>27.899784</v>
      </c>
      <c r="C858" s="4">
        <v>1.7</v>
      </c>
      <c r="D858" s="7">
        <v>74.244004000000004</v>
      </c>
      <c r="E858">
        <v>1</v>
      </c>
      <c r="F858">
        <v>1</v>
      </c>
      <c r="G858" s="2">
        <v>2</v>
      </c>
      <c r="H858" s="2">
        <v>3</v>
      </c>
      <c r="I858">
        <v>1</v>
      </c>
      <c r="J858">
        <v>0</v>
      </c>
      <c r="K858" s="2">
        <v>2</v>
      </c>
      <c r="L858">
        <v>0</v>
      </c>
      <c r="M858" s="7">
        <v>1.7220530000000001</v>
      </c>
      <c r="N858" s="7">
        <v>0</v>
      </c>
      <c r="O858">
        <v>1</v>
      </c>
      <c r="P858" t="s">
        <v>17</v>
      </c>
      <c r="Q858">
        <v>2</v>
      </c>
      <c r="R858" s="8">
        <f>(Tabela2[[#This Row],[FAF_atividade_fisica_frequente_em_horas]]+ 0.1)</f>
        <v>1.8220530000000001</v>
      </c>
      <c r="S858" s="1">
        <f>(Tabela2[[#This Row],[TUE_tempo_uso_aparelhos_em_horas]]/Tabela2[[#This Row],[FAF_Var]])</f>
        <v>0</v>
      </c>
      <c r="T858">
        <f>(Tabela2[[#This Row],[CAEC_lanche_entre_refeicoes]]*Tabela2[[#This Row],[FAVC_consumo_frequente_de_alimentos_mt_caloricos]])</f>
        <v>1</v>
      </c>
      <c r="U858" s="1">
        <f>IF(OR(Tabela2[[#This Row],[MTRANS]]="Walking",Tabela2[[#This Row],[MTRANS]]="Bike"),Tabela2[[#This Row],[FAF_atividade_fisica_frequente_em_horas]]+1,M858)</f>
        <v>1.7220530000000001</v>
      </c>
      <c r="V858">
        <f>(Tabela2[[#This Row],[SMOKE]]+Tabela2[[#This Row],[CALC_bebe_alcool_frequentemente]])</f>
        <v>1</v>
      </c>
      <c r="W858" s="8">
        <f>(Tabela2[[#This Row],[Weight]]/(Tabela2[[#This Row],[Height]] ^2))</f>
        <v>25.689966782006923</v>
      </c>
    </row>
    <row r="859" spans="1:23" x14ac:dyDescent="0.25">
      <c r="A859" t="s">
        <v>15</v>
      </c>
      <c r="B859" s="7">
        <v>28.825223000000001</v>
      </c>
      <c r="C859" s="4">
        <v>1.7658739999999999</v>
      </c>
      <c r="D859" s="7">
        <v>82.045045000000002</v>
      </c>
      <c r="E859">
        <v>1</v>
      </c>
      <c r="F859">
        <v>1</v>
      </c>
      <c r="G859" s="2">
        <v>1.0641620000000001</v>
      </c>
      <c r="H859" s="2">
        <v>3.9895499999999999</v>
      </c>
      <c r="I859">
        <v>1</v>
      </c>
      <c r="J859">
        <v>0</v>
      </c>
      <c r="K859" s="2">
        <v>2.0284260000000001</v>
      </c>
      <c r="L859">
        <v>0</v>
      </c>
      <c r="M859" s="7">
        <v>0.81516999999999995</v>
      </c>
      <c r="N859" s="7">
        <v>0.89467799999999997</v>
      </c>
      <c r="O859">
        <v>1</v>
      </c>
      <c r="P859" t="s">
        <v>14</v>
      </c>
      <c r="Q859">
        <v>2</v>
      </c>
      <c r="R859" s="8">
        <f>(Tabela2[[#This Row],[FAF_atividade_fisica_frequente_em_horas]]+ 0.1)</f>
        <v>0.91516999999999993</v>
      </c>
      <c r="S859" s="1">
        <f>(Tabela2[[#This Row],[TUE_tempo_uso_aparelhos_em_horas]]/Tabela2[[#This Row],[FAF_Var]])</f>
        <v>0.97760853174819984</v>
      </c>
      <c r="T859">
        <f>(Tabela2[[#This Row],[CAEC_lanche_entre_refeicoes]]*Tabela2[[#This Row],[FAVC_consumo_frequente_de_alimentos_mt_caloricos]])</f>
        <v>1</v>
      </c>
      <c r="U859" s="1">
        <f>IF(OR(Tabela2[[#This Row],[MTRANS]]="Walking",Tabela2[[#This Row],[MTRANS]]="Bike"),Tabela2[[#This Row],[FAF_atividade_fisica_frequente_em_horas]]+1,M859)</f>
        <v>0.81516999999999995</v>
      </c>
      <c r="V859">
        <f>(Tabela2[[#This Row],[SMOKE]]+Tabela2[[#This Row],[CALC_bebe_alcool_frequentemente]])</f>
        <v>1</v>
      </c>
      <c r="W859" s="8">
        <f>(Tabela2[[#This Row],[Weight]]/(Tabela2[[#This Row],[Height]] ^2))</f>
        <v>26.310732131668153</v>
      </c>
    </row>
    <row r="860" spans="1:23" x14ac:dyDescent="0.25">
      <c r="A860" t="s">
        <v>15</v>
      </c>
      <c r="B860" s="7">
        <v>26.047077000000002</v>
      </c>
      <c r="C860" s="4">
        <v>1.7459499999999999</v>
      </c>
      <c r="D860" s="7">
        <v>80.018570999999994</v>
      </c>
      <c r="E860">
        <v>1</v>
      </c>
      <c r="F860">
        <v>1</v>
      </c>
      <c r="G860" s="2">
        <v>1.993101</v>
      </c>
      <c r="H860" s="2">
        <v>3.1710820000000002</v>
      </c>
      <c r="I860">
        <v>1</v>
      </c>
      <c r="J860">
        <v>0</v>
      </c>
      <c r="K860" s="2">
        <v>2.3644980000000002</v>
      </c>
      <c r="L860">
        <v>0</v>
      </c>
      <c r="M860" s="7">
        <v>1.2247429999999999</v>
      </c>
      <c r="N860" s="7">
        <v>2.2245000000000001E-2</v>
      </c>
      <c r="O860">
        <v>1</v>
      </c>
      <c r="P860" t="s">
        <v>14</v>
      </c>
      <c r="Q860">
        <v>2</v>
      </c>
      <c r="R860" s="8">
        <f>(Tabela2[[#This Row],[FAF_atividade_fisica_frequente_em_horas]]+ 0.1)</f>
        <v>1.324743</v>
      </c>
      <c r="S860" s="1">
        <f>(Tabela2[[#This Row],[TUE_tempo_uso_aparelhos_em_horas]]/Tabela2[[#This Row],[FAF_Var]])</f>
        <v>1.6791936247257017E-2</v>
      </c>
      <c r="T860">
        <f>(Tabela2[[#This Row],[CAEC_lanche_entre_refeicoes]]*Tabela2[[#This Row],[FAVC_consumo_frequente_de_alimentos_mt_caloricos]])</f>
        <v>1</v>
      </c>
      <c r="U860" s="1">
        <f>IF(OR(Tabela2[[#This Row],[MTRANS]]="Walking",Tabela2[[#This Row],[MTRANS]]="Bike"),Tabela2[[#This Row],[FAF_atividade_fisica_frequente_em_horas]]+1,M860)</f>
        <v>1.2247429999999999</v>
      </c>
      <c r="V860">
        <f>(Tabela2[[#This Row],[SMOKE]]+Tabela2[[#This Row],[CALC_bebe_alcool_frequentemente]])</f>
        <v>1</v>
      </c>
      <c r="W860" s="8">
        <f>(Tabela2[[#This Row],[Weight]]/(Tabela2[[#This Row],[Height]] ^2))</f>
        <v>26.249871794010776</v>
      </c>
    </row>
    <row r="861" spans="1:23" x14ac:dyDescent="0.25">
      <c r="A861" t="s">
        <v>15</v>
      </c>
      <c r="B861" s="7">
        <v>23</v>
      </c>
      <c r="C861" s="4">
        <v>1.690196</v>
      </c>
      <c r="D861" s="7">
        <v>75</v>
      </c>
      <c r="E861">
        <v>1</v>
      </c>
      <c r="F861">
        <v>1</v>
      </c>
      <c r="G861" s="2">
        <v>2.6209630000000002</v>
      </c>
      <c r="H861" s="2">
        <v>3</v>
      </c>
      <c r="I861">
        <v>1</v>
      </c>
      <c r="J861">
        <v>0</v>
      </c>
      <c r="K861" s="2">
        <v>2.8245589999999998</v>
      </c>
      <c r="L861">
        <v>0</v>
      </c>
      <c r="M861" s="7">
        <v>0.75459900000000002</v>
      </c>
      <c r="N861" s="7">
        <v>2</v>
      </c>
      <c r="O861">
        <v>1</v>
      </c>
      <c r="P861" t="s">
        <v>14</v>
      </c>
      <c r="Q861">
        <v>2</v>
      </c>
      <c r="R861" s="8">
        <f>(Tabela2[[#This Row],[FAF_atividade_fisica_frequente_em_horas]]+ 0.1)</f>
        <v>0.854599</v>
      </c>
      <c r="S861" s="1">
        <f>(Tabela2[[#This Row],[TUE_tempo_uso_aparelhos_em_horas]]/Tabela2[[#This Row],[FAF_Var]])</f>
        <v>2.3402788910354446</v>
      </c>
      <c r="T861">
        <f>(Tabela2[[#This Row],[CAEC_lanche_entre_refeicoes]]*Tabela2[[#This Row],[FAVC_consumo_frequente_de_alimentos_mt_caloricos]])</f>
        <v>1</v>
      </c>
      <c r="U861" s="1">
        <f>IF(OR(Tabela2[[#This Row],[MTRANS]]="Walking",Tabela2[[#This Row],[MTRANS]]="Bike"),Tabela2[[#This Row],[FAF_atividade_fisica_frequente_em_horas]]+1,M861)</f>
        <v>0.75459900000000002</v>
      </c>
      <c r="V861">
        <f>(Tabela2[[#This Row],[SMOKE]]+Tabela2[[#This Row],[CALC_bebe_alcool_frequentemente]])</f>
        <v>1</v>
      </c>
      <c r="W861" s="8">
        <f>(Tabela2[[#This Row],[Weight]]/(Tabela2[[#This Row],[Height]] ^2))</f>
        <v>26.253494827279354</v>
      </c>
    </row>
    <row r="862" spans="1:23" x14ac:dyDescent="0.25">
      <c r="A862" t="s">
        <v>15</v>
      </c>
      <c r="B862" s="7">
        <v>20</v>
      </c>
      <c r="C862" s="4">
        <v>1.81748</v>
      </c>
      <c r="D862" s="7">
        <v>85</v>
      </c>
      <c r="E862">
        <v>1</v>
      </c>
      <c r="F862">
        <v>1</v>
      </c>
      <c r="G862" s="2">
        <v>2.9511799999999999</v>
      </c>
      <c r="H862" s="2">
        <v>3</v>
      </c>
      <c r="I862">
        <v>1</v>
      </c>
      <c r="J862">
        <v>0</v>
      </c>
      <c r="K862" s="2">
        <v>3</v>
      </c>
      <c r="L862">
        <v>0</v>
      </c>
      <c r="M862" s="7">
        <v>2.4339179999999998</v>
      </c>
      <c r="N862" s="7">
        <v>0.56160200000000005</v>
      </c>
      <c r="O862">
        <v>1</v>
      </c>
      <c r="P862" t="s">
        <v>14</v>
      </c>
      <c r="Q862">
        <v>2</v>
      </c>
      <c r="R862" s="8">
        <f>(Tabela2[[#This Row],[FAF_atividade_fisica_frequente_em_horas]]+ 0.1)</f>
        <v>2.5339179999999999</v>
      </c>
      <c r="S862" s="1">
        <f>(Tabela2[[#This Row],[TUE_tempo_uso_aparelhos_em_horas]]/Tabela2[[#This Row],[FAF_Var]])</f>
        <v>0.22163384924058319</v>
      </c>
      <c r="T862">
        <f>(Tabela2[[#This Row],[CAEC_lanche_entre_refeicoes]]*Tabela2[[#This Row],[FAVC_consumo_frequente_de_alimentos_mt_caloricos]])</f>
        <v>1</v>
      </c>
      <c r="U862" s="1">
        <f>IF(OR(Tabela2[[#This Row],[MTRANS]]="Walking",Tabela2[[#This Row],[MTRANS]]="Bike"),Tabela2[[#This Row],[FAF_atividade_fisica_frequente_em_horas]]+1,M862)</f>
        <v>2.4339179999999998</v>
      </c>
      <c r="V862">
        <f>(Tabela2[[#This Row],[SMOKE]]+Tabela2[[#This Row],[CALC_bebe_alcool_frequentemente]])</f>
        <v>1</v>
      </c>
      <c r="W862" s="8">
        <f>(Tabela2[[#This Row],[Weight]]/(Tabela2[[#This Row],[Height]] ^2))</f>
        <v>25.732361549096961</v>
      </c>
    </row>
    <row r="863" spans="1:23" x14ac:dyDescent="0.25">
      <c r="A863" t="s">
        <v>13</v>
      </c>
      <c r="B863" s="7">
        <v>21.832995</v>
      </c>
      <c r="C863" s="4">
        <v>1.580964</v>
      </c>
      <c r="D863" s="7">
        <v>65.363940999999997</v>
      </c>
      <c r="E863">
        <v>0</v>
      </c>
      <c r="F863">
        <v>1</v>
      </c>
      <c r="G863" s="2">
        <v>2.0214460000000001</v>
      </c>
      <c r="H863" s="2">
        <v>3</v>
      </c>
      <c r="I863">
        <v>1</v>
      </c>
      <c r="J863">
        <v>0</v>
      </c>
      <c r="K863" s="2">
        <v>1.077917</v>
      </c>
      <c r="L863">
        <v>0</v>
      </c>
      <c r="M863" s="7">
        <v>0.52384699999999995</v>
      </c>
      <c r="N863" s="7">
        <v>0.80859899999999996</v>
      </c>
      <c r="O863">
        <v>1</v>
      </c>
      <c r="P863" t="s">
        <v>14</v>
      </c>
      <c r="Q863">
        <v>2</v>
      </c>
      <c r="R863" s="8">
        <f>(Tabela2[[#This Row],[FAF_atividade_fisica_frequente_em_horas]]+ 0.1)</f>
        <v>0.62384699999999993</v>
      </c>
      <c r="S863" s="1">
        <f>(Tabela2[[#This Row],[TUE_tempo_uso_aparelhos_em_horas]]/Tabela2[[#This Row],[FAF_Var]])</f>
        <v>1.29614953666524</v>
      </c>
      <c r="T863">
        <f>(Tabela2[[#This Row],[CAEC_lanche_entre_refeicoes]]*Tabela2[[#This Row],[FAVC_consumo_frequente_de_alimentos_mt_caloricos]])</f>
        <v>1</v>
      </c>
      <c r="U863" s="1">
        <f>IF(OR(Tabela2[[#This Row],[MTRANS]]="Walking",Tabela2[[#This Row],[MTRANS]]="Bike"),Tabela2[[#This Row],[FAF_atividade_fisica_frequente_em_horas]]+1,M863)</f>
        <v>0.52384699999999995</v>
      </c>
      <c r="V863">
        <f>(Tabela2[[#This Row],[SMOKE]]+Tabela2[[#This Row],[CALC_bebe_alcool_frequentemente]])</f>
        <v>1</v>
      </c>
      <c r="W863" s="8">
        <f>(Tabela2[[#This Row],[Weight]]/(Tabela2[[#This Row],[Height]] ^2))</f>
        <v>26.151359309751101</v>
      </c>
    </row>
    <row r="864" spans="1:23" x14ac:dyDescent="0.25">
      <c r="A864" t="s">
        <v>13</v>
      </c>
      <c r="B864" s="7">
        <v>30.255744</v>
      </c>
      <c r="C864" s="4">
        <v>1.6520840000000001</v>
      </c>
      <c r="D864" s="7">
        <v>73.575980999999999</v>
      </c>
      <c r="E864">
        <v>1</v>
      </c>
      <c r="F864">
        <v>1</v>
      </c>
      <c r="G864" s="2">
        <v>2</v>
      </c>
      <c r="H864" s="2">
        <v>3</v>
      </c>
      <c r="I864">
        <v>1</v>
      </c>
      <c r="J864">
        <v>0</v>
      </c>
      <c r="K864" s="2">
        <v>1</v>
      </c>
      <c r="L864">
        <v>0</v>
      </c>
      <c r="M864" s="7">
        <v>0</v>
      </c>
      <c r="N864" s="7">
        <v>1.8877000000000001E-2</v>
      </c>
      <c r="O864">
        <v>1</v>
      </c>
      <c r="P864" t="s">
        <v>17</v>
      </c>
      <c r="Q864">
        <v>2</v>
      </c>
      <c r="R864" s="8">
        <f>(Tabela2[[#This Row],[FAF_atividade_fisica_frequente_em_horas]]+ 0.1)</f>
        <v>0.1</v>
      </c>
      <c r="S864" s="1">
        <f>(Tabela2[[#This Row],[TUE_tempo_uso_aparelhos_em_horas]]/Tabela2[[#This Row],[FAF_Var]])</f>
        <v>0.18876999999999999</v>
      </c>
      <c r="T864">
        <f>(Tabela2[[#This Row],[CAEC_lanche_entre_refeicoes]]*Tabela2[[#This Row],[FAVC_consumo_frequente_de_alimentos_mt_caloricos]])</f>
        <v>1</v>
      </c>
      <c r="U864" s="1">
        <f>IF(OR(Tabela2[[#This Row],[MTRANS]]="Walking",Tabela2[[#This Row],[MTRANS]]="Bike"),Tabela2[[#This Row],[FAF_atividade_fisica_frequente_em_horas]]+1,M864)</f>
        <v>0</v>
      </c>
      <c r="V864">
        <f>(Tabela2[[#This Row],[SMOKE]]+Tabela2[[#This Row],[CALC_bebe_alcool_frequentemente]])</f>
        <v>1</v>
      </c>
      <c r="W864" s="8">
        <f>(Tabela2[[#This Row],[Weight]]/(Tabela2[[#This Row],[Height]] ^2))</f>
        <v>26.957015660631804</v>
      </c>
    </row>
    <row r="865" spans="1:23" x14ac:dyDescent="0.25">
      <c r="A865" t="s">
        <v>13</v>
      </c>
      <c r="B865" s="7">
        <v>30.613586000000002</v>
      </c>
      <c r="C865" s="4">
        <v>1.6455109999999999</v>
      </c>
      <c r="D865" s="7">
        <v>69.168977999999996</v>
      </c>
      <c r="E865">
        <v>1</v>
      </c>
      <c r="F865">
        <v>1</v>
      </c>
      <c r="G865" s="2">
        <v>2.0004659999999999</v>
      </c>
      <c r="H865" s="2">
        <v>3</v>
      </c>
      <c r="I865">
        <v>1</v>
      </c>
      <c r="J865">
        <v>0</v>
      </c>
      <c r="K865" s="2">
        <v>1.131448</v>
      </c>
      <c r="L865">
        <v>0</v>
      </c>
      <c r="M865" s="7">
        <v>6.1365999999999997E-2</v>
      </c>
      <c r="N865" s="7">
        <v>0</v>
      </c>
      <c r="O865">
        <v>1</v>
      </c>
      <c r="P865" t="s">
        <v>17</v>
      </c>
      <c r="Q865">
        <v>2</v>
      </c>
      <c r="R865" s="8">
        <f>(Tabela2[[#This Row],[FAF_atividade_fisica_frequente_em_horas]]+ 0.1)</f>
        <v>0.16136600000000001</v>
      </c>
      <c r="S865" s="1">
        <f>(Tabela2[[#This Row],[TUE_tempo_uso_aparelhos_em_horas]]/Tabela2[[#This Row],[FAF_Var]])</f>
        <v>0</v>
      </c>
      <c r="T865">
        <f>(Tabela2[[#This Row],[CAEC_lanche_entre_refeicoes]]*Tabela2[[#This Row],[FAVC_consumo_frequente_de_alimentos_mt_caloricos]])</f>
        <v>1</v>
      </c>
      <c r="U865" s="1">
        <f>IF(OR(Tabela2[[#This Row],[MTRANS]]="Walking",Tabela2[[#This Row],[MTRANS]]="Bike"),Tabela2[[#This Row],[FAF_atividade_fisica_frequente_em_horas]]+1,M865)</f>
        <v>6.1365999999999997E-2</v>
      </c>
      <c r="V865">
        <f>(Tabela2[[#This Row],[SMOKE]]+Tabela2[[#This Row],[CALC_bebe_alcool_frequentemente]])</f>
        <v>1</v>
      </c>
      <c r="W865" s="8">
        <f>(Tabela2[[#This Row],[Weight]]/(Tabela2[[#This Row],[Height]] ^2))</f>
        <v>25.545227759591075</v>
      </c>
    </row>
    <row r="866" spans="1:23" x14ac:dyDescent="0.25">
      <c r="A866" t="s">
        <v>15</v>
      </c>
      <c r="B866" s="7">
        <v>23.245408000000001</v>
      </c>
      <c r="C866" s="4">
        <v>1.7079679999999999</v>
      </c>
      <c r="D866" s="7">
        <v>75.383716000000007</v>
      </c>
      <c r="E866">
        <v>1</v>
      </c>
      <c r="F866">
        <v>1</v>
      </c>
      <c r="G866" s="2">
        <v>2.5621</v>
      </c>
      <c r="H866" s="2">
        <v>3.1050070000000001</v>
      </c>
      <c r="I866">
        <v>1</v>
      </c>
      <c r="J866">
        <v>0</v>
      </c>
      <c r="K866" s="2">
        <v>1.1724270000000001</v>
      </c>
      <c r="L866">
        <v>0</v>
      </c>
      <c r="M866" s="7">
        <v>0.184917</v>
      </c>
      <c r="N866" s="7">
        <v>0.92308199999999996</v>
      </c>
      <c r="O866">
        <v>1</v>
      </c>
      <c r="P866" t="s">
        <v>14</v>
      </c>
      <c r="Q866">
        <v>2</v>
      </c>
      <c r="R866" s="8">
        <f>(Tabela2[[#This Row],[FAF_atividade_fisica_frequente_em_horas]]+ 0.1)</f>
        <v>0.28491699999999998</v>
      </c>
      <c r="S866" s="1">
        <f>(Tabela2[[#This Row],[TUE_tempo_uso_aparelhos_em_horas]]/Tabela2[[#This Row],[FAF_Var]])</f>
        <v>3.2398277393065351</v>
      </c>
      <c r="T866">
        <f>(Tabela2[[#This Row],[CAEC_lanche_entre_refeicoes]]*Tabela2[[#This Row],[FAVC_consumo_frequente_de_alimentos_mt_caloricos]])</f>
        <v>1</v>
      </c>
      <c r="U866" s="1">
        <f>IF(OR(Tabela2[[#This Row],[MTRANS]]="Walking",Tabela2[[#This Row],[MTRANS]]="Bike"),Tabela2[[#This Row],[FAF_atividade_fisica_frequente_em_horas]]+1,M866)</f>
        <v>0.184917</v>
      </c>
      <c r="V866">
        <f>(Tabela2[[#This Row],[SMOKE]]+Tabela2[[#This Row],[CALC_bebe_alcool_frequentemente]])</f>
        <v>1</v>
      </c>
      <c r="W866" s="8">
        <f>(Tabela2[[#This Row],[Weight]]/(Tabela2[[#This Row],[Height]] ^2))</f>
        <v>25.841521631895819</v>
      </c>
    </row>
    <row r="867" spans="1:23" x14ac:dyDescent="0.25">
      <c r="A867" t="s">
        <v>13</v>
      </c>
      <c r="B867" s="7">
        <v>18</v>
      </c>
      <c r="C867" s="4">
        <v>1.4563459999999999</v>
      </c>
      <c r="D867" s="7">
        <v>55.523480999999997</v>
      </c>
      <c r="E867">
        <v>0</v>
      </c>
      <c r="F867">
        <v>1</v>
      </c>
      <c r="G867" s="2">
        <v>2</v>
      </c>
      <c r="H867" s="2">
        <v>3</v>
      </c>
      <c r="I867">
        <v>1</v>
      </c>
      <c r="J867">
        <v>0</v>
      </c>
      <c r="K867" s="2">
        <v>1.0403420000000001</v>
      </c>
      <c r="L867">
        <v>1</v>
      </c>
      <c r="M867" s="7">
        <v>0.49737300000000001</v>
      </c>
      <c r="N867" s="7">
        <v>1.7833190000000001</v>
      </c>
      <c r="O867">
        <v>1</v>
      </c>
      <c r="P867" t="s">
        <v>14</v>
      </c>
      <c r="Q867">
        <v>2</v>
      </c>
      <c r="R867" s="8">
        <f>(Tabela2[[#This Row],[FAF_atividade_fisica_frequente_em_horas]]+ 0.1)</f>
        <v>0.59737300000000004</v>
      </c>
      <c r="S867" s="1">
        <f>(Tabela2[[#This Row],[TUE_tempo_uso_aparelhos_em_horas]]/Tabela2[[#This Row],[FAF_Var]])</f>
        <v>2.9852688353842574</v>
      </c>
      <c r="T867">
        <f>(Tabela2[[#This Row],[CAEC_lanche_entre_refeicoes]]*Tabela2[[#This Row],[FAVC_consumo_frequente_de_alimentos_mt_caloricos]])</f>
        <v>1</v>
      </c>
      <c r="U867" s="1">
        <f>IF(OR(Tabela2[[#This Row],[MTRANS]]="Walking",Tabela2[[#This Row],[MTRANS]]="Bike"),Tabela2[[#This Row],[FAF_atividade_fisica_frequente_em_horas]]+1,M867)</f>
        <v>0.49737300000000001</v>
      </c>
      <c r="V867">
        <f>(Tabela2[[#This Row],[SMOKE]]+Tabela2[[#This Row],[CALC_bebe_alcool_frequentemente]])</f>
        <v>1</v>
      </c>
      <c r="W867" s="8">
        <f>(Tabela2[[#This Row],[Weight]]/(Tabela2[[#This Row],[Height]] ^2))</f>
        <v>26.178668363727645</v>
      </c>
    </row>
    <row r="868" spans="1:23" x14ac:dyDescent="0.25">
      <c r="A868" t="s">
        <v>13</v>
      </c>
      <c r="B868" s="7">
        <v>18</v>
      </c>
      <c r="C868" s="4">
        <v>1.498561</v>
      </c>
      <c r="D868" s="7">
        <v>55.376511999999998</v>
      </c>
      <c r="E868">
        <v>0</v>
      </c>
      <c r="F868">
        <v>1</v>
      </c>
      <c r="G868" s="2">
        <v>2</v>
      </c>
      <c r="H868" s="2">
        <v>3</v>
      </c>
      <c r="I868">
        <v>1</v>
      </c>
      <c r="J868">
        <v>0</v>
      </c>
      <c r="K868" s="2">
        <v>1.274718</v>
      </c>
      <c r="L868">
        <v>1</v>
      </c>
      <c r="M868" s="7">
        <v>0.12990199999999999</v>
      </c>
      <c r="N868" s="7">
        <v>0.97857400000000005</v>
      </c>
      <c r="O868">
        <v>1</v>
      </c>
      <c r="P868" t="s">
        <v>14</v>
      </c>
      <c r="Q868">
        <v>2</v>
      </c>
      <c r="R868" s="8">
        <f>(Tabela2[[#This Row],[FAF_atividade_fisica_frequente_em_horas]]+ 0.1)</f>
        <v>0.229902</v>
      </c>
      <c r="S868" s="1">
        <f>(Tabela2[[#This Row],[TUE_tempo_uso_aparelhos_em_horas]]/Tabela2[[#This Row],[FAF_Var]])</f>
        <v>4.2564831971883672</v>
      </c>
      <c r="T868">
        <f>(Tabela2[[#This Row],[CAEC_lanche_entre_refeicoes]]*Tabela2[[#This Row],[FAVC_consumo_frequente_de_alimentos_mt_caloricos]])</f>
        <v>1</v>
      </c>
      <c r="U868" s="1">
        <f>IF(OR(Tabela2[[#This Row],[MTRANS]]="Walking",Tabela2[[#This Row],[MTRANS]]="Bike"),Tabela2[[#This Row],[FAF_atividade_fisica_frequente_em_horas]]+1,M868)</f>
        <v>0.12990199999999999</v>
      </c>
      <c r="V868">
        <f>(Tabela2[[#This Row],[SMOKE]]+Tabela2[[#This Row],[CALC_bebe_alcool_frequentemente]])</f>
        <v>1</v>
      </c>
      <c r="W868" s="8">
        <f>(Tabela2[[#This Row],[Weight]]/(Tabela2[[#This Row],[Height]] ^2))</f>
        <v>24.659072958177884</v>
      </c>
    </row>
    <row r="869" spans="1:23" x14ac:dyDescent="0.25">
      <c r="A869" t="s">
        <v>13</v>
      </c>
      <c r="B869" s="7">
        <v>16.950499000000001</v>
      </c>
      <c r="C869" s="4">
        <v>1.6035010000000001</v>
      </c>
      <c r="D869" s="7">
        <v>65</v>
      </c>
      <c r="E869">
        <v>1</v>
      </c>
      <c r="F869">
        <v>1</v>
      </c>
      <c r="G869" s="2">
        <v>2.96008</v>
      </c>
      <c r="H869" s="2">
        <v>1</v>
      </c>
      <c r="I869">
        <v>1</v>
      </c>
      <c r="J869">
        <v>0</v>
      </c>
      <c r="K869" s="2">
        <v>2</v>
      </c>
      <c r="L869">
        <v>1</v>
      </c>
      <c r="M869" s="7">
        <v>0.73603200000000002</v>
      </c>
      <c r="N869" s="7">
        <v>1.3440719999999999</v>
      </c>
      <c r="O869">
        <v>0</v>
      </c>
      <c r="P869" t="s">
        <v>14</v>
      </c>
      <c r="Q869">
        <v>2</v>
      </c>
      <c r="R869" s="8">
        <f>(Tabela2[[#This Row],[FAF_atividade_fisica_frequente_em_horas]]+ 0.1)</f>
        <v>0.836032</v>
      </c>
      <c r="S869" s="1">
        <f>(Tabela2[[#This Row],[TUE_tempo_uso_aparelhos_em_horas]]/Tabela2[[#This Row],[FAF_Var]])</f>
        <v>1.6076800888004286</v>
      </c>
      <c r="T869">
        <f>(Tabela2[[#This Row],[CAEC_lanche_entre_refeicoes]]*Tabela2[[#This Row],[FAVC_consumo_frequente_de_alimentos_mt_caloricos]])</f>
        <v>1</v>
      </c>
      <c r="U869" s="1">
        <f>IF(OR(Tabela2[[#This Row],[MTRANS]]="Walking",Tabela2[[#This Row],[MTRANS]]="Bike"),Tabela2[[#This Row],[FAF_atividade_fisica_frequente_em_horas]]+1,M869)</f>
        <v>0.73603200000000002</v>
      </c>
      <c r="V869">
        <f>(Tabela2[[#This Row],[SMOKE]]+Tabela2[[#This Row],[CALC_bebe_alcool_frequentemente]])</f>
        <v>0</v>
      </c>
      <c r="W869" s="8">
        <f>(Tabela2[[#This Row],[Weight]]/(Tabela2[[#This Row],[Height]] ^2))</f>
        <v>25.279872918862402</v>
      </c>
    </row>
    <row r="870" spans="1:23" x14ac:dyDescent="0.25">
      <c r="A870" t="s">
        <v>13</v>
      </c>
      <c r="B870" s="7">
        <v>21.837057999999999</v>
      </c>
      <c r="C870" s="4">
        <v>1.5580449999999999</v>
      </c>
      <c r="D870" s="7">
        <v>63.597633000000002</v>
      </c>
      <c r="E870">
        <v>0</v>
      </c>
      <c r="F870">
        <v>1</v>
      </c>
      <c r="G870" s="2">
        <v>2.5391499999999998</v>
      </c>
      <c r="H870" s="2">
        <v>1.5909819999999999</v>
      </c>
      <c r="I870">
        <v>1</v>
      </c>
      <c r="J870">
        <v>0</v>
      </c>
      <c r="K870" s="2">
        <v>1.9778009999999999</v>
      </c>
      <c r="L870">
        <v>0</v>
      </c>
      <c r="M870" s="7">
        <v>1.264616</v>
      </c>
      <c r="N870" s="7">
        <v>0</v>
      </c>
      <c r="O870">
        <v>1</v>
      </c>
      <c r="P870" t="s">
        <v>14</v>
      </c>
      <c r="Q870">
        <v>2</v>
      </c>
      <c r="R870" s="8">
        <f>(Tabela2[[#This Row],[FAF_atividade_fisica_frequente_em_horas]]+ 0.1)</f>
        <v>1.3646160000000001</v>
      </c>
      <c r="S870" s="1">
        <f>(Tabela2[[#This Row],[TUE_tempo_uso_aparelhos_em_horas]]/Tabela2[[#This Row],[FAF_Var]])</f>
        <v>0</v>
      </c>
      <c r="T870">
        <f>(Tabela2[[#This Row],[CAEC_lanche_entre_refeicoes]]*Tabela2[[#This Row],[FAVC_consumo_frequente_de_alimentos_mt_caloricos]])</f>
        <v>1</v>
      </c>
      <c r="U870" s="1">
        <f>IF(OR(Tabela2[[#This Row],[MTRANS]]="Walking",Tabela2[[#This Row],[MTRANS]]="Bike"),Tabela2[[#This Row],[FAF_atividade_fisica_frequente_em_horas]]+1,M870)</f>
        <v>1.264616</v>
      </c>
      <c r="V870">
        <f>(Tabela2[[#This Row],[SMOKE]]+Tabela2[[#This Row],[CALC_bebe_alcool_frequentemente]])</f>
        <v>1</v>
      </c>
      <c r="W870" s="8">
        <f>(Tabela2[[#This Row],[Weight]]/(Tabela2[[#This Row],[Height]] ^2))</f>
        <v>26.198773383367175</v>
      </c>
    </row>
    <row r="871" spans="1:23" x14ac:dyDescent="0.25">
      <c r="A871" t="s">
        <v>13</v>
      </c>
      <c r="B871" s="7">
        <v>27</v>
      </c>
      <c r="C871" s="4">
        <v>1.55</v>
      </c>
      <c r="D871" s="7">
        <v>62.877347</v>
      </c>
      <c r="E871">
        <v>0</v>
      </c>
      <c r="F871">
        <v>1</v>
      </c>
      <c r="G871" s="2">
        <v>2.2441420000000001</v>
      </c>
      <c r="H871" s="2">
        <v>1.704828</v>
      </c>
      <c r="I871">
        <v>1</v>
      </c>
      <c r="J871">
        <v>0</v>
      </c>
      <c r="K871" s="2">
        <v>1</v>
      </c>
      <c r="L871">
        <v>0</v>
      </c>
      <c r="M871" s="7">
        <v>0.79292899999999999</v>
      </c>
      <c r="N871" s="7">
        <v>0.39546799999999999</v>
      </c>
      <c r="O871">
        <v>1</v>
      </c>
      <c r="P871" t="s">
        <v>14</v>
      </c>
      <c r="Q871">
        <v>2</v>
      </c>
      <c r="R871" s="8">
        <f>(Tabela2[[#This Row],[FAF_atividade_fisica_frequente_em_horas]]+ 0.1)</f>
        <v>0.89292899999999997</v>
      </c>
      <c r="S871" s="1">
        <f>(Tabela2[[#This Row],[TUE_tempo_uso_aparelhos_em_horas]]/Tabela2[[#This Row],[FAF_Var]])</f>
        <v>0.44288851633220561</v>
      </c>
      <c r="T871">
        <f>(Tabela2[[#This Row],[CAEC_lanche_entre_refeicoes]]*Tabela2[[#This Row],[FAVC_consumo_frequente_de_alimentos_mt_caloricos]])</f>
        <v>1</v>
      </c>
      <c r="U871" s="1">
        <f>IF(OR(Tabela2[[#This Row],[MTRANS]]="Walking",Tabela2[[#This Row],[MTRANS]]="Bike"),Tabela2[[#This Row],[FAF_atividade_fisica_frequente_em_horas]]+1,M871)</f>
        <v>0.79292899999999999</v>
      </c>
      <c r="V871">
        <f>(Tabela2[[#This Row],[SMOKE]]+Tabela2[[#This Row],[CALC_bebe_alcool_frequentemente]])</f>
        <v>1</v>
      </c>
      <c r="W871" s="8">
        <f>(Tabela2[[#This Row],[Weight]]/(Tabela2[[#This Row],[Height]] ^2))</f>
        <v>26.171632466181059</v>
      </c>
    </row>
    <row r="872" spans="1:23" x14ac:dyDescent="0.25">
      <c r="A872" t="s">
        <v>13</v>
      </c>
      <c r="B872" s="7">
        <v>35.483601</v>
      </c>
      <c r="C872" s="4">
        <v>1.6475139999999999</v>
      </c>
      <c r="D872" s="7">
        <v>73.916920000000005</v>
      </c>
      <c r="E872">
        <v>1</v>
      </c>
      <c r="F872">
        <v>0</v>
      </c>
      <c r="G872" s="2">
        <v>3</v>
      </c>
      <c r="H872" s="2">
        <v>2.725012</v>
      </c>
      <c r="I872">
        <v>1</v>
      </c>
      <c r="J872">
        <v>0</v>
      </c>
      <c r="K872" s="2">
        <v>1.6224400000000001</v>
      </c>
      <c r="L872">
        <v>0</v>
      </c>
      <c r="M872" s="7">
        <v>0.90266100000000005</v>
      </c>
      <c r="N872" s="7">
        <v>0</v>
      </c>
      <c r="O872">
        <v>1</v>
      </c>
      <c r="P872" t="s">
        <v>17</v>
      </c>
      <c r="Q872">
        <v>2</v>
      </c>
      <c r="R872" s="8">
        <f>(Tabela2[[#This Row],[FAF_atividade_fisica_frequente_em_horas]]+ 0.1)</f>
        <v>1.002661</v>
      </c>
      <c r="S872" s="1">
        <f>(Tabela2[[#This Row],[TUE_tempo_uso_aparelhos_em_horas]]/Tabela2[[#This Row],[FAF_Var]])</f>
        <v>0</v>
      </c>
      <c r="T872">
        <f>(Tabela2[[#This Row],[CAEC_lanche_entre_refeicoes]]*Tabela2[[#This Row],[FAVC_consumo_frequente_de_alimentos_mt_caloricos]])</f>
        <v>0</v>
      </c>
      <c r="U872" s="1">
        <f>IF(OR(Tabela2[[#This Row],[MTRANS]]="Walking",Tabela2[[#This Row],[MTRANS]]="Bike"),Tabela2[[#This Row],[FAF_atividade_fisica_frequente_em_horas]]+1,M872)</f>
        <v>0.90266100000000005</v>
      </c>
      <c r="V872">
        <f>(Tabela2[[#This Row],[SMOKE]]+Tabela2[[#This Row],[CALC_bebe_alcool_frequentemente]])</f>
        <v>1</v>
      </c>
      <c r="W872" s="8">
        <f>(Tabela2[[#This Row],[Weight]]/(Tabela2[[#This Row],[Height]] ^2))</f>
        <v>27.232382264890646</v>
      </c>
    </row>
    <row r="873" spans="1:23" x14ac:dyDescent="0.25">
      <c r="A873" t="s">
        <v>15</v>
      </c>
      <c r="B873" s="7">
        <v>23.801435999999999</v>
      </c>
      <c r="C873" s="4">
        <v>1.8557790000000001</v>
      </c>
      <c r="D873" s="7">
        <v>86.098523</v>
      </c>
      <c r="E873">
        <v>1</v>
      </c>
      <c r="F873">
        <v>1</v>
      </c>
      <c r="G873" s="2">
        <v>2</v>
      </c>
      <c r="H873" s="2">
        <v>2.3723390000000002</v>
      </c>
      <c r="I873">
        <v>1</v>
      </c>
      <c r="J873">
        <v>0</v>
      </c>
      <c r="K873" s="2">
        <v>1.6757329999999999</v>
      </c>
      <c r="L873">
        <v>0</v>
      </c>
      <c r="M873" s="7">
        <v>1.066241</v>
      </c>
      <c r="N873" s="7">
        <v>1</v>
      </c>
      <c r="O873">
        <v>1</v>
      </c>
      <c r="P873" t="s">
        <v>17</v>
      </c>
      <c r="Q873">
        <v>2</v>
      </c>
      <c r="R873" s="8">
        <f>(Tabela2[[#This Row],[FAF_atividade_fisica_frequente_em_horas]]+ 0.1)</f>
        <v>1.1662410000000001</v>
      </c>
      <c r="S873" s="1">
        <f>(Tabela2[[#This Row],[TUE_tempo_uso_aparelhos_em_horas]]/Tabela2[[#This Row],[FAF_Var]])</f>
        <v>0.85745570598186815</v>
      </c>
      <c r="T873">
        <f>(Tabela2[[#This Row],[CAEC_lanche_entre_refeicoes]]*Tabela2[[#This Row],[FAVC_consumo_frequente_de_alimentos_mt_caloricos]])</f>
        <v>1</v>
      </c>
      <c r="U873" s="1">
        <f>IF(OR(Tabela2[[#This Row],[MTRANS]]="Walking",Tabela2[[#This Row],[MTRANS]]="Bike"),Tabela2[[#This Row],[FAF_atividade_fisica_frequente_em_horas]]+1,M873)</f>
        <v>1.066241</v>
      </c>
      <c r="V873">
        <f>(Tabela2[[#This Row],[SMOKE]]+Tabela2[[#This Row],[CALC_bebe_alcool_frequentemente]])</f>
        <v>1</v>
      </c>
      <c r="W873" s="8">
        <f>(Tabela2[[#This Row],[Weight]]/(Tabela2[[#This Row],[Height]] ^2))</f>
        <v>25.000183099422433</v>
      </c>
    </row>
    <row r="874" spans="1:23" x14ac:dyDescent="0.25">
      <c r="A874" t="s">
        <v>15</v>
      </c>
      <c r="B874" s="7">
        <v>23.367211999999999</v>
      </c>
      <c r="C874" s="4">
        <v>1.8532230000000001</v>
      </c>
      <c r="D874" s="7">
        <v>87.083265999999995</v>
      </c>
      <c r="E874">
        <v>1</v>
      </c>
      <c r="F874">
        <v>1</v>
      </c>
      <c r="G874" s="2">
        <v>2</v>
      </c>
      <c r="H874" s="2">
        <v>1.0973120000000001</v>
      </c>
      <c r="I874">
        <v>1</v>
      </c>
      <c r="J874">
        <v>0</v>
      </c>
      <c r="K874" s="2">
        <v>1.328835</v>
      </c>
      <c r="L874">
        <v>0</v>
      </c>
      <c r="M874" s="7">
        <v>1.264257</v>
      </c>
      <c r="N874" s="7">
        <v>1</v>
      </c>
      <c r="O874">
        <v>1</v>
      </c>
      <c r="P874" t="s">
        <v>17</v>
      </c>
      <c r="Q874">
        <v>2</v>
      </c>
      <c r="R874" s="8">
        <f>(Tabela2[[#This Row],[FAF_atividade_fisica_frequente_em_horas]]+ 0.1)</f>
        <v>1.3642570000000001</v>
      </c>
      <c r="S874" s="1">
        <f>(Tabela2[[#This Row],[TUE_tempo_uso_aparelhos_em_horas]]/Tabela2[[#This Row],[FAF_Var]])</f>
        <v>0.7329997207271064</v>
      </c>
      <c r="T874">
        <f>(Tabela2[[#This Row],[CAEC_lanche_entre_refeicoes]]*Tabela2[[#This Row],[FAVC_consumo_frequente_de_alimentos_mt_caloricos]])</f>
        <v>1</v>
      </c>
      <c r="U874" s="1">
        <f>IF(OR(Tabela2[[#This Row],[MTRANS]]="Walking",Tabela2[[#This Row],[MTRANS]]="Bike"),Tabela2[[#This Row],[FAF_atividade_fisica_frequente_em_horas]]+1,M874)</f>
        <v>1.264257</v>
      </c>
      <c r="V874">
        <f>(Tabela2[[#This Row],[SMOKE]]+Tabela2[[#This Row],[CALC_bebe_alcool_frequentemente]])</f>
        <v>1</v>
      </c>
      <c r="W874" s="8">
        <f>(Tabela2[[#This Row],[Weight]]/(Tabela2[[#This Row],[Height]] ^2))</f>
        <v>25.355918406719958</v>
      </c>
    </row>
    <row r="875" spans="1:23" x14ac:dyDescent="0.25">
      <c r="A875" t="s">
        <v>13</v>
      </c>
      <c r="B875" s="7">
        <v>40</v>
      </c>
      <c r="C875" s="4">
        <v>1.570811</v>
      </c>
      <c r="D875" s="7">
        <v>62.211571999999997</v>
      </c>
      <c r="E875">
        <v>1</v>
      </c>
      <c r="F875">
        <v>1</v>
      </c>
      <c r="G875" s="2">
        <v>2.253371</v>
      </c>
      <c r="H875" s="2">
        <v>3</v>
      </c>
      <c r="I875">
        <v>1</v>
      </c>
      <c r="J875">
        <v>0</v>
      </c>
      <c r="K875" s="2">
        <v>2.7569159999999999</v>
      </c>
      <c r="L875">
        <v>0</v>
      </c>
      <c r="M875" s="7">
        <v>1.0160419999999999</v>
      </c>
      <c r="N875" s="7">
        <v>0.21343699999999999</v>
      </c>
      <c r="O875">
        <v>1</v>
      </c>
      <c r="P875" t="s">
        <v>17</v>
      </c>
      <c r="Q875">
        <v>2</v>
      </c>
      <c r="R875" s="8">
        <f>(Tabela2[[#This Row],[FAF_atividade_fisica_frequente_em_horas]]+ 0.1)</f>
        <v>1.116042</v>
      </c>
      <c r="S875" s="1">
        <f>(Tabela2[[#This Row],[TUE_tempo_uso_aparelhos_em_horas]]/Tabela2[[#This Row],[FAF_Var]])</f>
        <v>0.19124459473747404</v>
      </c>
      <c r="T875">
        <f>(Tabela2[[#This Row],[CAEC_lanche_entre_refeicoes]]*Tabela2[[#This Row],[FAVC_consumo_frequente_de_alimentos_mt_caloricos]])</f>
        <v>1</v>
      </c>
      <c r="U875" s="1">
        <f>IF(OR(Tabela2[[#This Row],[MTRANS]]="Walking",Tabela2[[#This Row],[MTRANS]]="Bike"),Tabela2[[#This Row],[FAF_atividade_fisica_frequente_em_horas]]+1,M875)</f>
        <v>1.0160419999999999</v>
      </c>
      <c r="V875">
        <f>(Tabela2[[#This Row],[SMOKE]]+Tabela2[[#This Row],[CALC_bebe_alcool_frequentemente]])</f>
        <v>1</v>
      </c>
      <c r="W875" s="8">
        <f>(Tabela2[[#This Row],[Weight]]/(Tabela2[[#This Row],[Height]] ^2))</f>
        <v>25.212929402282757</v>
      </c>
    </row>
    <row r="876" spans="1:23" x14ac:dyDescent="0.25">
      <c r="A876" t="s">
        <v>13</v>
      </c>
      <c r="B876" s="7">
        <v>16.380089999999999</v>
      </c>
      <c r="C876" s="4">
        <v>1.617124</v>
      </c>
      <c r="D876" s="7">
        <v>67.913561000000001</v>
      </c>
      <c r="E876">
        <v>1</v>
      </c>
      <c r="F876">
        <v>1</v>
      </c>
      <c r="G876" s="2">
        <v>2.851664</v>
      </c>
      <c r="H876" s="2">
        <v>1</v>
      </c>
      <c r="I876">
        <v>1</v>
      </c>
      <c r="J876">
        <v>0</v>
      </c>
      <c r="K876" s="2">
        <v>2</v>
      </c>
      <c r="L876">
        <v>0</v>
      </c>
      <c r="M876" s="7">
        <v>0.97792900000000005</v>
      </c>
      <c r="N876" s="7">
        <v>1.7653209999999999</v>
      </c>
      <c r="O876">
        <v>0</v>
      </c>
      <c r="P876" t="s">
        <v>14</v>
      </c>
      <c r="Q876">
        <v>2</v>
      </c>
      <c r="R876" s="8">
        <f>(Tabela2[[#This Row],[FAF_atividade_fisica_frequente_em_horas]]+ 0.1)</f>
        <v>1.0779290000000001</v>
      </c>
      <c r="S876" s="1">
        <f>(Tabela2[[#This Row],[TUE_tempo_uso_aparelhos_em_horas]]/Tabela2[[#This Row],[FAF_Var]])</f>
        <v>1.6376969169583522</v>
      </c>
      <c r="T876">
        <f>(Tabela2[[#This Row],[CAEC_lanche_entre_refeicoes]]*Tabela2[[#This Row],[FAVC_consumo_frequente_de_alimentos_mt_caloricos]])</f>
        <v>1</v>
      </c>
      <c r="U876" s="1">
        <f>IF(OR(Tabela2[[#This Row],[MTRANS]]="Walking",Tabela2[[#This Row],[MTRANS]]="Bike"),Tabela2[[#This Row],[FAF_atividade_fisica_frequente_em_horas]]+1,M876)</f>
        <v>0.97792900000000005</v>
      </c>
      <c r="V876">
        <f>(Tabela2[[#This Row],[SMOKE]]+Tabela2[[#This Row],[CALC_bebe_alcool_frequentemente]])</f>
        <v>0</v>
      </c>
      <c r="W876" s="8">
        <f>(Tabela2[[#This Row],[Weight]]/(Tabela2[[#This Row],[Height]] ^2))</f>
        <v>25.969874912591617</v>
      </c>
    </row>
    <row r="877" spans="1:23" x14ac:dyDescent="0.25">
      <c r="A877" t="s">
        <v>13</v>
      </c>
      <c r="B877" s="7">
        <v>16.865984000000001</v>
      </c>
      <c r="C877" s="4">
        <v>1.644053</v>
      </c>
      <c r="D877" s="7">
        <v>67.439588999999998</v>
      </c>
      <c r="E877">
        <v>1</v>
      </c>
      <c r="F877">
        <v>1</v>
      </c>
      <c r="G877" s="2">
        <v>1.3141499999999999</v>
      </c>
      <c r="H877" s="2">
        <v>1.0681959999999999</v>
      </c>
      <c r="I877">
        <v>1</v>
      </c>
      <c r="J877">
        <v>0</v>
      </c>
      <c r="K877" s="2">
        <v>1.364957</v>
      </c>
      <c r="L877">
        <v>1</v>
      </c>
      <c r="M877" s="7">
        <v>0</v>
      </c>
      <c r="N877" s="7">
        <v>5.7925999999999998E-2</v>
      </c>
      <c r="O877">
        <v>0</v>
      </c>
      <c r="P877" t="s">
        <v>14</v>
      </c>
      <c r="Q877">
        <v>2</v>
      </c>
      <c r="R877" s="8">
        <f>(Tabela2[[#This Row],[FAF_atividade_fisica_frequente_em_horas]]+ 0.1)</f>
        <v>0.1</v>
      </c>
      <c r="S877" s="1">
        <f>(Tabela2[[#This Row],[TUE_tempo_uso_aparelhos_em_horas]]/Tabela2[[#This Row],[FAF_Var]])</f>
        <v>0.57926</v>
      </c>
      <c r="T877">
        <f>(Tabela2[[#This Row],[CAEC_lanche_entre_refeicoes]]*Tabela2[[#This Row],[FAVC_consumo_frequente_de_alimentos_mt_caloricos]])</f>
        <v>1</v>
      </c>
      <c r="U877" s="1">
        <f>IF(OR(Tabela2[[#This Row],[MTRANS]]="Walking",Tabela2[[#This Row],[MTRANS]]="Bike"),Tabela2[[#This Row],[FAF_atividade_fisica_frequente_em_horas]]+1,M877)</f>
        <v>0</v>
      </c>
      <c r="V877">
        <f>(Tabela2[[#This Row],[SMOKE]]+Tabela2[[#This Row],[CALC_bebe_alcool_frequentemente]])</f>
        <v>0</v>
      </c>
      <c r="W877" s="8">
        <f>(Tabela2[[#This Row],[Weight]]/(Tabela2[[#This Row],[Height]] ^2))</f>
        <v>24.950731745755579</v>
      </c>
    </row>
    <row r="878" spans="1:23" x14ac:dyDescent="0.25">
      <c r="A878" t="s">
        <v>13</v>
      </c>
      <c r="B878" s="7">
        <v>16.093233999999999</v>
      </c>
      <c r="C878" s="4">
        <v>1.608914</v>
      </c>
      <c r="D878" s="7">
        <v>65</v>
      </c>
      <c r="E878">
        <v>1</v>
      </c>
      <c r="F878">
        <v>1</v>
      </c>
      <c r="G878" s="2">
        <v>1.3210280000000001</v>
      </c>
      <c r="H878" s="2">
        <v>1</v>
      </c>
      <c r="I878">
        <v>1</v>
      </c>
      <c r="J878">
        <v>0</v>
      </c>
      <c r="K878" s="2">
        <v>2</v>
      </c>
      <c r="L878">
        <v>1</v>
      </c>
      <c r="M878" s="7">
        <v>0.371452</v>
      </c>
      <c r="N878" s="7">
        <v>0.96560400000000002</v>
      </c>
      <c r="O878">
        <v>0</v>
      </c>
      <c r="P878" t="s">
        <v>14</v>
      </c>
      <c r="Q878">
        <v>2</v>
      </c>
      <c r="R878" s="8">
        <f>(Tabela2[[#This Row],[FAF_atividade_fisica_frequente_em_horas]]+ 0.1)</f>
        <v>0.47145199999999998</v>
      </c>
      <c r="S878" s="1">
        <f>(Tabela2[[#This Row],[TUE_tempo_uso_aparelhos_em_horas]]/Tabela2[[#This Row],[FAF_Var]])</f>
        <v>2.048149122286044</v>
      </c>
      <c r="T878">
        <f>(Tabela2[[#This Row],[CAEC_lanche_entre_refeicoes]]*Tabela2[[#This Row],[FAVC_consumo_frequente_de_alimentos_mt_caloricos]])</f>
        <v>1</v>
      </c>
      <c r="U878" s="1">
        <f>IF(OR(Tabela2[[#This Row],[MTRANS]]="Walking",Tabela2[[#This Row],[MTRANS]]="Bike"),Tabela2[[#This Row],[FAF_atividade_fisica_frequente_em_horas]]+1,M878)</f>
        <v>0.371452</v>
      </c>
      <c r="V878">
        <f>(Tabela2[[#This Row],[SMOKE]]+Tabela2[[#This Row],[CALC_bebe_alcool_frequentemente]])</f>
        <v>0</v>
      </c>
      <c r="W878" s="8">
        <f>(Tabela2[[#This Row],[Weight]]/(Tabela2[[#This Row],[Height]] ^2))</f>
        <v>25.11005680534825</v>
      </c>
    </row>
    <row r="879" spans="1:23" x14ac:dyDescent="0.25">
      <c r="A879" t="s">
        <v>13</v>
      </c>
      <c r="B879" s="7">
        <v>18</v>
      </c>
      <c r="C879" s="4">
        <v>1.6479710000000001</v>
      </c>
      <c r="D879" s="7">
        <v>68.818893000000003</v>
      </c>
      <c r="E879">
        <v>1</v>
      </c>
      <c r="F879">
        <v>1</v>
      </c>
      <c r="G879" s="2">
        <v>2</v>
      </c>
      <c r="H879" s="2">
        <v>1.4116850000000001</v>
      </c>
      <c r="I879">
        <v>1</v>
      </c>
      <c r="J879">
        <v>0</v>
      </c>
      <c r="K879" s="2">
        <v>1.859089</v>
      </c>
      <c r="L879">
        <v>0</v>
      </c>
      <c r="M879" s="7">
        <v>0</v>
      </c>
      <c r="N879" s="7">
        <v>1.306</v>
      </c>
      <c r="O879">
        <v>0</v>
      </c>
      <c r="P879" t="s">
        <v>14</v>
      </c>
      <c r="Q879">
        <v>2</v>
      </c>
      <c r="R879" s="8">
        <f>(Tabela2[[#This Row],[FAF_atividade_fisica_frequente_em_horas]]+ 0.1)</f>
        <v>0.1</v>
      </c>
      <c r="S879" s="1">
        <f>(Tabela2[[#This Row],[TUE_tempo_uso_aparelhos_em_horas]]/Tabela2[[#This Row],[FAF_Var]])</f>
        <v>13.06</v>
      </c>
      <c r="T879">
        <f>(Tabela2[[#This Row],[CAEC_lanche_entre_refeicoes]]*Tabela2[[#This Row],[FAVC_consumo_frequente_de_alimentos_mt_caloricos]])</f>
        <v>1</v>
      </c>
      <c r="U879" s="1">
        <f>IF(OR(Tabela2[[#This Row],[MTRANS]]="Walking",Tabela2[[#This Row],[MTRANS]]="Bike"),Tabela2[[#This Row],[FAF_atividade_fisica_frequente_em_horas]]+1,M879)</f>
        <v>0</v>
      </c>
      <c r="V879">
        <f>(Tabela2[[#This Row],[SMOKE]]+Tabela2[[#This Row],[CALC_bebe_alcool_frequentemente]])</f>
        <v>0</v>
      </c>
      <c r="W879" s="8">
        <f>(Tabela2[[#This Row],[Weight]]/(Tabela2[[#This Row],[Height]] ^2))</f>
        <v>25.340113305948663</v>
      </c>
    </row>
    <row r="880" spans="1:23" x14ac:dyDescent="0.25">
      <c r="A880" t="s">
        <v>13</v>
      </c>
      <c r="B880" s="7">
        <v>18.839189999999999</v>
      </c>
      <c r="C880" s="4">
        <v>1.6248309999999999</v>
      </c>
      <c r="D880" s="7">
        <v>69.975606999999997</v>
      </c>
      <c r="E880">
        <v>1</v>
      </c>
      <c r="F880">
        <v>1</v>
      </c>
      <c r="G880" s="2">
        <v>2.2539980000000002</v>
      </c>
      <c r="H880" s="2">
        <v>2.7523179999999998</v>
      </c>
      <c r="I880">
        <v>1</v>
      </c>
      <c r="J880">
        <v>0</v>
      </c>
      <c r="K880" s="2">
        <v>2.3283309999999999</v>
      </c>
      <c r="L880">
        <v>0</v>
      </c>
      <c r="M880" s="7">
        <v>0.81550900000000004</v>
      </c>
      <c r="N880" s="7">
        <v>2.4087999999999998E-2</v>
      </c>
      <c r="O880">
        <v>0</v>
      </c>
      <c r="P880" t="s">
        <v>14</v>
      </c>
      <c r="Q880">
        <v>2</v>
      </c>
      <c r="R880" s="8">
        <f>(Tabela2[[#This Row],[FAF_atividade_fisica_frequente_em_horas]]+ 0.1)</f>
        <v>0.91550900000000002</v>
      </c>
      <c r="S880" s="1">
        <f>(Tabela2[[#This Row],[TUE_tempo_uso_aparelhos_em_horas]]/Tabela2[[#This Row],[FAF_Var]])</f>
        <v>2.6311046641813458E-2</v>
      </c>
      <c r="T880">
        <f>(Tabela2[[#This Row],[CAEC_lanche_entre_refeicoes]]*Tabela2[[#This Row],[FAVC_consumo_frequente_de_alimentos_mt_caloricos]])</f>
        <v>1</v>
      </c>
      <c r="U880" s="1">
        <f>IF(OR(Tabela2[[#This Row],[MTRANS]]="Walking",Tabela2[[#This Row],[MTRANS]]="Bike"),Tabela2[[#This Row],[FAF_atividade_fisica_frequente_em_horas]]+1,M880)</f>
        <v>0.81550900000000004</v>
      </c>
      <c r="V880">
        <f>(Tabela2[[#This Row],[SMOKE]]+Tabela2[[#This Row],[CALC_bebe_alcool_frequentemente]])</f>
        <v>0</v>
      </c>
      <c r="W880" s="8">
        <f>(Tabela2[[#This Row],[Weight]]/(Tabela2[[#This Row],[Height]] ^2))</f>
        <v>26.505150938561666</v>
      </c>
    </row>
    <row r="881" spans="1:23" x14ac:dyDescent="0.25">
      <c r="A881" t="s">
        <v>13</v>
      </c>
      <c r="B881" s="7">
        <v>19.726521999999999</v>
      </c>
      <c r="C881" s="4">
        <v>1.508267</v>
      </c>
      <c r="D881" s="7">
        <v>61.104030000000002</v>
      </c>
      <c r="E881">
        <v>0</v>
      </c>
      <c r="F881">
        <v>1</v>
      </c>
      <c r="G881" s="2">
        <v>2.778079</v>
      </c>
      <c r="H881" s="2">
        <v>3</v>
      </c>
      <c r="I881">
        <v>1</v>
      </c>
      <c r="J881">
        <v>0</v>
      </c>
      <c r="K881" s="2">
        <v>1.6966909999999999</v>
      </c>
      <c r="L881">
        <v>1</v>
      </c>
      <c r="M881" s="7">
        <v>0.94223999999999997</v>
      </c>
      <c r="N881" s="7">
        <v>0.87992499999999996</v>
      </c>
      <c r="O881">
        <v>1</v>
      </c>
      <c r="P881" t="s">
        <v>14</v>
      </c>
      <c r="Q881">
        <v>2</v>
      </c>
      <c r="R881" s="8">
        <f>(Tabela2[[#This Row],[FAF_atividade_fisica_frequente_em_horas]]+ 0.1)</f>
        <v>1.0422400000000001</v>
      </c>
      <c r="S881" s="1">
        <f>(Tabela2[[#This Row],[TUE_tempo_uso_aparelhos_em_horas]]/Tabela2[[#This Row],[FAF_Var]])</f>
        <v>0.84426331747006444</v>
      </c>
      <c r="T881">
        <f>(Tabela2[[#This Row],[CAEC_lanche_entre_refeicoes]]*Tabela2[[#This Row],[FAVC_consumo_frequente_de_alimentos_mt_caloricos]])</f>
        <v>1</v>
      </c>
      <c r="U881" s="1">
        <f>IF(OR(Tabela2[[#This Row],[MTRANS]]="Walking",Tabela2[[#This Row],[MTRANS]]="Bike"),Tabela2[[#This Row],[FAF_atividade_fisica_frequente_em_horas]]+1,M881)</f>
        <v>0.94223999999999997</v>
      </c>
      <c r="V881">
        <f>(Tabela2[[#This Row],[SMOKE]]+Tabela2[[#This Row],[CALC_bebe_alcool_frequentemente]])</f>
        <v>1</v>
      </c>
      <c r="W881" s="8">
        <f>(Tabela2[[#This Row],[Weight]]/(Tabela2[[#This Row],[Height]] ^2))</f>
        <v>26.860456922618667</v>
      </c>
    </row>
    <row r="882" spans="1:23" x14ac:dyDescent="0.25">
      <c r="A882" t="s">
        <v>13</v>
      </c>
      <c r="B882" s="7">
        <v>18.947102000000001</v>
      </c>
      <c r="C882" s="4">
        <v>1.5189170000000001</v>
      </c>
      <c r="D882" s="7">
        <v>60.267426999999998</v>
      </c>
      <c r="E882">
        <v>0</v>
      </c>
      <c r="F882">
        <v>1</v>
      </c>
      <c r="G882" s="2">
        <v>2.8380369999999999</v>
      </c>
      <c r="H882" s="2">
        <v>2.737571</v>
      </c>
      <c r="I882">
        <v>1</v>
      </c>
      <c r="J882">
        <v>0</v>
      </c>
      <c r="K882" s="2">
        <v>1.1444669999999999</v>
      </c>
      <c r="L882">
        <v>1</v>
      </c>
      <c r="M882" s="7">
        <v>0.75378199999999995</v>
      </c>
      <c r="N882" s="7">
        <v>1.2868440000000001</v>
      </c>
      <c r="O882">
        <v>1</v>
      </c>
      <c r="P882" t="s">
        <v>14</v>
      </c>
      <c r="Q882">
        <v>2</v>
      </c>
      <c r="R882" s="8">
        <f>(Tabela2[[#This Row],[FAF_atividade_fisica_frequente_em_horas]]+ 0.1)</f>
        <v>0.85378199999999993</v>
      </c>
      <c r="S882" s="1">
        <f>(Tabela2[[#This Row],[TUE_tempo_uso_aparelhos_em_horas]]/Tabela2[[#This Row],[FAF_Var]])</f>
        <v>1.5072278403620598</v>
      </c>
      <c r="T882">
        <f>(Tabela2[[#This Row],[CAEC_lanche_entre_refeicoes]]*Tabela2[[#This Row],[FAVC_consumo_frequente_de_alimentos_mt_caloricos]])</f>
        <v>1</v>
      </c>
      <c r="U882" s="1">
        <f>IF(OR(Tabela2[[#This Row],[MTRANS]]="Walking",Tabela2[[#This Row],[MTRANS]]="Bike"),Tabela2[[#This Row],[FAF_atividade_fisica_frequente_em_horas]]+1,M882)</f>
        <v>0.75378199999999995</v>
      </c>
      <c r="V882">
        <f>(Tabela2[[#This Row],[SMOKE]]+Tabela2[[#This Row],[CALC_bebe_alcool_frequentemente]])</f>
        <v>1</v>
      </c>
      <c r="W882" s="8">
        <f>(Tabela2[[#This Row],[Weight]]/(Tabela2[[#This Row],[Height]] ^2))</f>
        <v>26.12248959321192</v>
      </c>
    </row>
    <row r="883" spans="1:23" x14ac:dyDescent="0.25">
      <c r="A883" t="s">
        <v>13</v>
      </c>
      <c r="B883" s="7">
        <v>17.781182999999999</v>
      </c>
      <c r="C883" s="4">
        <v>1.6</v>
      </c>
      <c r="D883" s="7">
        <v>65</v>
      </c>
      <c r="E883">
        <v>1</v>
      </c>
      <c r="F883">
        <v>1</v>
      </c>
      <c r="G883" s="2">
        <v>3</v>
      </c>
      <c r="H883" s="2">
        <v>2.9735040000000001</v>
      </c>
      <c r="I883">
        <v>1</v>
      </c>
      <c r="J883">
        <v>0</v>
      </c>
      <c r="K883" s="2">
        <v>2</v>
      </c>
      <c r="L883">
        <v>1</v>
      </c>
      <c r="M883" s="7">
        <v>0.178976</v>
      </c>
      <c r="N883" s="7">
        <v>0.166076</v>
      </c>
      <c r="O883">
        <v>1</v>
      </c>
      <c r="P883" t="s">
        <v>14</v>
      </c>
      <c r="Q883">
        <v>2</v>
      </c>
      <c r="R883" s="8">
        <f>(Tabela2[[#This Row],[FAF_atividade_fisica_frequente_em_horas]]+ 0.1)</f>
        <v>0.278976</v>
      </c>
      <c r="S883" s="1">
        <f>(Tabela2[[#This Row],[TUE_tempo_uso_aparelhos_em_horas]]/Tabela2[[#This Row],[FAF_Var]])</f>
        <v>0.59530568937829775</v>
      </c>
      <c r="T883">
        <f>(Tabela2[[#This Row],[CAEC_lanche_entre_refeicoes]]*Tabela2[[#This Row],[FAVC_consumo_frequente_de_alimentos_mt_caloricos]])</f>
        <v>1</v>
      </c>
      <c r="U883" s="1">
        <f>IF(OR(Tabela2[[#This Row],[MTRANS]]="Walking",Tabela2[[#This Row],[MTRANS]]="Bike"),Tabela2[[#This Row],[FAF_atividade_fisica_frequente_em_horas]]+1,M883)</f>
        <v>0.178976</v>
      </c>
      <c r="V883">
        <f>(Tabela2[[#This Row],[SMOKE]]+Tabela2[[#This Row],[CALC_bebe_alcool_frequentemente]])</f>
        <v>1</v>
      </c>
      <c r="W883" s="8">
        <f>(Tabela2[[#This Row],[Weight]]/(Tabela2[[#This Row],[Height]] ^2))</f>
        <v>25.390624999999996</v>
      </c>
    </row>
    <row r="884" spans="1:23" x14ac:dyDescent="0.25">
      <c r="A884" t="s">
        <v>15</v>
      </c>
      <c r="B884" s="7">
        <v>33.100580999999998</v>
      </c>
      <c r="C884" s="4">
        <v>1.8387910000000001</v>
      </c>
      <c r="D884" s="7">
        <v>87.857849999999999</v>
      </c>
      <c r="E884">
        <v>0</v>
      </c>
      <c r="F884">
        <v>1</v>
      </c>
      <c r="G884" s="2">
        <v>2.8144529999999999</v>
      </c>
      <c r="H884" s="2">
        <v>2.6080549999999998</v>
      </c>
      <c r="I884">
        <v>1</v>
      </c>
      <c r="J884">
        <v>0</v>
      </c>
      <c r="K884" s="2">
        <v>1.8591599999999999</v>
      </c>
      <c r="L884">
        <v>0</v>
      </c>
      <c r="M884" s="7">
        <v>2</v>
      </c>
      <c r="N884" s="7">
        <v>0.51608399999999999</v>
      </c>
      <c r="O884">
        <v>0</v>
      </c>
      <c r="P884" t="s">
        <v>17</v>
      </c>
      <c r="Q884">
        <v>2</v>
      </c>
      <c r="R884" s="8">
        <f>(Tabela2[[#This Row],[FAF_atividade_fisica_frequente_em_horas]]+ 0.1)</f>
        <v>2.1</v>
      </c>
      <c r="S884" s="1">
        <f>(Tabela2[[#This Row],[TUE_tempo_uso_aparelhos_em_horas]]/Tabela2[[#This Row],[FAF_Var]])</f>
        <v>0.2457542857142857</v>
      </c>
      <c r="T884">
        <f>(Tabela2[[#This Row],[CAEC_lanche_entre_refeicoes]]*Tabela2[[#This Row],[FAVC_consumo_frequente_de_alimentos_mt_caloricos]])</f>
        <v>1</v>
      </c>
      <c r="U884" s="1">
        <f>IF(OR(Tabela2[[#This Row],[MTRANS]]="Walking",Tabela2[[#This Row],[MTRANS]]="Bike"),Tabela2[[#This Row],[FAF_atividade_fisica_frequente_em_horas]]+1,M884)</f>
        <v>2</v>
      </c>
      <c r="V884">
        <f>(Tabela2[[#This Row],[SMOKE]]+Tabela2[[#This Row],[CALC_bebe_alcool_frequentemente]])</f>
        <v>0</v>
      </c>
      <c r="W884" s="8">
        <f>(Tabela2[[#This Row],[Weight]]/(Tabela2[[#This Row],[Height]] ^2))</f>
        <v>25.984587833247378</v>
      </c>
    </row>
    <row r="885" spans="1:23" x14ac:dyDescent="0.25">
      <c r="A885" t="s">
        <v>13</v>
      </c>
      <c r="B885" s="7">
        <v>33.251015000000002</v>
      </c>
      <c r="C885" s="4">
        <v>1.7303789999999999</v>
      </c>
      <c r="D885" s="7">
        <v>75.920518999999999</v>
      </c>
      <c r="E885">
        <v>1</v>
      </c>
      <c r="F885">
        <v>1</v>
      </c>
      <c r="G885" s="2">
        <v>2.013782</v>
      </c>
      <c r="H885" s="2">
        <v>2.6259420000000002</v>
      </c>
      <c r="I885">
        <v>1</v>
      </c>
      <c r="J885">
        <v>0</v>
      </c>
      <c r="K885" s="2">
        <v>1.0455859999999999</v>
      </c>
      <c r="L885">
        <v>0</v>
      </c>
      <c r="M885" s="7">
        <v>0.55330500000000005</v>
      </c>
      <c r="N885" s="7">
        <v>0.48021399999999997</v>
      </c>
      <c r="O885">
        <v>1</v>
      </c>
      <c r="P885" t="s">
        <v>17</v>
      </c>
      <c r="Q885">
        <v>2</v>
      </c>
      <c r="R885" s="8">
        <f>(Tabela2[[#This Row],[FAF_atividade_fisica_frequente_em_horas]]+ 0.1)</f>
        <v>0.65330500000000002</v>
      </c>
      <c r="S885" s="1">
        <f>(Tabela2[[#This Row],[TUE_tempo_uso_aparelhos_em_horas]]/Tabela2[[#This Row],[FAF_Var]])</f>
        <v>0.7350533058831632</v>
      </c>
      <c r="T885">
        <f>(Tabela2[[#This Row],[CAEC_lanche_entre_refeicoes]]*Tabela2[[#This Row],[FAVC_consumo_frequente_de_alimentos_mt_caloricos]])</f>
        <v>1</v>
      </c>
      <c r="U885" s="1">
        <f>IF(OR(Tabela2[[#This Row],[MTRANS]]="Walking",Tabela2[[#This Row],[MTRANS]]="Bike"),Tabela2[[#This Row],[FAF_atividade_fisica_frequente_em_horas]]+1,M885)</f>
        <v>0.55330500000000005</v>
      </c>
      <c r="V885">
        <f>(Tabela2[[#This Row],[SMOKE]]+Tabela2[[#This Row],[CALC_bebe_alcool_frequentemente]])</f>
        <v>1</v>
      </c>
      <c r="W885" s="8">
        <f>(Tabela2[[#This Row],[Weight]]/(Tabela2[[#This Row],[Height]] ^2))</f>
        <v>25.355763751089377</v>
      </c>
    </row>
    <row r="886" spans="1:23" x14ac:dyDescent="0.25">
      <c r="A886" t="s">
        <v>13</v>
      </c>
      <c r="B886" s="7">
        <v>18.985119000000001</v>
      </c>
      <c r="C886" s="4">
        <v>1.759117</v>
      </c>
      <c r="D886" s="7">
        <v>80</v>
      </c>
      <c r="E886">
        <v>1</v>
      </c>
      <c r="F886">
        <v>1</v>
      </c>
      <c r="G886" s="2">
        <v>2</v>
      </c>
      <c r="H886" s="2">
        <v>1.411808</v>
      </c>
      <c r="I886">
        <v>1</v>
      </c>
      <c r="J886">
        <v>0</v>
      </c>
      <c r="K886" s="2">
        <v>2.6511939999999998</v>
      </c>
      <c r="L886">
        <v>0</v>
      </c>
      <c r="M886" s="7">
        <v>2.8784139999999998</v>
      </c>
      <c r="N886" s="7">
        <v>0.95384100000000005</v>
      </c>
      <c r="O886">
        <v>0</v>
      </c>
      <c r="P886" t="s">
        <v>14</v>
      </c>
      <c r="Q886">
        <v>2</v>
      </c>
      <c r="R886" s="8">
        <f>(Tabela2[[#This Row],[FAF_atividade_fisica_frequente_em_horas]]+ 0.1)</f>
        <v>2.9784139999999999</v>
      </c>
      <c r="S886" s="1">
        <f>(Tabela2[[#This Row],[TUE_tempo_uso_aparelhos_em_horas]]/Tabela2[[#This Row],[FAF_Var]])</f>
        <v>0.32025131496158699</v>
      </c>
      <c r="T886">
        <f>(Tabela2[[#This Row],[CAEC_lanche_entre_refeicoes]]*Tabela2[[#This Row],[FAVC_consumo_frequente_de_alimentos_mt_caloricos]])</f>
        <v>1</v>
      </c>
      <c r="U886" s="1">
        <f>IF(OR(Tabela2[[#This Row],[MTRANS]]="Walking",Tabela2[[#This Row],[MTRANS]]="Bike"),Tabela2[[#This Row],[FAF_atividade_fisica_frequente_em_horas]]+1,M886)</f>
        <v>2.8784139999999998</v>
      </c>
      <c r="V886">
        <f>(Tabela2[[#This Row],[SMOKE]]+Tabela2[[#This Row],[CALC_bebe_alcool_frequentemente]])</f>
        <v>0</v>
      </c>
      <c r="W886" s="8">
        <f>(Tabela2[[#This Row],[Weight]]/(Tabela2[[#This Row],[Height]] ^2))</f>
        <v>25.852380287156763</v>
      </c>
    </row>
    <row r="887" spans="1:23" x14ac:dyDescent="0.25">
      <c r="A887" t="s">
        <v>13</v>
      </c>
      <c r="B887" s="7">
        <v>18.871917</v>
      </c>
      <c r="C887" s="4">
        <v>1.7552540000000001</v>
      </c>
      <c r="D887" s="7">
        <v>80</v>
      </c>
      <c r="E887">
        <v>1</v>
      </c>
      <c r="F887">
        <v>1</v>
      </c>
      <c r="G887" s="2">
        <v>2</v>
      </c>
      <c r="H887" s="2">
        <v>1.0952230000000001</v>
      </c>
      <c r="I887">
        <v>1</v>
      </c>
      <c r="J887">
        <v>0</v>
      </c>
      <c r="K887" s="2">
        <v>2.474132</v>
      </c>
      <c r="L887">
        <v>0</v>
      </c>
      <c r="M887" s="7">
        <v>2.8766959999999999</v>
      </c>
      <c r="N887" s="7">
        <v>0.79390000000000005</v>
      </c>
      <c r="O887">
        <v>0</v>
      </c>
      <c r="P887" t="s">
        <v>14</v>
      </c>
      <c r="Q887">
        <v>2</v>
      </c>
      <c r="R887" s="8">
        <f>(Tabela2[[#This Row],[FAF_atividade_fisica_frequente_em_horas]]+ 0.1)</f>
        <v>2.976696</v>
      </c>
      <c r="S887" s="1">
        <f>(Tabela2[[#This Row],[TUE_tempo_uso_aparelhos_em_horas]]/Tabela2[[#This Row],[FAF_Var]])</f>
        <v>0.2667050985387826</v>
      </c>
      <c r="T887">
        <f>(Tabela2[[#This Row],[CAEC_lanche_entre_refeicoes]]*Tabela2[[#This Row],[FAVC_consumo_frequente_de_alimentos_mt_caloricos]])</f>
        <v>1</v>
      </c>
      <c r="U887" s="1">
        <f>IF(OR(Tabela2[[#This Row],[MTRANS]]="Walking",Tabela2[[#This Row],[MTRANS]]="Bike"),Tabela2[[#This Row],[FAF_atividade_fisica_frequente_em_horas]]+1,M887)</f>
        <v>2.8766959999999999</v>
      </c>
      <c r="V887">
        <f>(Tabela2[[#This Row],[SMOKE]]+Tabela2[[#This Row],[CALC_bebe_alcool_frequentemente]])</f>
        <v>0</v>
      </c>
      <c r="W887" s="8">
        <f>(Tabela2[[#This Row],[Weight]]/(Tabela2[[#This Row],[Height]] ^2))</f>
        <v>25.966298432984583</v>
      </c>
    </row>
    <row r="888" spans="1:23" x14ac:dyDescent="0.25">
      <c r="A888" t="s">
        <v>15</v>
      </c>
      <c r="B888" s="7">
        <v>19.478532999999999</v>
      </c>
      <c r="C888" s="4">
        <v>1.8040989999999999</v>
      </c>
      <c r="D888" s="7">
        <v>85.196279000000004</v>
      </c>
      <c r="E888">
        <v>1</v>
      </c>
      <c r="F888">
        <v>1</v>
      </c>
      <c r="G888" s="2">
        <v>2.4599760000000002</v>
      </c>
      <c r="H888" s="2">
        <v>3.3084600000000002</v>
      </c>
      <c r="I888">
        <v>1</v>
      </c>
      <c r="J888">
        <v>0</v>
      </c>
      <c r="K888" s="2">
        <v>2.0780110000000001</v>
      </c>
      <c r="L888">
        <v>0</v>
      </c>
      <c r="M888" s="7">
        <v>1.7796460000000001</v>
      </c>
      <c r="N888" s="7">
        <v>0.87177199999999999</v>
      </c>
      <c r="O888">
        <v>1</v>
      </c>
      <c r="P888" t="s">
        <v>14</v>
      </c>
      <c r="Q888">
        <v>2</v>
      </c>
      <c r="R888" s="8">
        <f>(Tabela2[[#This Row],[FAF_atividade_fisica_frequente_em_horas]]+ 0.1)</f>
        <v>1.8796460000000002</v>
      </c>
      <c r="S888" s="1">
        <f>(Tabela2[[#This Row],[TUE_tempo_uso_aparelhos_em_horas]]/Tabela2[[#This Row],[FAF_Var]])</f>
        <v>0.4637958424086237</v>
      </c>
      <c r="T888">
        <f>(Tabela2[[#This Row],[CAEC_lanche_entre_refeicoes]]*Tabela2[[#This Row],[FAVC_consumo_frequente_de_alimentos_mt_caloricos]])</f>
        <v>1</v>
      </c>
      <c r="U888" s="1">
        <f>IF(OR(Tabela2[[#This Row],[MTRANS]]="Walking",Tabela2[[#This Row],[MTRANS]]="Bike"),Tabela2[[#This Row],[FAF_atividade_fisica_frequente_em_horas]]+1,M888)</f>
        <v>1.7796460000000001</v>
      </c>
      <c r="V888">
        <f>(Tabela2[[#This Row],[SMOKE]]+Tabela2[[#This Row],[CALC_bebe_alcool_frequentemente]])</f>
        <v>1</v>
      </c>
      <c r="W888" s="8">
        <f>(Tabela2[[#This Row],[Weight]]/(Tabela2[[#This Row],[Height]] ^2))</f>
        <v>26.175795890434827</v>
      </c>
    </row>
    <row r="889" spans="1:23" x14ac:dyDescent="0.25">
      <c r="A889" t="s">
        <v>15</v>
      </c>
      <c r="B889" s="7">
        <v>19.429722999999999</v>
      </c>
      <c r="C889" s="4">
        <v>1.8135669999999999</v>
      </c>
      <c r="D889" s="7">
        <v>86.144903999999997</v>
      </c>
      <c r="E889">
        <v>1</v>
      </c>
      <c r="F889">
        <v>1</v>
      </c>
      <c r="G889" s="2">
        <v>2.6431830000000001</v>
      </c>
      <c r="H889" s="2">
        <v>3.8214610000000002</v>
      </c>
      <c r="I889">
        <v>1</v>
      </c>
      <c r="J889">
        <v>0</v>
      </c>
      <c r="K889" s="2">
        <v>2.3971239999999998</v>
      </c>
      <c r="L889">
        <v>0</v>
      </c>
      <c r="M889" s="7">
        <v>2.044165</v>
      </c>
      <c r="N889" s="7">
        <v>0.471663</v>
      </c>
      <c r="O889">
        <v>1</v>
      </c>
      <c r="P889" t="s">
        <v>14</v>
      </c>
      <c r="Q889">
        <v>2</v>
      </c>
      <c r="R889" s="8">
        <f>(Tabela2[[#This Row],[FAF_atividade_fisica_frequente_em_horas]]+ 0.1)</f>
        <v>2.1441650000000001</v>
      </c>
      <c r="S889" s="1">
        <f>(Tabela2[[#This Row],[TUE_tempo_uso_aparelhos_em_horas]]/Tabela2[[#This Row],[FAF_Var]])</f>
        <v>0.21997514183843125</v>
      </c>
      <c r="T889">
        <f>(Tabela2[[#This Row],[CAEC_lanche_entre_refeicoes]]*Tabela2[[#This Row],[FAVC_consumo_frequente_de_alimentos_mt_caloricos]])</f>
        <v>1</v>
      </c>
      <c r="U889" s="1">
        <f>IF(OR(Tabela2[[#This Row],[MTRANS]]="Walking",Tabela2[[#This Row],[MTRANS]]="Bike"),Tabela2[[#This Row],[FAF_atividade_fisica_frequente_em_horas]]+1,M889)</f>
        <v>2.044165</v>
      </c>
      <c r="V889">
        <f>(Tabela2[[#This Row],[SMOKE]]+Tabela2[[#This Row],[CALC_bebe_alcool_frequentemente]])</f>
        <v>1</v>
      </c>
      <c r="W889" s="8">
        <f>(Tabela2[[#This Row],[Weight]]/(Tabela2[[#This Row],[Height]] ^2))</f>
        <v>26.191621255173164</v>
      </c>
    </row>
    <row r="890" spans="1:23" x14ac:dyDescent="0.25">
      <c r="A890" t="s">
        <v>13</v>
      </c>
      <c r="B890" s="7">
        <v>20.979254000000001</v>
      </c>
      <c r="C890" s="4">
        <v>1.7565500000000001</v>
      </c>
      <c r="D890" s="7">
        <v>78.721695999999994</v>
      </c>
      <c r="E890">
        <v>1</v>
      </c>
      <c r="F890">
        <v>1</v>
      </c>
      <c r="G890" s="2">
        <v>2</v>
      </c>
      <c r="H890" s="2">
        <v>3</v>
      </c>
      <c r="I890">
        <v>1</v>
      </c>
      <c r="J890">
        <v>0</v>
      </c>
      <c r="K890" s="2">
        <v>2.813234</v>
      </c>
      <c r="L890">
        <v>0</v>
      </c>
      <c r="M890" s="7">
        <v>0.22875300000000001</v>
      </c>
      <c r="N890" s="7">
        <v>2</v>
      </c>
      <c r="O890">
        <v>2</v>
      </c>
      <c r="P890" t="s">
        <v>14</v>
      </c>
      <c r="Q890">
        <v>2</v>
      </c>
      <c r="R890" s="8">
        <f>(Tabela2[[#This Row],[FAF_atividade_fisica_frequente_em_horas]]+ 0.1)</f>
        <v>0.32875300000000002</v>
      </c>
      <c r="S890" s="1">
        <f>(Tabela2[[#This Row],[TUE_tempo_uso_aparelhos_em_horas]]/Tabela2[[#This Row],[FAF_Var]])</f>
        <v>6.0835946744212217</v>
      </c>
      <c r="T890">
        <f>(Tabela2[[#This Row],[CAEC_lanche_entre_refeicoes]]*Tabela2[[#This Row],[FAVC_consumo_frequente_de_alimentos_mt_caloricos]])</f>
        <v>1</v>
      </c>
      <c r="U890" s="1">
        <f>IF(OR(Tabela2[[#This Row],[MTRANS]]="Walking",Tabela2[[#This Row],[MTRANS]]="Bike"),Tabela2[[#This Row],[FAF_atividade_fisica_frequente_em_horas]]+1,M890)</f>
        <v>0.22875300000000001</v>
      </c>
      <c r="V890">
        <f>(Tabela2[[#This Row],[SMOKE]]+Tabela2[[#This Row],[CALC_bebe_alcool_frequentemente]])</f>
        <v>2</v>
      </c>
      <c r="W890" s="8">
        <f>(Tabela2[[#This Row],[Weight]]/(Tabela2[[#This Row],[Height]] ^2))</f>
        <v>25.513697917977286</v>
      </c>
    </row>
    <row r="891" spans="1:23" x14ac:dyDescent="0.25">
      <c r="A891" t="s">
        <v>13</v>
      </c>
      <c r="B891" s="7">
        <v>18.869150999999999</v>
      </c>
      <c r="C891" s="4">
        <v>1.7567740000000001</v>
      </c>
      <c r="D891" s="7">
        <v>79.989789000000002</v>
      </c>
      <c r="E891">
        <v>1</v>
      </c>
      <c r="F891">
        <v>1</v>
      </c>
      <c r="G891" s="2">
        <v>2</v>
      </c>
      <c r="H891" s="2">
        <v>2.658639</v>
      </c>
      <c r="I891">
        <v>1</v>
      </c>
      <c r="J891">
        <v>0</v>
      </c>
      <c r="K891" s="2">
        <v>2.781628</v>
      </c>
      <c r="L891">
        <v>0</v>
      </c>
      <c r="M891" s="7">
        <v>1.955992</v>
      </c>
      <c r="N891" s="7">
        <v>1.409198</v>
      </c>
      <c r="O891">
        <v>2</v>
      </c>
      <c r="P891" t="s">
        <v>14</v>
      </c>
      <c r="Q891">
        <v>2</v>
      </c>
      <c r="R891" s="8">
        <f>(Tabela2[[#This Row],[FAF_atividade_fisica_frequente_em_horas]]+ 0.1)</f>
        <v>2.0559919999999998</v>
      </c>
      <c r="S891" s="1">
        <f>(Tabela2[[#This Row],[TUE_tempo_uso_aparelhos_em_horas]]/Tabela2[[#This Row],[FAF_Var]])</f>
        <v>0.68541025451460902</v>
      </c>
      <c r="T891">
        <f>(Tabela2[[#This Row],[CAEC_lanche_entre_refeicoes]]*Tabela2[[#This Row],[FAVC_consumo_frequente_de_alimentos_mt_caloricos]])</f>
        <v>1</v>
      </c>
      <c r="U891" s="1">
        <f>IF(OR(Tabela2[[#This Row],[MTRANS]]="Walking",Tabela2[[#This Row],[MTRANS]]="Bike"),Tabela2[[#This Row],[FAF_atividade_fisica_frequente_em_horas]]+1,M891)</f>
        <v>1.955992</v>
      </c>
      <c r="V891">
        <f>(Tabela2[[#This Row],[SMOKE]]+Tabela2[[#This Row],[CALC_bebe_alcool_frequentemente]])</f>
        <v>2</v>
      </c>
      <c r="W891" s="8">
        <f>(Tabela2[[#This Row],[Weight]]/(Tabela2[[#This Row],[Height]] ^2))</f>
        <v>25.918076091176143</v>
      </c>
    </row>
    <row r="892" spans="1:23" x14ac:dyDescent="0.25">
      <c r="A892" t="s">
        <v>13</v>
      </c>
      <c r="B892" s="7">
        <v>18.236087000000001</v>
      </c>
      <c r="C892" s="4">
        <v>1.62</v>
      </c>
      <c r="D892" s="7">
        <v>69.389899999999997</v>
      </c>
      <c r="E892">
        <v>1</v>
      </c>
      <c r="F892">
        <v>1</v>
      </c>
      <c r="G892" s="2">
        <v>2.2239900000000001</v>
      </c>
      <c r="H892" s="2">
        <v>1</v>
      </c>
      <c r="I892">
        <v>1</v>
      </c>
      <c r="J892">
        <v>0</v>
      </c>
      <c r="K892" s="2">
        <v>2.2031200000000002</v>
      </c>
      <c r="L892">
        <v>0</v>
      </c>
      <c r="M892" s="7">
        <v>0.104451</v>
      </c>
      <c r="N892" s="7">
        <v>1.899073</v>
      </c>
      <c r="O892">
        <v>0</v>
      </c>
      <c r="P892" t="s">
        <v>14</v>
      </c>
      <c r="Q892">
        <v>2</v>
      </c>
      <c r="R892" s="8">
        <f>(Tabela2[[#This Row],[FAF_atividade_fisica_frequente_em_horas]]+ 0.1)</f>
        <v>0.20445099999999999</v>
      </c>
      <c r="S892" s="1">
        <f>(Tabela2[[#This Row],[TUE_tempo_uso_aparelhos_em_horas]]/Tabela2[[#This Row],[FAF_Var]])</f>
        <v>9.2886461792801214</v>
      </c>
      <c r="T892">
        <f>(Tabela2[[#This Row],[CAEC_lanche_entre_refeicoes]]*Tabela2[[#This Row],[FAVC_consumo_frequente_de_alimentos_mt_caloricos]])</f>
        <v>1</v>
      </c>
      <c r="U892" s="1">
        <f>IF(OR(Tabela2[[#This Row],[MTRANS]]="Walking",Tabela2[[#This Row],[MTRANS]]="Bike"),Tabela2[[#This Row],[FAF_atividade_fisica_frequente_em_horas]]+1,M892)</f>
        <v>0.104451</v>
      </c>
      <c r="V892">
        <f>(Tabela2[[#This Row],[SMOKE]]+Tabela2[[#This Row],[CALC_bebe_alcool_frequentemente]])</f>
        <v>0</v>
      </c>
      <c r="W892" s="8">
        <f>(Tabela2[[#This Row],[Weight]]/(Tabela2[[#This Row],[Height]] ^2))</f>
        <v>26.440291114159422</v>
      </c>
    </row>
    <row r="893" spans="1:23" x14ac:dyDescent="0.25">
      <c r="A893" t="s">
        <v>13</v>
      </c>
      <c r="B893" s="7">
        <v>20.901392999999999</v>
      </c>
      <c r="C893" s="4">
        <v>1.7095849999999999</v>
      </c>
      <c r="D893" s="7">
        <v>75</v>
      </c>
      <c r="E893">
        <v>1</v>
      </c>
      <c r="F893">
        <v>1</v>
      </c>
      <c r="G893" s="2">
        <v>2.1041050000000001</v>
      </c>
      <c r="H893" s="2">
        <v>3</v>
      </c>
      <c r="I893">
        <v>1</v>
      </c>
      <c r="J893">
        <v>0</v>
      </c>
      <c r="K893" s="2">
        <v>1.8710329999999999</v>
      </c>
      <c r="L893">
        <v>0</v>
      </c>
      <c r="M893" s="7">
        <v>1</v>
      </c>
      <c r="N893" s="7">
        <v>0</v>
      </c>
      <c r="O893">
        <v>1</v>
      </c>
      <c r="P893" t="s">
        <v>14</v>
      </c>
      <c r="Q893">
        <v>2</v>
      </c>
      <c r="R893" s="8">
        <f>(Tabela2[[#This Row],[FAF_atividade_fisica_frequente_em_horas]]+ 0.1)</f>
        <v>1.1000000000000001</v>
      </c>
      <c r="S893" s="1">
        <f>(Tabela2[[#This Row],[TUE_tempo_uso_aparelhos_em_horas]]/Tabela2[[#This Row],[FAF_Var]])</f>
        <v>0</v>
      </c>
      <c r="T893">
        <f>(Tabela2[[#This Row],[CAEC_lanche_entre_refeicoes]]*Tabela2[[#This Row],[FAVC_consumo_frequente_de_alimentos_mt_caloricos]])</f>
        <v>1</v>
      </c>
      <c r="U893" s="1">
        <f>IF(OR(Tabela2[[#This Row],[MTRANS]]="Walking",Tabela2[[#This Row],[MTRANS]]="Bike"),Tabela2[[#This Row],[FAF_atividade_fisica_frequente_em_horas]]+1,M893)</f>
        <v>1</v>
      </c>
      <c r="V893">
        <f>(Tabela2[[#This Row],[SMOKE]]+Tabela2[[#This Row],[CALC_bebe_alcool_frequentemente]])</f>
        <v>1</v>
      </c>
      <c r="W893" s="8">
        <f>(Tabela2[[#This Row],[Weight]]/(Tabela2[[#This Row],[Height]] ^2))</f>
        <v>25.661371623821339</v>
      </c>
    </row>
    <row r="894" spans="1:23" x14ac:dyDescent="0.25">
      <c r="A894" t="s">
        <v>13</v>
      </c>
      <c r="B894" s="7">
        <v>17.085249999999998</v>
      </c>
      <c r="C894" s="4">
        <v>1.5356179999999999</v>
      </c>
      <c r="D894" s="7">
        <v>57.259124</v>
      </c>
      <c r="E894">
        <v>0</v>
      </c>
      <c r="F894">
        <v>1</v>
      </c>
      <c r="G894" s="2">
        <v>1.972545</v>
      </c>
      <c r="H894" s="2">
        <v>2.3396140000000001</v>
      </c>
      <c r="I894">
        <v>1</v>
      </c>
      <c r="J894">
        <v>0</v>
      </c>
      <c r="K894" s="2">
        <v>1.711074</v>
      </c>
      <c r="L894">
        <v>1</v>
      </c>
      <c r="M894" s="7">
        <v>9.5517000000000005E-2</v>
      </c>
      <c r="N894" s="7">
        <v>1.1910529999999999</v>
      </c>
      <c r="O894">
        <v>1</v>
      </c>
      <c r="P894" t="s">
        <v>14</v>
      </c>
      <c r="Q894">
        <v>2</v>
      </c>
      <c r="R894" s="8">
        <f>(Tabela2[[#This Row],[FAF_atividade_fisica_frequente_em_horas]]+ 0.1)</f>
        <v>0.195517</v>
      </c>
      <c r="S894" s="1">
        <f>(Tabela2[[#This Row],[TUE_tempo_uso_aparelhos_em_horas]]/Tabela2[[#This Row],[FAF_Var]])</f>
        <v>6.0918129881289094</v>
      </c>
      <c r="T894">
        <f>(Tabela2[[#This Row],[CAEC_lanche_entre_refeicoes]]*Tabela2[[#This Row],[FAVC_consumo_frequente_de_alimentos_mt_caloricos]])</f>
        <v>1</v>
      </c>
      <c r="U894" s="1">
        <f>IF(OR(Tabela2[[#This Row],[MTRANS]]="Walking",Tabela2[[#This Row],[MTRANS]]="Bike"),Tabela2[[#This Row],[FAF_atividade_fisica_frequente_em_horas]]+1,M894)</f>
        <v>9.5517000000000005E-2</v>
      </c>
      <c r="V894">
        <f>(Tabela2[[#This Row],[SMOKE]]+Tabela2[[#This Row],[CALC_bebe_alcool_frequentemente]])</f>
        <v>1</v>
      </c>
      <c r="W894" s="8">
        <f>(Tabela2[[#This Row],[Weight]]/(Tabela2[[#This Row],[Height]] ^2))</f>
        <v>24.281656510147457</v>
      </c>
    </row>
    <row r="895" spans="1:23" x14ac:dyDescent="0.25">
      <c r="A895" t="s">
        <v>15</v>
      </c>
      <c r="B895" s="7">
        <v>25.785924999999999</v>
      </c>
      <c r="C895" s="4">
        <v>1.818848</v>
      </c>
      <c r="D895" s="7">
        <v>87.032398000000001</v>
      </c>
      <c r="E895">
        <v>0</v>
      </c>
      <c r="F895">
        <v>1</v>
      </c>
      <c r="G895" s="2">
        <v>2.2864810000000002</v>
      </c>
      <c r="H895" s="2">
        <v>1.713762</v>
      </c>
      <c r="I895">
        <v>1</v>
      </c>
      <c r="J895">
        <v>0</v>
      </c>
      <c r="K895" s="2">
        <v>1.797161</v>
      </c>
      <c r="L895">
        <v>0</v>
      </c>
      <c r="M895" s="7">
        <v>1.658698</v>
      </c>
      <c r="N895" s="7">
        <v>0.92658099999999999</v>
      </c>
      <c r="O895">
        <v>0</v>
      </c>
      <c r="P895" t="s">
        <v>17</v>
      </c>
      <c r="Q895">
        <v>2</v>
      </c>
      <c r="R895" s="8">
        <f>(Tabela2[[#This Row],[FAF_atividade_fisica_frequente_em_horas]]+ 0.1)</f>
        <v>1.7586980000000001</v>
      </c>
      <c r="S895" s="1">
        <f>(Tabela2[[#This Row],[TUE_tempo_uso_aparelhos_em_horas]]/Tabela2[[#This Row],[FAF_Var]])</f>
        <v>0.52685623114372104</v>
      </c>
      <c r="T895">
        <f>(Tabela2[[#This Row],[CAEC_lanche_entre_refeicoes]]*Tabela2[[#This Row],[FAVC_consumo_frequente_de_alimentos_mt_caloricos]])</f>
        <v>1</v>
      </c>
      <c r="U895" s="1">
        <f>IF(OR(Tabela2[[#This Row],[MTRANS]]="Walking",Tabela2[[#This Row],[MTRANS]]="Bike"),Tabela2[[#This Row],[FAF_atividade_fisica_frequente_em_horas]]+1,M895)</f>
        <v>1.658698</v>
      </c>
      <c r="V895">
        <f>(Tabela2[[#This Row],[SMOKE]]+Tabela2[[#This Row],[CALC_bebe_alcool_frequentemente]])</f>
        <v>0</v>
      </c>
      <c r="W895" s="8">
        <f>(Tabela2[[#This Row],[Weight]]/(Tabela2[[#This Row],[Height]] ^2))</f>
        <v>26.308018347330972</v>
      </c>
    </row>
    <row r="896" spans="1:23" x14ac:dyDescent="0.25">
      <c r="A896" t="s">
        <v>15</v>
      </c>
      <c r="B896" s="7">
        <v>26.787842000000001</v>
      </c>
      <c r="C896" s="4">
        <v>1.8176410000000001</v>
      </c>
      <c r="D896" s="7">
        <v>87.107316999999995</v>
      </c>
      <c r="E896">
        <v>0</v>
      </c>
      <c r="F896">
        <v>1</v>
      </c>
      <c r="G896" s="2">
        <v>2.9715880000000001</v>
      </c>
      <c r="H896" s="2">
        <v>2.743277</v>
      </c>
      <c r="I896">
        <v>1</v>
      </c>
      <c r="J896">
        <v>0</v>
      </c>
      <c r="K896" s="2">
        <v>1.3948830000000001</v>
      </c>
      <c r="L896">
        <v>0</v>
      </c>
      <c r="M896" s="7">
        <v>2</v>
      </c>
      <c r="N896" s="7">
        <v>0.47024300000000002</v>
      </c>
      <c r="O896">
        <v>0</v>
      </c>
      <c r="P896" t="s">
        <v>17</v>
      </c>
      <c r="Q896">
        <v>2</v>
      </c>
      <c r="R896" s="8">
        <f>(Tabela2[[#This Row],[FAF_atividade_fisica_frequente_em_horas]]+ 0.1)</f>
        <v>2.1</v>
      </c>
      <c r="S896" s="1">
        <f>(Tabela2[[#This Row],[TUE_tempo_uso_aparelhos_em_horas]]/Tabela2[[#This Row],[FAF_Var]])</f>
        <v>0.22392523809523809</v>
      </c>
      <c r="T896">
        <f>(Tabela2[[#This Row],[CAEC_lanche_entre_refeicoes]]*Tabela2[[#This Row],[FAVC_consumo_frequente_de_alimentos_mt_caloricos]])</f>
        <v>1</v>
      </c>
      <c r="U896" s="1">
        <f>IF(OR(Tabela2[[#This Row],[MTRANS]]="Walking",Tabela2[[#This Row],[MTRANS]]="Bike"),Tabela2[[#This Row],[FAF_atividade_fisica_frequente_em_horas]]+1,M896)</f>
        <v>2</v>
      </c>
      <c r="V896">
        <f>(Tabela2[[#This Row],[SMOKE]]+Tabela2[[#This Row],[CALC_bebe_alcool_frequentemente]])</f>
        <v>0</v>
      </c>
      <c r="W896" s="8">
        <f>(Tabela2[[#This Row],[Weight]]/(Tabela2[[#This Row],[Height]] ^2))</f>
        <v>26.365645982554877</v>
      </c>
    </row>
    <row r="897" spans="1:23" x14ac:dyDescent="0.25">
      <c r="A897" t="s">
        <v>15</v>
      </c>
      <c r="B897" s="7">
        <v>21.037514000000002</v>
      </c>
      <c r="C897" s="4">
        <v>1.636592</v>
      </c>
      <c r="D897" s="7">
        <v>70</v>
      </c>
      <c r="E897">
        <v>0</v>
      </c>
      <c r="F897">
        <v>1</v>
      </c>
      <c r="G897" s="2">
        <v>2</v>
      </c>
      <c r="H897" s="2">
        <v>1</v>
      </c>
      <c r="I897">
        <v>0</v>
      </c>
      <c r="J897">
        <v>0</v>
      </c>
      <c r="K897" s="2">
        <v>2.8816769999999998</v>
      </c>
      <c r="L897">
        <v>0</v>
      </c>
      <c r="M897" s="7">
        <v>0.91569900000000004</v>
      </c>
      <c r="N897" s="7">
        <v>0</v>
      </c>
      <c r="O897">
        <v>1</v>
      </c>
      <c r="P897" t="s">
        <v>14</v>
      </c>
      <c r="Q897">
        <v>2</v>
      </c>
      <c r="R897" s="8">
        <f>(Tabela2[[#This Row],[FAF_atividade_fisica_frequente_em_horas]]+ 0.1)</f>
        <v>1.0156990000000001</v>
      </c>
      <c r="S897" s="1">
        <f>(Tabela2[[#This Row],[TUE_tempo_uso_aparelhos_em_horas]]/Tabela2[[#This Row],[FAF_Var]])</f>
        <v>0</v>
      </c>
      <c r="T897">
        <f>(Tabela2[[#This Row],[CAEC_lanche_entre_refeicoes]]*Tabela2[[#This Row],[FAVC_consumo_frequente_de_alimentos_mt_caloricos]])</f>
        <v>0</v>
      </c>
      <c r="U897" s="1">
        <f>IF(OR(Tabela2[[#This Row],[MTRANS]]="Walking",Tabela2[[#This Row],[MTRANS]]="Bike"),Tabela2[[#This Row],[FAF_atividade_fisica_frequente_em_horas]]+1,M897)</f>
        <v>0.91569900000000004</v>
      </c>
      <c r="V897">
        <f>(Tabela2[[#This Row],[SMOKE]]+Tabela2[[#This Row],[CALC_bebe_alcool_frequentemente]])</f>
        <v>1</v>
      </c>
      <c r="W897" s="8">
        <f>(Tabela2[[#This Row],[Weight]]/(Tabela2[[#This Row],[Height]] ^2))</f>
        <v>26.134680319986746</v>
      </c>
    </row>
    <row r="898" spans="1:23" x14ac:dyDescent="0.25">
      <c r="A898" t="s">
        <v>15</v>
      </c>
      <c r="B898" s="7">
        <v>21.008289999999999</v>
      </c>
      <c r="C898" s="4">
        <v>1.6214120000000001</v>
      </c>
      <c r="D898" s="7">
        <v>70</v>
      </c>
      <c r="E898">
        <v>0</v>
      </c>
      <c r="F898">
        <v>1</v>
      </c>
      <c r="G898" s="2">
        <v>2</v>
      </c>
      <c r="H898" s="2">
        <v>1</v>
      </c>
      <c r="I898">
        <v>0</v>
      </c>
      <c r="J898">
        <v>0</v>
      </c>
      <c r="K898" s="2">
        <v>2.7956509999999999</v>
      </c>
      <c r="L898">
        <v>0</v>
      </c>
      <c r="M898" s="7">
        <v>0.80872999999999995</v>
      </c>
      <c r="N898" s="7">
        <v>0</v>
      </c>
      <c r="O898">
        <v>1</v>
      </c>
      <c r="P898" t="s">
        <v>14</v>
      </c>
      <c r="Q898">
        <v>2</v>
      </c>
      <c r="R898" s="8">
        <f>(Tabela2[[#This Row],[FAF_atividade_fisica_frequente_em_horas]]+ 0.1)</f>
        <v>0.90872999999999993</v>
      </c>
      <c r="S898" s="1">
        <f>(Tabela2[[#This Row],[TUE_tempo_uso_aparelhos_em_horas]]/Tabela2[[#This Row],[FAF_Var]])</f>
        <v>0</v>
      </c>
      <c r="T898">
        <f>(Tabela2[[#This Row],[CAEC_lanche_entre_refeicoes]]*Tabela2[[#This Row],[FAVC_consumo_frequente_de_alimentos_mt_caloricos]])</f>
        <v>0</v>
      </c>
      <c r="U898" s="1">
        <f>IF(OR(Tabela2[[#This Row],[MTRANS]]="Walking",Tabela2[[#This Row],[MTRANS]]="Bike"),Tabela2[[#This Row],[FAF_atividade_fisica_frequente_em_horas]]+1,M898)</f>
        <v>0.80872999999999995</v>
      </c>
      <c r="V898">
        <f>(Tabela2[[#This Row],[SMOKE]]+Tabela2[[#This Row],[CALC_bebe_alcool_frequentemente]])</f>
        <v>1</v>
      </c>
      <c r="W898" s="8">
        <f>(Tabela2[[#This Row],[Weight]]/(Tabela2[[#This Row],[Height]] ^2))</f>
        <v>26.626327792800634</v>
      </c>
    </row>
    <row r="899" spans="1:23" x14ac:dyDescent="0.25">
      <c r="A899" t="s">
        <v>15</v>
      </c>
      <c r="B899" s="7">
        <v>26.703710000000001</v>
      </c>
      <c r="C899" s="4">
        <v>1.8028709999999999</v>
      </c>
      <c r="D899" s="7">
        <v>85.770013000000006</v>
      </c>
      <c r="E899">
        <v>1</v>
      </c>
      <c r="F899">
        <v>1</v>
      </c>
      <c r="G899" s="2">
        <v>2.8721209999999999</v>
      </c>
      <c r="H899" s="2">
        <v>3.0518040000000002</v>
      </c>
      <c r="I899">
        <v>1</v>
      </c>
      <c r="J899">
        <v>0</v>
      </c>
      <c r="K899" s="2">
        <v>2.1119129999999999</v>
      </c>
      <c r="L899">
        <v>0</v>
      </c>
      <c r="M899" s="7">
        <v>0.84370900000000004</v>
      </c>
      <c r="N899" s="7">
        <v>0.153559</v>
      </c>
      <c r="O899">
        <v>1</v>
      </c>
      <c r="P899" t="s">
        <v>17</v>
      </c>
      <c r="Q899">
        <v>2</v>
      </c>
      <c r="R899" s="8">
        <f>(Tabela2[[#This Row],[FAF_atividade_fisica_frequente_em_horas]]+ 0.1)</f>
        <v>0.94370900000000002</v>
      </c>
      <c r="S899" s="1">
        <f>(Tabela2[[#This Row],[TUE_tempo_uso_aparelhos_em_horas]]/Tabela2[[#This Row],[FAF_Var]])</f>
        <v>0.16271859227791619</v>
      </c>
      <c r="T899">
        <f>(Tabela2[[#This Row],[CAEC_lanche_entre_refeicoes]]*Tabela2[[#This Row],[FAVC_consumo_frequente_de_alimentos_mt_caloricos]])</f>
        <v>1</v>
      </c>
      <c r="U899" s="1">
        <f>IF(OR(Tabela2[[#This Row],[MTRANS]]="Walking",Tabela2[[#This Row],[MTRANS]]="Bike"),Tabela2[[#This Row],[FAF_atividade_fisica_frequente_em_horas]]+1,M899)</f>
        <v>0.84370900000000004</v>
      </c>
      <c r="V899">
        <f>(Tabela2[[#This Row],[SMOKE]]+Tabela2[[#This Row],[CALC_bebe_alcool_frequentemente]])</f>
        <v>1</v>
      </c>
      <c r="W899" s="8">
        <f>(Tabela2[[#This Row],[Weight]]/(Tabela2[[#This Row],[Height]] ^2))</f>
        <v>26.387981442083174</v>
      </c>
    </row>
    <row r="900" spans="1:23" x14ac:dyDescent="0.25">
      <c r="A900" t="s">
        <v>15</v>
      </c>
      <c r="B900" s="7">
        <v>21.731497000000001</v>
      </c>
      <c r="C900" s="4">
        <v>1.6962010000000001</v>
      </c>
      <c r="D900" s="7">
        <v>75.399191000000002</v>
      </c>
      <c r="E900">
        <v>1</v>
      </c>
      <c r="F900">
        <v>1</v>
      </c>
      <c r="G900" s="2">
        <v>2.109162</v>
      </c>
      <c r="H900" s="2">
        <v>3.2451479999999999</v>
      </c>
      <c r="I900">
        <v>1</v>
      </c>
      <c r="J900">
        <v>0</v>
      </c>
      <c r="K900" s="2">
        <v>1.9717739999999999</v>
      </c>
      <c r="L900">
        <v>0</v>
      </c>
      <c r="M900" s="7">
        <v>0.98933499999999996</v>
      </c>
      <c r="N900" s="7">
        <v>0</v>
      </c>
      <c r="O900">
        <v>1</v>
      </c>
      <c r="P900" t="s">
        <v>14</v>
      </c>
      <c r="Q900">
        <v>2</v>
      </c>
      <c r="R900" s="8">
        <f>(Tabela2[[#This Row],[FAF_atividade_fisica_frequente_em_horas]]+ 0.1)</f>
        <v>1.0893349999999999</v>
      </c>
      <c r="S900" s="1">
        <f>(Tabela2[[#This Row],[TUE_tempo_uso_aparelhos_em_horas]]/Tabela2[[#This Row],[FAF_Var]])</f>
        <v>0</v>
      </c>
      <c r="T900">
        <f>(Tabela2[[#This Row],[CAEC_lanche_entre_refeicoes]]*Tabela2[[#This Row],[FAVC_consumo_frequente_de_alimentos_mt_caloricos]])</f>
        <v>1</v>
      </c>
      <c r="U900" s="1">
        <f>IF(OR(Tabela2[[#This Row],[MTRANS]]="Walking",Tabela2[[#This Row],[MTRANS]]="Bike"),Tabela2[[#This Row],[FAF_atividade_fisica_frequente_em_horas]]+1,M900)</f>
        <v>0.98933499999999996</v>
      </c>
      <c r="V900">
        <f>(Tabela2[[#This Row],[SMOKE]]+Tabela2[[#This Row],[CALC_bebe_alcool_frequentemente]])</f>
        <v>1</v>
      </c>
      <c r="W900" s="8">
        <f>(Tabela2[[#This Row],[Weight]]/(Tabela2[[#This Row],[Height]] ^2))</f>
        <v>26.206683050842852</v>
      </c>
    </row>
    <row r="901" spans="1:23" x14ac:dyDescent="0.25">
      <c r="A901" t="s">
        <v>15</v>
      </c>
      <c r="B901" s="7">
        <v>21.052893999999998</v>
      </c>
      <c r="C901" s="4">
        <v>1.6946330000000001</v>
      </c>
      <c r="D901" s="7">
        <v>75.052199999999999</v>
      </c>
      <c r="E901">
        <v>1</v>
      </c>
      <c r="F901">
        <v>1</v>
      </c>
      <c r="G901" s="2">
        <v>2.1788889999999999</v>
      </c>
      <c r="H901" s="2">
        <v>3.5637439999999998</v>
      </c>
      <c r="I901">
        <v>1</v>
      </c>
      <c r="J901">
        <v>0</v>
      </c>
      <c r="K901" s="2">
        <v>1.8539909999999999</v>
      </c>
      <c r="L901">
        <v>0</v>
      </c>
      <c r="M901" s="7">
        <v>0.99773100000000003</v>
      </c>
      <c r="N901" s="7">
        <v>0</v>
      </c>
      <c r="O901">
        <v>1</v>
      </c>
      <c r="P901" t="s">
        <v>14</v>
      </c>
      <c r="Q901">
        <v>2</v>
      </c>
      <c r="R901" s="8">
        <f>(Tabela2[[#This Row],[FAF_atividade_fisica_frequente_em_horas]]+ 0.1)</f>
        <v>1.097731</v>
      </c>
      <c r="S901" s="1">
        <f>(Tabela2[[#This Row],[TUE_tempo_uso_aparelhos_em_horas]]/Tabela2[[#This Row],[FAF_Var]])</f>
        <v>0</v>
      </c>
      <c r="T901">
        <f>(Tabela2[[#This Row],[CAEC_lanche_entre_refeicoes]]*Tabela2[[#This Row],[FAVC_consumo_frequente_de_alimentos_mt_caloricos]])</f>
        <v>1</v>
      </c>
      <c r="U901" s="1">
        <f>IF(OR(Tabela2[[#This Row],[MTRANS]]="Walking",Tabela2[[#This Row],[MTRANS]]="Bike"),Tabela2[[#This Row],[FAF_atividade_fisica_frequente_em_horas]]+1,M901)</f>
        <v>0.99773100000000003</v>
      </c>
      <c r="V901">
        <f>(Tabela2[[#This Row],[SMOKE]]+Tabela2[[#This Row],[CALC_bebe_alcool_frequentemente]])</f>
        <v>1</v>
      </c>
      <c r="W901" s="8">
        <f>(Tabela2[[#This Row],[Weight]]/(Tabela2[[#This Row],[Height]] ^2))</f>
        <v>26.134374409976218</v>
      </c>
    </row>
    <row r="902" spans="1:23" x14ac:dyDescent="0.25">
      <c r="A902" t="s">
        <v>13</v>
      </c>
      <c r="B902" s="7">
        <v>21</v>
      </c>
      <c r="C902" s="4">
        <v>1.6181479999999999</v>
      </c>
      <c r="D902" s="7">
        <v>68.981403</v>
      </c>
      <c r="E902">
        <v>1</v>
      </c>
      <c r="F902">
        <v>1</v>
      </c>
      <c r="G902" s="2">
        <v>1.142468</v>
      </c>
      <c r="H902" s="2">
        <v>3</v>
      </c>
      <c r="I902">
        <v>0</v>
      </c>
      <c r="J902">
        <v>0</v>
      </c>
      <c r="K902" s="2">
        <v>2.1977319999999998</v>
      </c>
      <c r="L902">
        <v>0</v>
      </c>
      <c r="M902" s="7">
        <v>0.82750599999999996</v>
      </c>
      <c r="N902" s="7">
        <v>0.57287699999999997</v>
      </c>
      <c r="O902">
        <v>1</v>
      </c>
      <c r="P902" t="s">
        <v>14</v>
      </c>
      <c r="Q902">
        <v>2</v>
      </c>
      <c r="R902" s="8">
        <f>(Tabela2[[#This Row],[FAF_atividade_fisica_frequente_em_horas]]+ 0.1)</f>
        <v>0.92750599999999994</v>
      </c>
      <c r="S902" s="1">
        <f>(Tabela2[[#This Row],[TUE_tempo_uso_aparelhos_em_horas]]/Tabela2[[#This Row],[FAF_Var]])</f>
        <v>0.61765314725726839</v>
      </c>
      <c r="T902">
        <f>(Tabela2[[#This Row],[CAEC_lanche_entre_refeicoes]]*Tabela2[[#This Row],[FAVC_consumo_frequente_de_alimentos_mt_caloricos]])</f>
        <v>0</v>
      </c>
      <c r="U902" s="1">
        <f>IF(OR(Tabela2[[#This Row],[MTRANS]]="Walking",Tabela2[[#This Row],[MTRANS]]="Bike"),Tabela2[[#This Row],[FAF_atividade_fisica_frequente_em_horas]]+1,M902)</f>
        <v>0.82750599999999996</v>
      </c>
      <c r="V902">
        <f>(Tabela2[[#This Row],[SMOKE]]+Tabela2[[#This Row],[CALC_bebe_alcool_frequentemente]])</f>
        <v>1</v>
      </c>
      <c r="W902" s="8">
        <f>(Tabela2[[#This Row],[Weight]]/(Tabela2[[#This Row],[Height]] ^2))</f>
        <v>26.344838559905043</v>
      </c>
    </row>
    <row r="903" spans="1:23" x14ac:dyDescent="0.25">
      <c r="A903" t="s">
        <v>15</v>
      </c>
      <c r="B903" s="7">
        <v>19.241057999999999</v>
      </c>
      <c r="C903" s="4">
        <v>1.856811</v>
      </c>
      <c r="D903" s="7">
        <v>88.633616000000004</v>
      </c>
      <c r="E903">
        <v>1</v>
      </c>
      <c r="F903">
        <v>1</v>
      </c>
      <c r="G903" s="2">
        <v>2.047069</v>
      </c>
      <c r="H903" s="2">
        <v>3.8291010000000001</v>
      </c>
      <c r="I903">
        <v>1</v>
      </c>
      <c r="J903">
        <v>0</v>
      </c>
      <c r="K903" s="2">
        <v>1.641022</v>
      </c>
      <c r="L903">
        <v>0</v>
      </c>
      <c r="M903" s="7">
        <v>1.5548169999999999</v>
      </c>
      <c r="N903" s="7">
        <v>0.24821799999999999</v>
      </c>
      <c r="O903">
        <v>1</v>
      </c>
      <c r="P903" t="s">
        <v>14</v>
      </c>
      <c r="Q903">
        <v>2</v>
      </c>
      <c r="R903" s="8">
        <f>(Tabela2[[#This Row],[FAF_atividade_fisica_frequente_em_horas]]+ 0.1)</f>
        <v>1.654817</v>
      </c>
      <c r="S903" s="1">
        <f>(Tabela2[[#This Row],[TUE_tempo_uso_aparelhos_em_horas]]/Tabela2[[#This Row],[FAF_Var]])</f>
        <v>0.14999725045125836</v>
      </c>
      <c r="T903">
        <f>(Tabela2[[#This Row],[CAEC_lanche_entre_refeicoes]]*Tabela2[[#This Row],[FAVC_consumo_frequente_de_alimentos_mt_caloricos]])</f>
        <v>1</v>
      </c>
      <c r="U903" s="1">
        <f>IF(OR(Tabela2[[#This Row],[MTRANS]]="Walking",Tabela2[[#This Row],[MTRANS]]="Bike"),Tabela2[[#This Row],[FAF_atividade_fisica_frequente_em_horas]]+1,M903)</f>
        <v>1.5548169999999999</v>
      </c>
      <c r="V903">
        <f>(Tabela2[[#This Row],[SMOKE]]+Tabela2[[#This Row],[CALC_bebe_alcool_frequentemente]])</f>
        <v>1</v>
      </c>
      <c r="W903" s="8">
        <f>(Tabela2[[#This Row],[Weight]]/(Tabela2[[#This Row],[Height]] ^2))</f>
        <v>25.707690759641086</v>
      </c>
    </row>
    <row r="904" spans="1:23" x14ac:dyDescent="0.25">
      <c r="A904" t="s">
        <v>13</v>
      </c>
      <c r="B904" s="7">
        <v>38.939447999999999</v>
      </c>
      <c r="C904" s="4">
        <v>1.738321</v>
      </c>
      <c r="D904" s="7">
        <v>86.934845999999993</v>
      </c>
      <c r="E904">
        <v>0</v>
      </c>
      <c r="F904">
        <v>1</v>
      </c>
      <c r="G904" s="2">
        <v>2.843709</v>
      </c>
      <c r="H904" s="2">
        <v>3.0585390000000001</v>
      </c>
      <c r="I904">
        <v>1</v>
      </c>
      <c r="J904">
        <v>0</v>
      </c>
      <c r="K904" s="2">
        <v>1.1300790000000001</v>
      </c>
      <c r="L904">
        <v>0</v>
      </c>
      <c r="M904" s="7">
        <v>2.8343729999999998</v>
      </c>
      <c r="N904" s="7">
        <v>4.4954000000000001E-2</v>
      </c>
      <c r="O904">
        <v>1</v>
      </c>
      <c r="P904" t="s">
        <v>17</v>
      </c>
      <c r="Q904">
        <v>2</v>
      </c>
      <c r="R904" s="8">
        <f>(Tabela2[[#This Row],[FAF_atividade_fisica_frequente_em_horas]]+ 0.1)</f>
        <v>2.9343729999999999</v>
      </c>
      <c r="S904" s="1">
        <f>(Tabela2[[#This Row],[TUE_tempo_uso_aparelhos_em_horas]]/Tabela2[[#This Row],[FAF_Var]])</f>
        <v>1.5319797449063225E-2</v>
      </c>
      <c r="T904">
        <f>(Tabela2[[#This Row],[CAEC_lanche_entre_refeicoes]]*Tabela2[[#This Row],[FAVC_consumo_frequente_de_alimentos_mt_caloricos]])</f>
        <v>1</v>
      </c>
      <c r="U904" s="1">
        <f>IF(OR(Tabela2[[#This Row],[MTRANS]]="Walking",Tabela2[[#This Row],[MTRANS]]="Bike"),Tabela2[[#This Row],[FAF_atividade_fisica_frequente_em_horas]]+1,M904)</f>
        <v>2.8343729999999998</v>
      </c>
      <c r="V904">
        <f>(Tabela2[[#This Row],[SMOKE]]+Tabela2[[#This Row],[CALC_bebe_alcool_frequentemente]])</f>
        <v>1</v>
      </c>
      <c r="W904" s="8">
        <f>(Tabela2[[#This Row],[Weight]]/(Tabela2[[#This Row],[Height]] ^2))</f>
        <v>28.769607415728178</v>
      </c>
    </row>
    <row r="905" spans="1:23" x14ac:dyDescent="0.25">
      <c r="A905" t="s">
        <v>13</v>
      </c>
      <c r="B905" s="7">
        <v>39.965474</v>
      </c>
      <c r="C905" s="4">
        <v>1.739293</v>
      </c>
      <c r="D905" s="7">
        <v>80.914382000000003</v>
      </c>
      <c r="E905">
        <v>0</v>
      </c>
      <c r="F905">
        <v>1</v>
      </c>
      <c r="G905" s="2">
        <v>2.4160439999999999</v>
      </c>
      <c r="H905" s="2">
        <v>3.196043</v>
      </c>
      <c r="I905">
        <v>1</v>
      </c>
      <c r="J905">
        <v>0</v>
      </c>
      <c r="K905" s="2">
        <v>1.352649</v>
      </c>
      <c r="L905">
        <v>0</v>
      </c>
      <c r="M905" s="7">
        <v>0.14862800000000001</v>
      </c>
      <c r="N905" s="7">
        <v>1.08266</v>
      </c>
      <c r="O905">
        <v>1</v>
      </c>
      <c r="P905" t="s">
        <v>17</v>
      </c>
      <c r="Q905">
        <v>2</v>
      </c>
      <c r="R905" s="8">
        <f>(Tabela2[[#This Row],[FAF_atividade_fisica_frequente_em_horas]]+ 0.1)</f>
        <v>0.24862800000000002</v>
      </c>
      <c r="S905" s="1">
        <f>(Tabela2[[#This Row],[TUE_tempo_uso_aparelhos_em_horas]]/Tabela2[[#This Row],[FAF_Var]])</f>
        <v>4.3545377029135892</v>
      </c>
      <c r="T905">
        <f>(Tabela2[[#This Row],[CAEC_lanche_entre_refeicoes]]*Tabela2[[#This Row],[FAVC_consumo_frequente_de_alimentos_mt_caloricos]])</f>
        <v>1</v>
      </c>
      <c r="U905" s="1">
        <f>IF(OR(Tabela2[[#This Row],[MTRANS]]="Walking",Tabela2[[#This Row],[MTRANS]]="Bike"),Tabela2[[#This Row],[FAF_atividade_fisica_frequente_em_horas]]+1,M905)</f>
        <v>0.14862800000000001</v>
      </c>
      <c r="V905">
        <f>(Tabela2[[#This Row],[SMOKE]]+Tabela2[[#This Row],[CALC_bebe_alcool_frequentemente]])</f>
        <v>1</v>
      </c>
      <c r="W905" s="8">
        <f>(Tabela2[[#This Row],[Weight]]/(Tabela2[[#This Row],[Height]] ^2))</f>
        <v>26.747316904148068</v>
      </c>
    </row>
    <row r="906" spans="1:23" x14ac:dyDescent="0.25">
      <c r="A906" t="s">
        <v>15</v>
      </c>
      <c r="B906" s="7">
        <v>20.261925000000002</v>
      </c>
      <c r="C906" s="4">
        <v>1.8075380000000001</v>
      </c>
      <c r="D906" s="7">
        <v>85.316125</v>
      </c>
      <c r="E906">
        <v>1</v>
      </c>
      <c r="F906">
        <v>1</v>
      </c>
      <c r="G906" s="2">
        <v>2</v>
      </c>
      <c r="H906" s="2">
        <v>3</v>
      </c>
      <c r="I906">
        <v>1</v>
      </c>
      <c r="J906">
        <v>0</v>
      </c>
      <c r="K906" s="2">
        <v>1.968011</v>
      </c>
      <c r="L906">
        <v>0</v>
      </c>
      <c r="M906" s="7">
        <v>1.072662</v>
      </c>
      <c r="N906" s="7">
        <v>0.77675799999999995</v>
      </c>
      <c r="O906">
        <v>1</v>
      </c>
      <c r="P906" t="s">
        <v>14</v>
      </c>
      <c r="Q906">
        <v>2</v>
      </c>
      <c r="R906" s="8">
        <f>(Tabela2[[#This Row],[FAF_atividade_fisica_frequente_em_horas]]+ 0.1)</f>
        <v>1.1726620000000001</v>
      </c>
      <c r="S906" s="1">
        <f>(Tabela2[[#This Row],[TUE_tempo_uso_aparelhos_em_horas]]/Tabela2[[#This Row],[FAF_Var]])</f>
        <v>0.66238865077916731</v>
      </c>
      <c r="T906">
        <f>(Tabela2[[#This Row],[CAEC_lanche_entre_refeicoes]]*Tabela2[[#This Row],[FAVC_consumo_frequente_de_alimentos_mt_caloricos]])</f>
        <v>1</v>
      </c>
      <c r="U906" s="1">
        <f>IF(OR(Tabela2[[#This Row],[MTRANS]]="Walking",Tabela2[[#This Row],[MTRANS]]="Bike"),Tabela2[[#This Row],[FAF_atividade_fisica_frequente_em_horas]]+1,M906)</f>
        <v>1.072662</v>
      </c>
      <c r="V906">
        <f>(Tabela2[[#This Row],[SMOKE]]+Tabela2[[#This Row],[CALC_bebe_alcool_frequentemente]])</f>
        <v>1</v>
      </c>
      <c r="W906" s="8">
        <f>(Tabela2[[#This Row],[Weight]]/(Tabela2[[#This Row],[Height]] ^2))</f>
        <v>26.112968769292852</v>
      </c>
    </row>
    <row r="907" spans="1:23" x14ac:dyDescent="0.25">
      <c r="A907" t="s">
        <v>15</v>
      </c>
      <c r="B907" s="7">
        <v>20.310939999999999</v>
      </c>
      <c r="C907" s="4">
        <v>1.8494250000000001</v>
      </c>
      <c r="D907" s="7">
        <v>85.228116</v>
      </c>
      <c r="E907">
        <v>1</v>
      </c>
      <c r="F907">
        <v>1</v>
      </c>
      <c r="G907" s="2">
        <v>2.146598</v>
      </c>
      <c r="H907" s="2">
        <v>3</v>
      </c>
      <c r="I907">
        <v>1</v>
      </c>
      <c r="J907">
        <v>0</v>
      </c>
      <c r="K907" s="2">
        <v>2.1001120000000002</v>
      </c>
      <c r="L907">
        <v>0</v>
      </c>
      <c r="M907" s="7">
        <v>1.17116</v>
      </c>
      <c r="N907" s="7">
        <v>0.83376099999999997</v>
      </c>
      <c r="O907">
        <v>1</v>
      </c>
      <c r="P907" t="s">
        <v>14</v>
      </c>
      <c r="Q907">
        <v>2</v>
      </c>
      <c r="R907" s="8">
        <f>(Tabela2[[#This Row],[FAF_atividade_fisica_frequente_em_horas]]+ 0.1)</f>
        <v>1.2711600000000001</v>
      </c>
      <c r="S907" s="1">
        <f>(Tabela2[[#This Row],[TUE_tempo_uso_aparelhos_em_horas]]/Tabela2[[#This Row],[FAF_Var]])</f>
        <v>0.6559056295037603</v>
      </c>
      <c r="T907">
        <f>(Tabela2[[#This Row],[CAEC_lanche_entre_refeicoes]]*Tabela2[[#This Row],[FAVC_consumo_frequente_de_alimentos_mt_caloricos]])</f>
        <v>1</v>
      </c>
      <c r="U907" s="1">
        <f>IF(OR(Tabela2[[#This Row],[MTRANS]]="Walking",Tabela2[[#This Row],[MTRANS]]="Bike"),Tabela2[[#This Row],[FAF_atividade_fisica_frequente_em_horas]]+1,M907)</f>
        <v>1.17116</v>
      </c>
      <c r="V907">
        <f>(Tabela2[[#This Row],[SMOKE]]+Tabela2[[#This Row],[CALC_bebe_alcool_frequentemente]])</f>
        <v>1</v>
      </c>
      <c r="W907" s="8">
        <f>(Tabela2[[#This Row],[Weight]]/(Tabela2[[#This Row],[Height]] ^2))</f>
        <v>24.917785346934352</v>
      </c>
    </row>
    <row r="908" spans="1:23" x14ac:dyDescent="0.25">
      <c r="A908" t="s">
        <v>15</v>
      </c>
      <c r="B908" s="7">
        <v>21.420536999999999</v>
      </c>
      <c r="C908" s="4">
        <v>1.7124729999999999</v>
      </c>
      <c r="D908" s="7">
        <v>75</v>
      </c>
      <c r="E908">
        <v>1</v>
      </c>
      <c r="F908">
        <v>1</v>
      </c>
      <c r="G908" s="2">
        <v>2</v>
      </c>
      <c r="H908" s="2">
        <v>3</v>
      </c>
      <c r="I908">
        <v>1</v>
      </c>
      <c r="J908">
        <v>0</v>
      </c>
      <c r="K908" s="2">
        <v>1.3626419999999999</v>
      </c>
      <c r="L908">
        <v>0</v>
      </c>
      <c r="M908" s="7">
        <v>0.92126799999999998</v>
      </c>
      <c r="N908" s="7">
        <v>0.139013</v>
      </c>
      <c r="O908">
        <v>1</v>
      </c>
      <c r="P908" t="s">
        <v>14</v>
      </c>
      <c r="Q908">
        <v>2</v>
      </c>
      <c r="R908" s="8">
        <f>(Tabela2[[#This Row],[FAF_atividade_fisica_frequente_em_horas]]+ 0.1)</f>
        <v>1.0212680000000001</v>
      </c>
      <c r="S908" s="1">
        <f>(Tabela2[[#This Row],[TUE_tempo_uso_aparelhos_em_horas]]/Tabela2[[#This Row],[FAF_Var]])</f>
        <v>0.13611804149351589</v>
      </c>
      <c r="T908">
        <f>(Tabela2[[#This Row],[CAEC_lanche_entre_refeicoes]]*Tabela2[[#This Row],[FAVC_consumo_frequente_de_alimentos_mt_caloricos]])</f>
        <v>1</v>
      </c>
      <c r="U908" s="1">
        <f>IF(OR(Tabela2[[#This Row],[MTRANS]]="Walking",Tabela2[[#This Row],[MTRANS]]="Bike"),Tabela2[[#This Row],[FAF_atividade_fisica_frequente_em_horas]]+1,M908)</f>
        <v>0.92126799999999998</v>
      </c>
      <c r="V908">
        <f>(Tabela2[[#This Row],[SMOKE]]+Tabela2[[#This Row],[CALC_bebe_alcool_frequentemente]])</f>
        <v>1</v>
      </c>
      <c r="W908" s="8">
        <f>(Tabela2[[#This Row],[Weight]]/(Tabela2[[#This Row],[Height]] ^2))</f>
        <v>25.574891370045624</v>
      </c>
    </row>
    <row r="909" spans="1:23" x14ac:dyDescent="0.25">
      <c r="A909" t="s">
        <v>13</v>
      </c>
      <c r="B909" s="7">
        <v>18.845517999999998</v>
      </c>
      <c r="C909" s="4">
        <v>1.753471</v>
      </c>
      <c r="D909" s="7">
        <v>80</v>
      </c>
      <c r="E909">
        <v>1</v>
      </c>
      <c r="F909">
        <v>1</v>
      </c>
      <c r="G909" s="2">
        <v>2</v>
      </c>
      <c r="H909" s="2">
        <v>1.391778</v>
      </c>
      <c r="I909">
        <v>1</v>
      </c>
      <c r="J909">
        <v>0</v>
      </c>
      <c r="K909" s="2">
        <v>2.6454800000000001</v>
      </c>
      <c r="L909">
        <v>0</v>
      </c>
      <c r="M909" s="7">
        <v>2.6850869999999998</v>
      </c>
      <c r="N909" s="7">
        <v>0.97553999999999996</v>
      </c>
      <c r="O909">
        <v>0</v>
      </c>
      <c r="P909" t="s">
        <v>14</v>
      </c>
      <c r="Q909">
        <v>2</v>
      </c>
      <c r="R909" s="8">
        <f>(Tabela2[[#This Row],[FAF_atividade_fisica_frequente_em_horas]]+ 0.1)</f>
        <v>2.7850869999999999</v>
      </c>
      <c r="S909" s="1">
        <f>(Tabela2[[#This Row],[TUE_tempo_uso_aparelhos_em_horas]]/Tabela2[[#This Row],[FAF_Var]])</f>
        <v>0.35027272038539553</v>
      </c>
      <c r="T909">
        <f>(Tabela2[[#This Row],[CAEC_lanche_entre_refeicoes]]*Tabela2[[#This Row],[FAVC_consumo_frequente_de_alimentos_mt_caloricos]])</f>
        <v>1</v>
      </c>
      <c r="U909" s="1">
        <f>IF(OR(Tabela2[[#This Row],[MTRANS]]="Walking",Tabela2[[#This Row],[MTRANS]]="Bike"),Tabela2[[#This Row],[FAF_atividade_fisica_frequente_em_horas]]+1,M909)</f>
        <v>2.6850869999999998</v>
      </c>
      <c r="V909">
        <f>(Tabela2[[#This Row],[SMOKE]]+Tabela2[[#This Row],[CALC_bebe_alcool_frequentemente]])</f>
        <v>0</v>
      </c>
      <c r="W909" s="8">
        <f>(Tabela2[[#This Row],[Weight]]/(Tabela2[[#This Row],[Height]] ^2))</f>
        <v>26.019132439246118</v>
      </c>
    </row>
    <row r="910" spans="1:23" x14ac:dyDescent="0.25">
      <c r="A910" t="s">
        <v>15</v>
      </c>
      <c r="B910" s="7">
        <v>23.562135000000001</v>
      </c>
      <c r="C910" s="4">
        <v>1.7174320000000001</v>
      </c>
      <c r="D910" s="7">
        <v>75.371244000000004</v>
      </c>
      <c r="E910">
        <v>1</v>
      </c>
      <c r="F910">
        <v>1</v>
      </c>
      <c r="G910" s="2">
        <v>2</v>
      </c>
      <c r="H910" s="2">
        <v>3</v>
      </c>
      <c r="I910">
        <v>1</v>
      </c>
      <c r="J910">
        <v>0</v>
      </c>
      <c r="K910" s="2">
        <v>2</v>
      </c>
      <c r="L910">
        <v>0</v>
      </c>
      <c r="M910" s="7">
        <v>0.121585</v>
      </c>
      <c r="N910" s="7">
        <v>1.9672590000000001</v>
      </c>
      <c r="O910">
        <v>1</v>
      </c>
      <c r="P910" t="s">
        <v>14</v>
      </c>
      <c r="Q910">
        <v>2</v>
      </c>
      <c r="R910" s="8">
        <f>(Tabela2[[#This Row],[FAF_atividade_fisica_frequente_em_horas]]+ 0.1)</f>
        <v>0.221585</v>
      </c>
      <c r="S910" s="1">
        <f>(Tabela2[[#This Row],[TUE_tempo_uso_aparelhos_em_horas]]/Tabela2[[#This Row],[FAF_Var]])</f>
        <v>8.8781235191912806</v>
      </c>
      <c r="T910">
        <f>(Tabela2[[#This Row],[CAEC_lanche_entre_refeicoes]]*Tabela2[[#This Row],[FAVC_consumo_frequente_de_alimentos_mt_caloricos]])</f>
        <v>1</v>
      </c>
      <c r="U910" s="1">
        <f>IF(OR(Tabela2[[#This Row],[MTRANS]]="Walking",Tabela2[[#This Row],[MTRANS]]="Bike"),Tabela2[[#This Row],[FAF_atividade_fisica_frequente_em_horas]]+1,M910)</f>
        <v>0.121585</v>
      </c>
      <c r="V910">
        <f>(Tabela2[[#This Row],[SMOKE]]+Tabela2[[#This Row],[CALC_bebe_alcool_frequentemente]])</f>
        <v>1</v>
      </c>
      <c r="W910" s="8">
        <f>(Tabela2[[#This Row],[Weight]]/(Tabela2[[#This Row],[Height]] ^2))</f>
        <v>25.553275784129657</v>
      </c>
    </row>
    <row r="911" spans="1:23" x14ac:dyDescent="0.25">
      <c r="A911" t="s">
        <v>15</v>
      </c>
      <c r="B911" s="7">
        <v>23.118327000000001</v>
      </c>
      <c r="C911" s="4">
        <v>1.677573</v>
      </c>
      <c r="D911" s="7">
        <v>75</v>
      </c>
      <c r="E911">
        <v>1</v>
      </c>
      <c r="F911">
        <v>1</v>
      </c>
      <c r="G911" s="2">
        <v>2</v>
      </c>
      <c r="H911" s="2">
        <v>3</v>
      </c>
      <c r="I911">
        <v>1</v>
      </c>
      <c r="J911">
        <v>0</v>
      </c>
      <c r="K911" s="2">
        <v>2</v>
      </c>
      <c r="L911">
        <v>0</v>
      </c>
      <c r="M911" s="7">
        <v>0.33457900000000002</v>
      </c>
      <c r="N911" s="7">
        <v>1.905826</v>
      </c>
      <c r="O911">
        <v>1</v>
      </c>
      <c r="P911" t="s">
        <v>14</v>
      </c>
      <c r="Q911">
        <v>2</v>
      </c>
      <c r="R911" s="8">
        <f>(Tabela2[[#This Row],[FAF_atividade_fisica_frequente_em_horas]]+ 0.1)</f>
        <v>0.43457900000000005</v>
      </c>
      <c r="S911" s="1">
        <f>(Tabela2[[#This Row],[TUE_tempo_uso_aparelhos_em_horas]]/Tabela2[[#This Row],[FAF_Var]])</f>
        <v>4.385453507877739</v>
      </c>
      <c r="T911">
        <f>(Tabela2[[#This Row],[CAEC_lanche_entre_refeicoes]]*Tabela2[[#This Row],[FAVC_consumo_frequente_de_alimentos_mt_caloricos]])</f>
        <v>1</v>
      </c>
      <c r="U911" s="1">
        <f>IF(OR(Tabela2[[#This Row],[MTRANS]]="Walking",Tabela2[[#This Row],[MTRANS]]="Bike"),Tabela2[[#This Row],[FAF_atividade_fisica_frequente_em_horas]]+1,M911)</f>
        <v>0.33457900000000002</v>
      </c>
      <c r="V911">
        <f>(Tabela2[[#This Row],[SMOKE]]+Tabela2[[#This Row],[CALC_bebe_alcool_frequentemente]])</f>
        <v>1</v>
      </c>
      <c r="W911" s="8">
        <f>(Tabela2[[#This Row],[Weight]]/(Tabela2[[#This Row],[Height]] ^2))</f>
        <v>26.650073309281819</v>
      </c>
    </row>
    <row r="912" spans="1:23" x14ac:dyDescent="0.25">
      <c r="A912" t="s">
        <v>13</v>
      </c>
      <c r="B912" s="7">
        <v>33.732714000000001</v>
      </c>
      <c r="C912" s="4">
        <v>1.6797249999999999</v>
      </c>
      <c r="D912" s="7">
        <v>74.885221999999999</v>
      </c>
      <c r="E912">
        <v>1</v>
      </c>
      <c r="F912">
        <v>1</v>
      </c>
      <c r="G912" s="2">
        <v>3</v>
      </c>
      <c r="H912" s="2">
        <v>1.1371500000000001</v>
      </c>
      <c r="I912">
        <v>1</v>
      </c>
      <c r="J912">
        <v>0</v>
      </c>
      <c r="K912" s="2">
        <v>1.0006949999999999</v>
      </c>
      <c r="L912">
        <v>0</v>
      </c>
      <c r="M912" s="7">
        <v>0.26127400000000001</v>
      </c>
      <c r="N912" s="7">
        <v>0</v>
      </c>
      <c r="O912">
        <v>1</v>
      </c>
      <c r="P912" t="s">
        <v>17</v>
      </c>
      <c r="Q912">
        <v>2</v>
      </c>
      <c r="R912" s="8">
        <f>(Tabela2[[#This Row],[FAF_atividade_fisica_frequente_em_horas]]+ 0.1)</f>
        <v>0.36127399999999998</v>
      </c>
      <c r="S912" s="1">
        <f>(Tabela2[[#This Row],[TUE_tempo_uso_aparelhos_em_horas]]/Tabela2[[#This Row],[FAF_Var]])</f>
        <v>0</v>
      </c>
      <c r="T912">
        <f>(Tabela2[[#This Row],[CAEC_lanche_entre_refeicoes]]*Tabela2[[#This Row],[FAVC_consumo_frequente_de_alimentos_mt_caloricos]])</f>
        <v>1</v>
      </c>
      <c r="U912" s="1">
        <f>IF(OR(Tabela2[[#This Row],[MTRANS]]="Walking",Tabela2[[#This Row],[MTRANS]]="Bike"),Tabela2[[#This Row],[FAF_atividade_fisica_frequente_em_horas]]+1,M912)</f>
        <v>0.26127400000000001</v>
      </c>
      <c r="V912">
        <f>(Tabela2[[#This Row],[SMOKE]]+Tabela2[[#This Row],[CALC_bebe_alcool_frequentemente]])</f>
        <v>1</v>
      </c>
      <c r="W912" s="8">
        <f>(Tabela2[[#This Row],[Weight]]/(Tabela2[[#This Row],[Height]] ^2))</f>
        <v>26.541150799377871</v>
      </c>
    </row>
    <row r="913" spans="1:23" x14ac:dyDescent="0.25">
      <c r="A913" t="s">
        <v>13</v>
      </c>
      <c r="B913" s="7">
        <v>21.571287999999999</v>
      </c>
      <c r="C913" s="4">
        <v>1.6009139999999999</v>
      </c>
      <c r="D913" s="7">
        <v>68.058902000000003</v>
      </c>
      <c r="E913">
        <v>1</v>
      </c>
      <c r="F913">
        <v>1</v>
      </c>
      <c r="G913" s="2">
        <v>1.7668489999999999</v>
      </c>
      <c r="H913" s="2">
        <v>3.3225220000000002</v>
      </c>
      <c r="I913">
        <v>1</v>
      </c>
      <c r="J913">
        <v>0</v>
      </c>
      <c r="K913" s="2">
        <v>2.616285</v>
      </c>
      <c r="L913">
        <v>0</v>
      </c>
      <c r="M913" s="7">
        <v>0.94305799999999995</v>
      </c>
      <c r="N913" s="7">
        <v>0.25697700000000001</v>
      </c>
      <c r="O913">
        <v>1</v>
      </c>
      <c r="P913" t="s">
        <v>14</v>
      </c>
      <c r="Q913">
        <v>2</v>
      </c>
      <c r="R913" s="8">
        <f>(Tabela2[[#This Row],[FAF_atividade_fisica_frequente_em_horas]]+ 0.1)</f>
        <v>1.043058</v>
      </c>
      <c r="S913" s="1">
        <f>(Tabela2[[#This Row],[TUE_tempo_uso_aparelhos_em_horas]]/Tabela2[[#This Row],[FAF_Var]])</f>
        <v>0.24636885005435941</v>
      </c>
      <c r="T913">
        <f>(Tabela2[[#This Row],[CAEC_lanche_entre_refeicoes]]*Tabela2[[#This Row],[FAVC_consumo_frequente_de_alimentos_mt_caloricos]])</f>
        <v>1</v>
      </c>
      <c r="U913" s="1">
        <f>IF(OR(Tabela2[[#This Row],[MTRANS]]="Walking",Tabela2[[#This Row],[MTRANS]]="Bike"),Tabela2[[#This Row],[FAF_atividade_fisica_frequente_em_horas]]+1,M913)</f>
        <v>0.94305799999999995</v>
      </c>
      <c r="V913">
        <f>(Tabela2[[#This Row],[SMOKE]]+Tabela2[[#This Row],[CALC_bebe_alcool_frequentemente]])</f>
        <v>1</v>
      </c>
      <c r="W913" s="8">
        <f>(Tabela2[[#This Row],[Weight]]/(Tabela2[[#This Row],[Height]] ^2))</f>
        <v>26.555160657045036</v>
      </c>
    </row>
    <row r="914" spans="1:23" x14ac:dyDescent="0.25">
      <c r="A914" t="s">
        <v>13</v>
      </c>
      <c r="B914" s="7">
        <v>21.165573999999999</v>
      </c>
      <c r="C914" s="4">
        <v>1.6177490000000001</v>
      </c>
      <c r="D914" s="7">
        <v>68.908135999999999</v>
      </c>
      <c r="E914">
        <v>1</v>
      </c>
      <c r="F914">
        <v>1</v>
      </c>
      <c r="G914" s="2">
        <v>1.188089</v>
      </c>
      <c r="H914" s="2">
        <v>3.269088</v>
      </c>
      <c r="I914">
        <v>1</v>
      </c>
      <c r="J914">
        <v>0</v>
      </c>
      <c r="K914" s="2">
        <v>2.0395349999999999</v>
      </c>
      <c r="L914">
        <v>0</v>
      </c>
      <c r="M914" s="7">
        <v>0.77968599999999999</v>
      </c>
      <c r="N914" s="7">
        <v>1.0431079999999999</v>
      </c>
      <c r="O914">
        <v>1</v>
      </c>
      <c r="P914" t="s">
        <v>14</v>
      </c>
      <c r="Q914">
        <v>2</v>
      </c>
      <c r="R914" s="8">
        <f>(Tabela2[[#This Row],[FAF_atividade_fisica_frequente_em_horas]]+ 0.1)</f>
        <v>0.87968599999999997</v>
      </c>
      <c r="S914" s="1">
        <f>(Tabela2[[#This Row],[TUE_tempo_uso_aparelhos_em_horas]]/Tabela2[[#This Row],[FAF_Var]])</f>
        <v>1.185773105403519</v>
      </c>
      <c r="T914">
        <f>(Tabela2[[#This Row],[CAEC_lanche_entre_refeicoes]]*Tabela2[[#This Row],[FAVC_consumo_frequente_de_alimentos_mt_caloricos]])</f>
        <v>1</v>
      </c>
      <c r="U914" s="1">
        <f>IF(OR(Tabela2[[#This Row],[MTRANS]]="Walking",Tabela2[[#This Row],[MTRANS]]="Bike"),Tabela2[[#This Row],[FAF_atividade_fisica_frequente_em_horas]]+1,M914)</f>
        <v>0.77968599999999999</v>
      </c>
      <c r="V914">
        <f>(Tabela2[[#This Row],[SMOKE]]+Tabela2[[#This Row],[CALC_bebe_alcool_frequentemente]])</f>
        <v>1</v>
      </c>
      <c r="W914" s="8">
        <f>(Tabela2[[#This Row],[Weight]]/(Tabela2[[#This Row],[Height]] ^2))</f>
        <v>26.329840127222678</v>
      </c>
    </row>
    <row r="915" spans="1:23" x14ac:dyDescent="0.25">
      <c r="A915" t="s">
        <v>15</v>
      </c>
      <c r="B915" s="7">
        <v>21</v>
      </c>
      <c r="C915" s="4">
        <v>1.610209</v>
      </c>
      <c r="D915" s="7">
        <v>68.865008000000003</v>
      </c>
      <c r="E915">
        <v>0</v>
      </c>
      <c r="F915">
        <v>1</v>
      </c>
      <c r="G915" s="2">
        <v>1.9101760000000001</v>
      </c>
      <c r="H915" s="2">
        <v>2.9381349999999999</v>
      </c>
      <c r="I915">
        <v>0</v>
      </c>
      <c r="J915">
        <v>0</v>
      </c>
      <c r="K915" s="2">
        <v>2.9430969999999999</v>
      </c>
      <c r="L915">
        <v>0</v>
      </c>
      <c r="M915" s="7">
        <v>0.99720200000000003</v>
      </c>
      <c r="N915" s="7">
        <v>0.207922</v>
      </c>
      <c r="O915">
        <v>1</v>
      </c>
      <c r="P915" t="s">
        <v>14</v>
      </c>
      <c r="Q915">
        <v>2</v>
      </c>
      <c r="R915" s="8">
        <f>(Tabela2[[#This Row],[FAF_atividade_fisica_frequente_em_horas]]+ 0.1)</f>
        <v>1.097202</v>
      </c>
      <c r="S915" s="1">
        <f>(Tabela2[[#This Row],[TUE_tempo_uso_aparelhos_em_horas]]/Tabela2[[#This Row],[FAF_Var]])</f>
        <v>0.18950202423983914</v>
      </c>
      <c r="T915">
        <f>(Tabela2[[#This Row],[CAEC_lanche_entre_refeicoes]]*Tabela2[[#This Row],[FAVC_consumo_frequente_de_alimentos_mt_caloricos]])</f>
        <v>0</v>
      </c>
      <c r="U915" s="1">
        <f>IF(OR(Tabela2[[#This Row],[MTRANS]]="Walking",Tabela2[[#This Row],[MTRANS]]="Bike"),Tabela2[[#This Row],[FAF_atividade_fisica_frequente_em_horas]]+1,M915)</f>
        <v>0.99720200000000003</v>
      </c>
      <c r="V915">
        <f>(Tabela2[[#This Row],[SMOKE]]+Tabela2[[#This Row],[CALC_bebe_alcool_frequentemente]])</f>
        <v>1</v>
      </c>
      <c r="W915" s="8">
        <f>(Tabela2[[#This Row],[Weight]]/(Tabela2[[#This Row],[Height]] ^2))</f>
        <v>26.560368906581449</v>
      </c>
    </row>
    <row r="916" spans="1:23" x14ac:dyDescent="0.25">
      <c r="A916" t="s">
        <v>15</v>
      </c>
      <c r="B916" s="7">
        <v>21</v>
      </c>
      <c r="C916" s="4">
        <v>1.6125560000000001</v>
      </c>
      <c r="D916" s="7">
        <v>69.463458000000003</v>
      </c>
      <c r="E916">
        <v>0</v>
      </c>
      <c r="F916">
        <v>1</v>
      </c>
      <c r="G916" s="2">
        <v>2</v>
      </c>
      <c r="H916" s="2">
        <v>1.259628</v>
      </c>
      <c r="I916">
        <v>0</v>
      </c>
      <c r="J916">
        <v>0</v>
      </c>
      <c r="K916" s="2">
        <v>3</v>
      </c>
      <c r="L916">
        <v>0</v>
      </c>
      <c r="M916" s="7">
        <v>1</v>
      </c>
      <c r="N916" s="7">
        <v>0</v>
      </c>
      <c r="O916">
        <v>1</v>
      </c>
      <c r="P916" t="s">
        <v>14</v>
      </c>
      <c r="Q916">
        <v>2</v>
      </c>
      <c r="R916" s="8">
        <f>(Tabela2[[#This Row],[FAF_atividade_fisica_frequente_em_horas]]+ 0.1)</f>
        <v>1.1000000000000001</v>
      </c>
      <c r="S916" s="1">
        <f>(Tabela2[[#This Row],[TUE_tempo_uso_aparelhos_em_horas]]/Tabela2[[#This Row],[FAF_Var]])</f>
        <v>0</v>
      </c>
      <c r="T916">
        <f>(Tabela2[[#This Row],[CAEC_lanche_entre_refeicoes]]*Tabela2[[#This Row],[FAVC_consumo_frequente_de_alimentos_mt_caloricos]])</f>
        <v>0</v>
      </c>
      <c r="U916" s="1">
        <f>IF(OR(Tabela2[[#This Row],[MTRANS]]="Walking",Tabela2[[#This Row],[MTRANS]]="Bike"),Tabela2[[#This Row],[FAF_atividade_fisica_frequente_em_horas]]+1,M916)</f>
        <v>1</v>
      </c>
      <c r="V916">
        <f>(Tabela2[[#This Row],[SMOKE]]+Tabela2[[#This Row],[CALC_bebe_alcool_frequentemente]])</f>
        <v>1</v>
      </c>
      <c r="W916" s="8">
        <f>(Tabela2[[#This Row],[Weight]]/(Tabela2[[#This Row],[Height]] ^2))</f>
        <v>26.71325367566407</v>
      </c>
    </row>
    <row r="917" spans="1:23" x14ac:dyDescent="0.25">
      <c r="A917" t="s">
        <v>13</v>
      </c>
      <c r="B917" s="7">
        <v>38.692264999999999</v>
      </c>
      <c r="C917" s="4">
        <v>1.5481780000000001</v>
      </c>
      <c r="D917" s="7">
        <v>62.341437999999997</v>
      </c>
      <c r="E917">
        <v>1</v>
      </c>
      <c r="F917">
        <v>1</v>
      </c>
      <c r="G917" s="2">
        <v>2.956671</v>
      </c>
      <c r="H917" s="2">
        <v>2.9654940000000001</v>
      </c>
      <c r="I917">
        <v>1</v>
      </c>
      <c r="J917">
        <v>0</v>
      </c>
      <c r="K917" s="2">
        <v>2.8681320000000001</v>
      </c>
      <c r="L917">
        <v>0</v>
      </c>
      <c r="M917" s="7">
        <v>0</v>
      </c>
      <c r="N917" s="7">
        <v>0.54925000000000002</v>
      </c>
      <c r="O917">
        <v>1</v>
      </c>
      <c r="P917" t="s">
        <v>17</v>
      </c>
      <c r="Q917">
        <v>2</v>
      </c>
      <c r="R917" s="8">
        <f>(Tabela2[[#This Row],[FAF_atividade_fisica_frequente_em_horas]]+ 0.1)</f>
        <v>0.1</v>
      </c>
      <c r="S917" s="1">
        <f>(Tabela2[[#This Row],[TUE_tempo_uso_aparelhos_em_horas]]/Tabela2[[#This Row],[FAF_Var]])</f>
        <v>5.4924999999999997</v>
      </c>
      <c r="T917">
        <f>(Tabela2[[#This Row],[CAEC_lanche_entre_refeicoes]]*Tabela2[[#This Row],[FAVC_consumo_frequente_de_alimentos_mt_caloricos]])</f>
        <v>1</v>
      </c>
      <c r="U917" s="1">
        <f>IF(OR(Tabela2[[#This Row],[MTRANS]]="Walking",Tabela2[[#This Row],[MTRANS]]="Bike"),Tabela2[[#This Row],[FAF_atividade_fisica_frequente_em_horas]]+1,M917)</f>
        <v>0</v>
      </c>
      <c r="V917">
        <f>(Tabela2[[#This Row],[SMOKE]]+Tabela2[[#This Row],[CALC_bebe_alcool_frequentemente]])</f>
        <v>1</v>
      </c>
      <c r="W917" s="8">
        <f>(Tabela2[[#This Row],[Weight]]/(Tabela2[[#This Row],[Height]] ^2))</f>
        <v>26.009681389594817</v>
      </c>
    </row>
    <row r="918" spans="1:23" x14ac:dyDescent="0.25">
      <c r="A918" t="s">
        <v>13</v>
      </c>
      <c r="B918" s="7">
        <v>38.952866</v>
      </c>
      <c r="C918" s="4">
        <v>1.568441</v>
      </c>
      <c r="D918" s="7">
        <v>62.855072999999997</v>
      </c>
      <c r="E918">
        <v>1</v>
      </c>
      <c r="F918">
        <v>1</v>
      </c>
      <c r="G918" s="2">
        <v>2.002796</v>
      </c>
      <c r="H918" s="2">
        <v>3</v>
      </c>
      <c r="I918">
        <v>1</v>
      </c>
      <c r="J918">
        <v>0</v>
      </c>
      <c r="K918" s="2">
        <v>2.5267750000000002</v>
      </c>
      <c r="L918">
        <v>0</v>
      </c>
      <c r="M918" s="7">
        <v>0.27117400000000003</v>
      </c>
      <c r="N918" s="7">
        <v>0.80606900000000004</v>
      </c>
      <c r="O918">
        <v>1</v>
      </c>
      <c r="P918" t="s">
        <v>17</v>
      </c>
      <c r="Q918">
        <v>2</v>
      </c>
      <c r="R918" s="8">
        <f>(Tabela2[[#This Row],[FAF_atividade_fisica_frequente_em_horas]]+ 0.1)</f>
        <v>0.371174</v>
      </c>
      <c r="S918" s="1">
        <f>(Tabela2[[#This Row],[TUE_tempo_uso_aparelhos_em_horas]]/Tabela2[[#This Row],[FAF_Var]])</f>
        <v>2.1716742013179804</v>
      </c>
      <c r="T918">
        <f>(Tabela2[[#This Row],[CAEC_lanche_entre_refeicoes]]*Tabela2[[#This Row],[FAVC_consumo_frequente_de_alimentos_mt_caloricos]])</f>
        <v>1</v>
      </c>
      <c r="U918" s="1">
        <f>IF(OR(Tabela2[[#This Row],[MTRANS]]="Walking",Tabela2[[#This Row],[MTRANS]]="Bike"),Tabela2[[#This Row],[FAF_atividade_fisica_frequente_em_horas]]+1,M918)</f>
        <v>0.27117400000000003</v>
      </c>
      <c r="V918">
        <f>(Tabela2[[#This Row],[SMOKE]]+Tabela2[[#This Row],[CALC_bebe_alcool_frequentemente]])</f>
        <v>1</v>
      </c>
      <c r="W918" s="8">
        <f>(Tabela2[[#This Row],[Weight]]/(Tabela2[[#This Row],[Height]] ^2))</f>
        <v>25.550768206789446</v>
      </c>
    </row>
    <row r="919" spans="1:23" x14ac:dyDescent="0.25">
      <c r="A919" t="s">
        <v>13</v>
      </c>
      <c r="B919" s="7">
        <v>36.631456</v>
      </c>
      <c r="C919" s="4">
        <v>1.532322</v>
      </c>
      <c r="D919" s="7">
        <v>62.417228000000001</v>
      </c>
      <c r="E919">
        <v>1</v>
      </c>
      <c r="F919">
        <v>1</v>
      </c>
      <c r="G919" s="2">
        <v>2.2886039999999999</v>
      </c>
      <c r="H919" s="2">
        <v>2.845307</v>
      </c>
      <c r="I919">
        <v>1</v>
      </c>
      <c r="J919">
        <v>0</v>
      </c>
      <c r="K919" s="2">
        <v>2.6381640000000002</v>
      </c>
      <c r="L919">
        <v>0</v>
      </c>
      <c r="M919" s="7">
        <v>0</v>
      </c>
      <c r="N919" s="7">
        <v>0.99074099999999998</v>
      </c>
      <c r="O919">
        <v>1</v>
      </c>
      <c r="P919" t="s">
        <v>17</v>
      </c>
      <c r="Q919">
        <v>2</v>
      </c>
      <c r="R919" s="8">
        <f>(Tabela2[[#This Row],[FAF_atividade_fisica_frequente_em_horas]]+ 0.1)</f>
        <v>0.1</v>
      </c>
      <c r="S919" s="1">
        <f>(Tabela2[[#This Row],[TUE_tempo_uso_aparelhos_em_horas]]/Tabela2[[#This Row],[FAF_Var]])</f>
        <v>9.9074099999999987</v>
      </c>
      <c r="T919">
        <f>(Tabela2[[#This Row],[CAEC_lanche_entre_refeicoes]]*Tabela2[[#This Row],[FAVC_consumo_frequente_de_alimentos_mt_caloricos]])</f>
        <v>1</v>
      </c>
      <c r="U919" s="1">
        <f>IF(OR(Tabela2[[#This Row],[MTRANS]]="Walking",Tabela2[[#This Row],[MTRANS]]="Bike"),Tabela2[[#This Row],[FAF_atividade_fisica_frequente_em_horas]]+1,M919)</f>
        <v>0</v>
      </c>
      <c r="V919">
        <f>(Tabela2[[#This Row],[SMOKE]]+Tabela2[[#This Row],[CALC_bebe_alcool_frequentemente]])</f>
        <v>1</v>
      </c>
      <c r="W919" s="8">
        <f>(Tabela2[[#This Row],[Weight]]/(Tabela2[[#This Row],[Height]] ^2))</f>
        <v>26.583025234682253</v>
      </c>
    </row>
    <row r="920" spans="1:23" x14ac:dyDescent="0.25">
      <c r="A920" t="s">
        <v>13</v>
      </c>
      <c r="B920" s="7">
        <v>21.996117999999999</v>
      </c>
      <c r="C920" s="4">
        <v>1.730199</v>
      </c>
      <c r="D920" s="7">
        <v>78.997062</v>
      </c>
      <c r="E920">
        <v>1</v>
      </c>
      <c r="F920">
        <v>1</v>
      </c>
      <c r="G920" s="2">
        <v>2.2770769999999998</v>
      </c>
      <c r="H920" s="2">
        <v>1</v>
      </c>
      <c r="I920">
        <v>1</v>
      </c>
      <c r="J920">
        <v>0</v>
      </c>
      <c r="K920" s="2">
        <v>2</v>
      </c>
      <c r="L920">
        <v>0</v>
      </c>
      <c r="M920" s="7">
        <v>1.0617430000000001</v>
      </c>
      <c r="N920" s="7">
        <v>0</v>
      </c>
      <c r="O920">
        <v>1</v>
      </c>
      <c r="P920" t="s">
        <v>14</v>
      </c>
      <c r="Q920">
        <v>2</v>
      </c>
      <c r="R920" s="8">
        <f>(Tabela2[[#This Row],[FAF_atividade_fisica_frequente_em_horas]]+ 0.1)</f>
        <v>1.1617430000000002</v>
      </c>
      <c r="S920" s="1">
        <f>(Tabela2[[#This Row],[TUE_tempo_uso_aparelhos_em_horas]]/Tabela2[[#This Row],[FAF_Var]])</f>
        <v>0</v>
      </c>
      <c r="T920">
        <f>(Tabela2[[#This Row],[CAEC_lanche_entre_refeicoes]]*Tabela2[[#This Row],[FAVC_consumo_frequente_de_alimentos_mt_caloricos]])</f>
        <v>1</v>
      </c>
      <c r="U920" s="1">
        <f>IF(OR(Tabela2[[#This Row],[MTRANS]]="Walking",Tabela2[[#This Row],[MTRANS]]="Bike"),Tabela2[[#This Row],[FAF_atividade_fisica_frequente_em_horas]]+1,M920)</f>
        <v>1.0617430000000001</v>
      </c>
      <c r="V920">
        <f>(Tabela2[[#This Row],[SMOKE]]+Tabela2[[#This Row],[CALC_bebe_alcool_frequentemente]])</f>
        <v>1</v>
      </c>
      <c r="W920" s="8">
        <f>(Tabela2[[#This Row],[Weight]]/(Tabela2[[#This Row],[Height]] ^2))</f>
        <v>26.388750457662795</v>
      </c>
    </row>
    <row r="921" spans="1:23" x14ac:dyDescent="0.25">
      <c r="A921" t="s">
        <v>13</v>
      </c>
      <c r="B921" s="7">
        <v>21.951308999999998</v>
      </c>
      <c r="C921" s="4">
        <v>1.730167</v>
      </c>
      <c r="D921" s="7">
        <v>78.429311999999996</v>
      </c>
      <c r="E921">
        <v>1</v>
      </c>
      <c r="F921">
        <v>1</v>
      </c>
      <c r="G921" s="2">
        <v>2.138334</v>
      </c>
      <c r="H921" s="2">
        <v>1</v>
      </c>
      <c r="I921">
        <v>1</v>
      </c>
      <c r="J921">
        <v>0</v>
      </c>
      <c r="K921" s="2">
        <v>2</v>
      </c>
      <c r="L921">
        <v>0</v>
      </c>
      <c r="M921" s="7">
        <v>2.2690579999999998</v>
      </c>
      <c r="N921" s="7">
        <v>0</v>
      </c>
      <c r="O921">
        <v>1</v>
      </c>
      <c r="P921" t="s">
        <v>14</v>
      </c>
      <c r="Q921">
        <v>2</v>
      </c>
      <c r="R921" s="8">
        <f>(Tabela2[[#This Row],[FAF_atividade_fisica_frequente_em_horas]]+ 0.1)</f>
        <v>2.3690579999999999</v>
      </c>
      <c r="S921" s="1">
        <f>(Tabela2[[#This Row],[TUE_tempo_uso_aparelhos_em_horas]]/Tabela2[[#This Row],[FAF_Var]])</f>
        <v>0</v>
      </c>
      <c r="T921">
        <f>(Tabela2[[#This Row],[CAEC_lanche_entre_refeicoes]]*Tabela2[[#This Row],[FAVC_consumo_frequente_de_alimentos_mt_caloricos]])</f>
        <v>1</v>
      </c>
      <c r="U921" s="1">
        <f>IF(OR(Tabela2[[#This Row],[MTRANS]]="Walking",Tabela2[[#This Row],[MTRANS]]="Bike"),Tabela2[[#This Row],[FAF_atividade_fisica_frequente_em_horas]]+1,M921)</f>
        <v>2.2690579999999998</v>
      </c>
      <c r="V921">
        <f>(Tabela2[[#This Row],[SMOKE]]+Tabela2[[#This Row],[CALC_bebe_alcool_frequentemente]])</f>
        <v>1</v>
      </c>
      <c r="W921" s="8">
        <f>(Tabela2[[#This Row],[Weight]]/(Tabela2[[#This Row],[Height]] ^2))</f>
        <v>26.2000642681583</v>
      </c>
    </row>
    <row r="922" spans="1:23" x14ac:dyDescent="0.25">
      <c r="A922" t="s">
        <v>15</v>
      </c>
      <c r="B922" s="7">
        <v>22.018228000000001</v>
      </c>
      <c r="C922" s="4">
        <v>1.6273960000000001</v>
      </c>
      <c r="D922" s="7">
        <v>70</v>
      </c>
      <c r="E922">
        <v>0</v>
      </c>
      <c r="F922">
        <v>1</v>
      </c>
      <c r="G922" s="2">
        <v>2</v>
      </c>
      <c r="H922" s="2">
        <v>1</v>
      </c>
      <c r="I922">
        <v>0</v>
      </c>
      <c r="J922">
        <v>0</v>
      </c>
      <c r="K922" s="2">
        <v>2.9761769999999999</v>
      </c>
      <c r="L922">
        <v>0</v>
      </c>
      <c r="M922" s="7">
        <v>0.78011699999999995</v>
      </c>
      <c r="N922" s="7">
        <v>0</v>
      </c>
      <c r="O922">
        <v>1</v>
      </c>
      <c r="P922" t="s">
        <v>14</v>
      </c>
      <c r="Q922">
        <v>2</v>
      </c>
      <c r="R922" s="8">
        <f>(Tabela2[[#This Row],[FAF_atividade_fisica_frequente_em_horas]]+ 0.1)</f>
        <v>0.88011699999999993</v>
      </c>
      <c r="S922" s="1">
        <f>(Tabela2[[#This Row],[TUE_tempo_uso_aparelhos_em_horas]]/Tabela2[[#This Row],[FAF_Var]])</f>
        <v>0</v>
      </c>
      <c r="T922">
        <f>(Tabela2[[#This Row],[CAEC_lanche_entre_refeicoes]]*Tabela2[[#This Row],[FAVC_consumo_frequente_de_alimentos_mt_caloricos]])</f>
        <v>0</v>
      </c>
      <c r="U922" s="1">
        <f>IF(OR(Tabela2[[#This Row],[MTRANS]]="Walking",Tabela2[[#This Row],[MTRANS]]="Bike"),Tabela2[[#This Row],[FAF_atividade_fisica_frequente_em_horas]]+1,M922)</f>
        <v>0.78011699999999995</v>
      </c>
      <c r="V922">
        <f>(Tabela2[[#This Row],[SMOKE]]+Tabela2[[#This Row],[CALC_bebe_alcool_frequentemente]])</f>
        <v>1</v>
      </c>
      <c r="W922" s="8">
        <f>(Tabela2[[#This Row],[Weight]]/(Tabela2[[#This Row],[Height]] ^2))</f>
        <v>26.430875658774433</v>
      </c>
    </row>
    <row r="923" spans="1:23" x14ac:dyDescent="0.25">
      <c r="A923" t="s">
        <v>15</v>
      </c>
      <c r="B923" s="7">
        <v>21</v>
      </c>
      <c r="C923" s="4">
        <v>1.62</v>
      </c>
      <c r="D923" s="7">
        <v>70</v>
      </c>
      <c r="E923">
        <v>0</v>
      </c>
      <c r="F923">
        <v>1</v>
      </c>
      <c r="G923" s="2">
        <v>2</v>
      </c>
      <c r="H923" s="2">
        <v>1</v>
      </c>
      <c r="I923">
        <v>0</v>
      </c>
      <c r="J923">
        <v>0</v>
      </c>
      <c r="K923" s="2">
        <v>3</v>
      </c>
      <c r="L923">
        <v>0</v>
      </c>
      <c r="M923" s="7">
        <v>1</v>
      </c>
      <c r="N923" s="7">
        <v>0</v>
      </c>
      <c r="O923">
        <v>1</v>
      </c>
      <c r="P923" t="s">
        <v>14</v>
      </c>
      <c r="Q923">
        <v>2</v>
      </c>
      <c r="R923" s="8">
        <f>(Tabela2[[#This Row],[FAF_atividade_fisica_frequente_em_horas]]+ 0.1)</f>
        <v>1.1000000000000001</v>
      </c>
      <c r="S923" s="1">
        <f>(Tabela2[[#This Row],[TUE_tempo_uso_aparelhos_em_horas]]/Tabela2[[#This Row],[FAF_Var]])</f>
        <v>0</v>
      </c>
      <c r="T923">
        <f>(Tabela2[[#This Row],[CAEC_lanche_entre_refeicoes]]*Tabela2[[#This Row],[FAVC_consumo_frequente_de_alimentos_mt_caloricos]])</f>
        <v>0</v>
      </c>
      <c r="U923" s="1">
        <f>IF(OR(Tabela2[[#This Row],[MTRANS]]="Walking",Tabela2[[#This Row],[MTRANS]]="Bike"),Tabela2[[#This Row],[FAF_atividade_fisica_frequente_em_horas]]+1,M923)</f>
        <v>1</v>
      </c>
      <c r="V923">
        <f>(Tabela2[[#This Row],[SMOKE]]+Tabela2[[#This Row],[CALC_bebe_alcool_frequentemente]])</f>
        <v>1</v>
      </c>
      <c r="W923" s="8">
        <f>(Tabela2[[#This Row],[Weight]]/(Tabela2[[#This Row],[Height]] ^2))</f>
        <v>26.672763298277697</v>
      </c>
    </row>
    <row r="924" spans="1:23" x14ac:dyDescent="0.25">
      <c r="A924" t="s">
        <v>15</v>
      </c>
      <c r="B924" s="7">
        <v>21</v>
      </c>
      <c r="C924" s="4">
        <v>1.62</v>
      </c>
      <c r="D924" s="7">
        <v>70</v>
      </c>
      <c r="E924">
        <v>0</v>
      </c>
      <c r="F924">
        <v>1</v>
      </c>
      <c r="G924" s="2">
        <v>2</v>
      </c>
      <c r="H924" s="2">
        <v>1</v>
      </c>
      <c r="I924">
        <v>0</v>
      </c>
      <c r="J924">
        <v>0</v>
      </c>
      <c r="K924" s="2">
        <v>3</v>
      </c>
      <c r="L924">
        <v>0</v>
      </c>
      <c r="M924" s="7">
        <v>1</v>
      </c>
      <c r="N924" s="7">
        <v>0</v>
      </c>
      <c r="O924">
        <v>1</v>
      </c>
      <c r="P924" t="s">
        <v>14</v>
      </c>
      <c r="Q924">
        <v>2</v>
      </c>
      <c r="R924" s="8">
        <f>(Tabela2[[#This Row],[FAF_atividade_fisica_frequente_em_horas]]+ 0.1)</f>
        <v>1.1000000000000001</v>
      </c>
      <c r="S924" s="1">
        <f>(Tabela2[[#This Row],[TUE_tempo_uso_aparelhos_em_horas]]/Tabela2[[#This Row],[FAF_Var]])</f>
        <v>0</v>
      </c>
      <c r="T924">
        <f>(Tabela2[[#This Row],[CAEC_lanche_entre_refeicoes]]*Tabela2[[#This Row],[FAVC_consumo_frequente_de_alimentos_mt_caloricos]])</f>
        <v>0</v>
      </c>
      <c r="U924" s="1">
        <f>IF(OR(Tabela2[[#This Row],[MTRANS]]="Walking",Tabela2[[#This Row],[MTRANS]]="Bike"),Tabela2[[#This Row],[FAF_atividade_fisica_frequente_em_horas]]+1,M924)</f>
        <v>1</v>
      </c>
      <c r="V924">
        <f>(Tabela2[[#This Row],[SMOKE]]+Tabela2[[#This Row],[CALC_bebe_alcool_frequentemente]])</f>
        <v>1</v>
      </c>
      <c r="W924" s="8">
        <f>(Tabela2[[#This Row],[Weight]]/(Tabela2[[#This Row],[Height]] ^2))</f>
        <v>26.672763298277697</v>
      </c>
    </row>
    <row r="925" spans="1:23" x14ac:dyDescent="0.25">
      <c r="A925" t="s">
        <v>15</v>
      </c>
      <c r="B925" s="7">
        <v>21</v>
      </c>
      <c r="C925" s="4">
        <v>1.62</v>
      </c>
      <c r="D925" s="7">
        <v>70</v>
      </c>
      <c r="E925">
        <v>0</v>
      </c>
      <c r="F925">
        <v>1</v>
      </c>
      <c r="G925" s="2">
        <v>2</v>
      </c>
      <c r="H925" s="2">
        <v>1</v>
      </c>
      <c r="I925">
        <v>0</v>
      </c>
      <c r="J925">
        <v>0</v>
      </c>
      <c r="K925" s="2">
        <v>3</v>
      </c>
      <c r="L925">
        <v>0</v>
      </c>
      <c r="M925" s="7">
        <v>1</v>
      </c>
      <c r="N925" s="7">
        <v>0</v>
      </c>
      <c r="O925">
        <v>1</v>
      </c>
      <c r="P925" t="s">
        <v>14</v>
      </c>
      <c r="Q925">
        <v>2</v>
      </c>
      <c r="R925" s="8">
        <f>(Tabela2[[#This Row],[FAF_atividade_fisica_frequente_em_horas]]+ 0.1)</f>
        <v>1.1000000000000001</v>
      </c>
      <c r="S925" s="1">
        <f>(Tabela2[[#This Row],[TUE_tempo_uso_aparelhos_em_horas]]/Tabela2[[#This Row],[FAF_Var]])</f>
        <v>0</v>
      </c>
      <c r="T925">
        <f>(Tabela2[[#This Row],[CAEC_lanche_entre_refeicoes]]*Tabela2[[#This Row],[FAVC_consumo_frequente_de_alimentos_mt_caloricos]])</f>
        <v>0</v>
      </c>
      <c r="U925" s="1">
        <f>IF(OR(Tabela2[[#This Row],[MTRANS]]="Walking",Tabela2[[#This Row],[MTRANS]]="Bike"),Tabela2[[#This Row],[FAF_atividade_fisica_frequente_em_horas]]+1,M925)</f>
        <v>1</v>
      </c>
      <c r="V925">
        <f>(Tabela2[[#This Row],[SMOKE]]+Tabela2[[#This Row],[CALC_bebe_alcool_frequentemente]])</f>
        <v>1</v>
      </c>
      <c r="W925" s="8">
        <f>(Tabela2[[#This Row],[Weight]]/(Tabela2[[#This Row],[Height]] ^2))</f>
        <v>26.672763298277697</v>
      </c>
    </row>
    <row r="926" spans="1:23" x14ac:dyDescent="0.25">
      <c r="A926" t="s">
        <v>13</v>
      </c>
      <c r="B926" s="7">
        <v>29.934464999999999</v>
      </c>
      <c r="C926" s="4">
        <v>1.638744</v>
      </c>
      <c r="D926" s="7">
        <v>69.242354000000006</v>
      </c>
      <c r="E926">
        <v>1</v>
      </c>
      <c r="F926">
        <v>1</v>
      </c>
      <c r="G926" s="2">
        <v>2.0296340000000002</v>
      </c>
      <c r="H926" s="2">
        <v>3</v>
      </c>
      <c r="I926">
        <v>1</v>
      </c>
      <c r="J926">
        <v>0</v>
      </c>
      <c r="K926" s="2">
        <v>1.827515</v>
      </c>
      <c r="L926">
        <v>0</v>
      </c>
      <c r="M926" s="7">
        <v>0.48020600000000002</v>
      </c>
      <c r="N926" s="7">
        <v>0</v>
      </c>
      <c r="O926">
        <v>1</v>
      </c>
      <c r="P926" t="s">
        <v>17</v>
      </c>
      <c r="Q926">
        <v>2</v>
      </c>
      <c r="R926" s="8">
        <f>(Tabela2[[#This Row],[FAF_atividade_fisica_frequente_em_horas]]+ 0.1)</f>
        <v>0.580206</v>
      </c>
      <c r="S926" s="1">
        <f>(Tabela2[[#This Row],[TUE_tempo_uso_aparelhos_em_horas]]/Tabela2[[#This Row],[FAF_Var]])</f>
        <v>0</v>
      </c>
      <c r="T926">
        <f>(Tabela2[[#This Row],[CAEC_lanche_entre_refeicoes]]*Tabela2[[#This Row],[FAVC_consumo_frequente_de_alimentos_mt_caloricos]])</f>
        <v>1</v>
      </c>
      <c r="U926" s="1">
        <f>IF(OR(Tabela2[[#This Row],[MTRANS]]="Walking",Tabela2[[#This Row],[MTRANS]]="Bike"),Tabela2[[#This Row],[FAF_atividade_fisica_frequente_em_horas]]+1,M926)</f>
        <v>0.48020600000000002</v>
      </c>
      <c r="V926">
        <f>(Tabela2[[#This Row],[SMOKE]]+Tabela2[[#This Row],[CALC_bebe_alcool_frequentemente]])</f>
        <v>1</v>
      </c>
      <c r="W926" s="8">
        <f>(Tabela2[[#This Row],[Weight]]/(Tabela2[[#This Row],[Height]] ^2))</f>
        <v>25.783958575007219</v>
      </c>
    </row>
    <row r="927" spans="1:23" x14ac:dyDescent="0.25">
      <c r="A927" t="s">
        <v>13</v>
      </c>
      <c r="B927" s="7">
        <v>31.166571999999999</v>
      </c>
      <c r="C927" s="4">
        <v>1.680858</v>
      </c>
      <c r="D927" s="7">
        <v>71.813379999999995</v>
      </c>
      <c r="E927">
        <v>1</v>
      </c>
      <c r="F927">
        <v>1</v>
      </c>
      <c r="G927" s="2">
        <v>2.048216</v>
      </c>
      <c r="H927" s="2">
        <v>3</v>
      </c>
      <c r="I927">
        <v>1</v>
      </c>
      <c r="J927">
        <v>0</v>
      </c>
      <c r="K927" s="2">
        <v>1.3058160000000001</v>
      </c>
      <c r="L927">
        <v>0</v>
      </c>
      <c r="M927" s="7">
        <v>0.17045199999999999</v>
      </c>
      <c r="N927" s="7">
        <v>0.276806</v>
      </c>
      <c r="O927">
        <v>1</v>
      </c>
      <c r="P927" t="s">
        <v>17</v>
      </c>
      <c r="Q927">
        <v>2</v>
      </c>
      <c r="R927" s="8">
        <f>(Tabela2[[#This Row],[FAF_atividade_fisica_frequente_em_horas]]+ 0.1)</f>
        <v>0.27045200000000003</v>
      </c>
      <c r="S927" s="1">
        <f>(Tabela2[[#This Row],[TUE_tempo_uso_aparelhos_em_horas]]/Tabela2[[#This Row],[FAF_Var]])</f>
        <v>1.0234940026326298</v>
      </c>
      <c r="T927">
        <f>(Tabela2[[#This Row],[CAEC_lanche_entre_refeicoes]]*Tabela2[[#This Row],[FAVC_consumo_frequente_de_alimentos_mt_caloricos]])</f>
        <v>1</v>
      </c>
      <c r="U927" s="1">
        <f>IF(OR(Tabela2[[#This Row],[MTRANS]]="Walking",Tabela2[[#This Row],[MTRANS]]="Bike"),Tabela2[[#This Row],[FAF_atividade_fisica_frequente_em_horas]]+1,M927)</f>
        <v>0.17045199999999999</v>
      </c>
      <c r="V927">
        <f>(Tabela2[[#This Row],[SMOKE]]+Tabela2[[#This Row],[CALC_bebe_alcool_frequentemente]])</f>
        <v>1</v>
      </c>
      <c r="W927" s="8">
        <f>(Tabela2[[#This Row],[Weight]]/(Tabela2[[#This Row],[Height]] ^2))</f>
        <v>25.41811363260722</v>
      </c>
    </row>
    <row r="928" spans="1:23" x14ac:dyDescent="0.25">
      <c r="A928" t="s">
        <v>13</v>
      </c>
      <c r="B928" s="7">
        <v>20.534606</v>
      </c>
      <c r="C928" s="4">
        <v>1.758372</v>
      </c>
      <c r="D928" s="7">
        <v>79.469513000000006</v>
      </c>
      <c r="E928">
        <v>1</v>
      </c>
      <c r="F928">
        <v>1</v>
      </c>
      <c r="G928" s="2">
        <v>2.8557000000000001</v>
      </c>
      <c r="H928" s="2">
        <v>1</v>
      </c>
      <c r="I928">
        <v>1</v>
      </c>
      <c r="J928">
        <v>0</v>
      </c>
      <c r="K928" s="2">
        <v>2.6638609999999998</v>
      </c>
      <c r="L928">
        <v>0</v>
      </c>
      <c r="M928" s="7">
        <v>2.7627109999999999</v>
      </c>
      <c r="N928" s="7">
        <v>0.78333600000000003</v>
      </c>
      <c r="O928">
        <v>1</v>
      </c>
      <c r="P928" t="s">
        <v>14</v>
      </c>
      <c r="Q928">
        <v>2</v>
      </c>
      <c r="R928" s="8">
        <f>(Tabela2[[#This Row],[FAF_atividade_fisica_frequente_em_horas]]+ 0.1)</f>
        <v>2.862711</v>
      </c>
      <c r="S928" s="1">
        <f>(Tabela2[[#This Row],[TUE_tempo_uso_aparelhos_em_horas]]/Tabela2[[#This Row],[FAF_Var]])</f>
        <v>0.27363432774038315</v>
      </c>
      <c r="T928">
        <f>(Tabela2[[#This Row],[CAEC_lanche_entre_refeicoes]]*Tabela2[[#This Row],[FAVC_consumo_frequente_de_alimentos_mt_caloricos]])</f>
        <v>1</v>
      </c>
      <c r="U928" s="1">
        <f>IF(OR(Tabela2[[#This Row],[MTRANS]]="Walking",Tabela2[[#This Row],[MTRANS]]="Bike"),Tabela2[[#This Row],[FAF_atividade_fisica_frequente_em_horas]]+1,M928)</f>
        <v>2.7627109999999999</v>
      </c>
      <c r="V928">
        <f>(Tabela2[[#This Row],[SMOKE]]+Tabela2[[#This Row],[CALC_bebe_alcool_frequentemente]])</f>
        <v>1</v>
      </c>
      <c r="W928" s="8">
        <f>(Tabela2[[#This Row],[Weight]]/(Tabela2[[#This Row],[Height]] ^2))</f>
        <v>25.702716890248251</v>
      </c>
    </row>
    <row r="929" spans="1:23" x14ac:dyDescent="0.25">
      <c r="A929" t="s">
        <v>15</v>
      </c>
      <c r="B929" s="7">
        <v>19.97166</v>
      </c>
      <c r="C929" s="4">
        <v>1.822573</v>
      </c>
      <c r="D929" s="7">
        <v>85.084363999999994</v>
      </c>
      <c r="E929">
        <v>1</v>
      </c>
      <c r="F929">
        <v>1</v>
      </c>
      <c r="G929" s="2">
        <v>2.9955989999999999</v>
      </c>
      <c r="H929" s="2">
        <v>3.0956630000000001</v>
      </c>
      <c r="I929">
        <v>1</v>
      </c>
      <c r="J929">
        <v>0</v>
      </c>
      <c r="K929" s="2">
        <v>2.5681569999999998</v>
      </c>
      <c r="L929">
        <v>0</v>
      </c>
      <c r="M929" s="7">
        <v>2.7242999999999999</v>
      </c>
      <c r="N929" s="7">
        <v>0.330457</v>
      </c>
      <c r="O929">
        <v>1</v>
      </c>
      <c r="P929" t="s">
        <v>14</v>
      </c>
      <c r="Q929">
        <v>2</v>
      </c>
      <c r="R929" s="8">
        <f>(Tabela2[[#This Row],[FAF_atividade_fisica_frequente_em_horas]]+ 0.1)</f>
        <v>2.8243</v>
      </c>
      <c r="S929" s="1">
        <f>(Tabela2[[#This Row],[TUE_tempo_uso_aparelhos_em_horas]]/Tabela2[[#This Row],[FAF_Var]])</f>
        <v>0.11700492157348723</v>
      </c>
      <c r="T929">
        <f>(Tabela2[[#This Row],[CAEC_lanche_entre_refeicoes]]*Tabela2[[#This Row],[FAVC_consumo_frequente_de_alimentos_mt_caloricos]])</f>
        <v>1</v>
      </c>
      <c r="U929" s="1">
        <f>IF(OR(Tabela2[[#This Row],[MTRANS]]="Walking",Tabela2[[#This Row],[MTRANS]]="Bike"),Tabela2[[#This Row],[FAF_atividade_fisica_frequente_em_horas]]+1,M929)</f>
        <v>2.7242999999999999</v>
      </c>
      <c r="V929">
        <f>(Tabela2[[#This Row],[SMOKE]]+Tabela2[[#This Row],[CALC_bebe_alcool_frequentemente]])</f>
        <v>1</v>
      </c>
      <c r="W929" s="8">
        <f>(Tabela2[[#This Row],[Weight]]/(Tabela2[[#This Row],[Height]] ^2))</f>
        <v>25.614146691212724</v>
      </c>
    </row>
    <row r="930" spans="1:23" x14ac:dyDescent="0.25">
      <c r="A930" t="s">
        <v>15</v>
      </c>
      <c r="B930" s="7">
        <v>19.626999999999999</v>
      </c>
      <c r="C930" s="4">
        <v>1.8154090000000001</v>
      </c>
      <c r="D930" s="7">
        <v>85.302145999999993</v>
      </c>
      <c r="E930">
        <v>1</v>
      </c>
      <c r="F930">
        <v>1</v>
      </c>
      <c r="G930" s="2">
        <v>2.9871479999999999</v>
      </c>
      <c r="H930" s="2">
        <v>3.4834489999999998</v>
      </c>
      <c r="I930">
        <v>1</v>
      </c>
      <c r="J930">
        <v>0</v>
      </c>
      <c r="K930" s="2">
        <v>2.3592460000000002</v>
      </c>
      <c r="L930">
        <v>0</v>
      </c>
      <c r="M930" s="7">
        <v>2.0604149999999999</v>
      </c>
      <c r="N930" s="7">
        <v>0.59899899999999995</v>
      </c>
      <c r="O930">
        <v>1</v>
      </c>
      <c r="P930" t="s">
        <v>14</v>
      </c>
      <c r="Q930">
        <v>2</v>
      </c>
      <c r="R930" s="8">
        <f>(Tabela2[[#This Row],[FAF_atividade_fisica_frequente_em_horas]]+ 0.1)</f>
        <v>2.160415</v>
      </c>
      <c r="S930" s="1">
        <f>(Tabela2[[#This Row],[TUE_tempo_uso_aparelhos_em_horas]]/Tabela2[[#This Row],[FAF_Var]])</f>
        <v>0.27726108178289816</v>
      </c>
      <c r="T930">
        <f>(Tabela2[[#This Row],[CAEC_lanche_entre_refeicoes]]*Tabela2[[#This Row],[FAVC_consumo_frequente_de_alimentos_mt_caloricos]])</f>
        <v>1</v>
      </c>
      <c r="U930" s="1">
        <f>IF(OR(Tabela2[[#This Row],[MTRANS]]="Walking",Tabela2[[#This Row],[MTRANS]]="Bike"),Tabela2[[#This Row],[FAF_atividade_fisica_frequente_em_horas]]+1,M930)</f>
        <v>2.0604149999999999</v>
      </c>
      <c r="V930">
        <f>(Tabela2[[#This Row],[SMOKE]]+Tabela2[[#This Row],[CALC_bebe_alcool_frequentemente]])</f>
        <v>1</v>
      </c>
      <c r="W930" s="8">
        <f>(Tabela2[[#This Row],[Weight]]/(Tabela2[[#This Row],[Height]] ^2))</f>
        <v>25.882784047024991</v>
      </c>
    </row>
    <row r="931" spans="1:23" x14ac:dyDescent="0.25">
      <c r="A931" t="s">
        <v>15</v>
      </c>
      <c r="B931" s="7">
        <v>21.929386999999998</v>
      </c>
      <c r="C931" s="4">
        <v>1.6980489999999999</v>
      </c>
      <c r="D931" s="7">
        <v>75</v>
      </c>
      <c r="E931">
        <v>1</v>
      </c>
      <c r="F931">
        <v>1</v>
      </c>
      <c r="G931" s="2">
        <v>2</v>
      </c>
      <c r="H931" s="2">
        <v>3</v>
      </c>
      <c r="I931">
        <v>1</v>
      </c>
      <c r="J931">
        <v>0</v>
      </c>
      <c r="K931" s="2">
        <v>2.7635730000000001</v>
      </c>
      <c r="L931">
        <v>0</v>
      </c>
      <c r="M931" s="7">
        <v>1.5027109999999999</v>
      </c>
      <c r="N931" s="7">
        <v>0.12787899999999999</v>
      </c>
      <c r="O931">
        <v>1</v>
      </c>
      <c r="P931" t="s">
        <v>14</v>
      </c>
      <c r="Q931">
        <v>2</v>
      </c>
      <c r="R931" s="8">
        <f>(Tabela2[[#This Row],[FAF_atividade_fisica_frequente_em_horas]]+ 0.1)</f>
        <v>1.602711</v>
      </c>
      <c r="S931" s="1">
        <f>(Tabela2[[#This Row],[TUE_tempo_uso_aparelhos_em_horas]]/Tabela2[[#This Row],[FAF_Var]])</f>
        <v>7.9789182204402412E-2</v>
      </c>
      <c r="T931">
        <f>(Tabela2[[#This Row],[CAEC_lanche_entre_refeicoes]]*Tabela2[[#This Row],[FAVC_consumo_frequente_de_alimentos_mt_caloricos]])</f>
        <v>1</v>
      </c>
      <c r="U931" s="1">
        <f>IF(OR(Tabela2[[#This Row],[MTRANS]]="Walking",Tabela2[[#This Row],[MTRANS]]="Bike"),Tabela2[[#This Row],[FAF_atividade_fisica_frequente_em_horas]]+1,M931)</f>
        <v>1.5027109999999999</v>
      </c>
      <c r="V931">
        <f>(Tabela2[[#This Row],[SMOKE]]+Tabela2[[#This Row],[CALC_bebe_alcool_frequentemente]])</f>
        <v>1</v>
      </c>
      <c r="W931" s="8">
        <f>(Tabela2[[#This Row],[Weight]]/(Tabela2[[#This Row],[Height]] ^2))</f>
        <v>26.011226248803187</v>
      </c>
    </row>
    <row r="932" spans="1:23" x14ac:dyDescent="0.25">
      <c r="A932" t="s">
        <v>13</v>
      </c>
      <c r="B932" s="7">
        <v>21.009436999999998</v>
      </c>
      <c r="C932" s="4">
        <v>1.6068100000000001</v>
      </c>
      <c r="D932" s="7">
        <v>67.773914000000005</v>
      </c>
      <c r="E932">
        <v>1</v>
      </c>
      <c r="F932">
        <v>1</v>
      </c>
      <c r="G932" s="2">
        <v>2</v>
      </c>
      <c r="H932" s="2">
        <v>3.1563089999999998</v>
      </c>
      <c r="I932">
        <v>0</v>
      </c>
      <c r="J932">
        <v>0</v>
      </c>
      <c r="K932" s="2">
        <v>3</v>
      </c>
      <c r="L932">
        <v>0</v>
      </c>
      <c r="M932" s="7">
        <v>1.179592</v>
      </c>
      <c r="N932" s="7">
        <v>8.6868000000000001E-2</v>
      </c>
      <c r="O932">
        <v>1</v>
      </c>
      <c r="P932" t="s">
        <v>14</v>
      </c>
      <c r="Q932">
        <v>2</v>
      </c>
      <c r="R932" s="8">
        <f>(Tabela2[[#This Row],[FAF_atividade_fisica_frequente_em_horas]]+ 0.1)</f>
        <v>1.2795920000000001</v>
      </c>
      <c r="S932" s="1">
        <f>(Tabela2[[#This Row],[TUE_tempo_uso_aparelhos_em_horas]]/Tabela2[[#This Row],[FAF_Var]])</f>
        <v>6.7887264065420852E-2</v>
      </c>
      <c r="T932">
        <f>(Tabela2[[#This Row],[CAEC_lanche_entre_refeicoes]]*Tabela2[[#This Row],[FAVC_consumo_frequente_de_alimentos_mt_caloricos]])</f>
        <v>0</v>
      </c>
      <c r="U932" s="1">
        <f>IF(OR(Tabela2[[#This Row],[MTRANS]]="Walking",Tabela2[[#This Row],[MTRANS]]="Bike"),Tabela2[[#This Row],[FAF_atividade_fisica_frequente_em_horas]]+1,M932)</f>
        <v>1.179592</v>
      </c>
      <c r="V932">
        <f>(Tabela2[[#This Row],[SMOKE]]+Tabela2[[#This Row],[CALC_bebe_alcool_frequentemente]])</f>
        <v>1</v>
      </c>
      <c r="W932" s="8">
        <f>(Tabela2[[#This Row],[Weight]]/(Tabela2[[#This Row],[Height]] ^2))</f>
        <v>26.250254325515133</v>
      </c>
    </row>
    <row r="933" spans="1:23" x14ac:dyDescent="0.25">
      <c r="A933" t="s">
        <v>13</v>
      </c>
      <c r="B933" s="7">
        <v>21.538225000000001</v>
      </c>
      <c r="C933" s="4">
        <v>1.6103270000000001</v>
      </c>
      <c r="D933" s="7">
        <v>67.999778000000006</v>
      </c>
      <c r="E933">
        <v>1</v>
      </c>
      <c r="F933">
        <v>1</v>
      </c>
      <c r="G933" s="2">
        <v>1.8879509999999999</v>
      </c>
      <c r="H933" s="2">
        <v>3.7283770000000001</v>
      </c>
      <c r="I933">
        <v>0</v>
      </c>
      <c r="J933">
        <v>0</v>
      </c>
      <c r="K933" s="2">
        <v>2.6821069999999998</v>
      </c>
      <c r="L933">
        <v>0</v>
      </c>
      <c r="M933" s="7">
        <v>1.123931</v>
      </c>
      <c r="N933" s="7">
        <v>0.49252800000000002</v>
      </c>
      <c r="O933">
        <v>1</v>
      </c>
      <c r="P933" t="s">
        <v>14</v>
      </c>
      <c r="Q933">
        <v>2</v>
      </c>
      <c r="R933" s="8">
        <f>(Tabela2[[#This Row],[FAF_atividade_fisica_frequente_em_horas]]+ 0.1)</f>
        <v>1.2239310000000001</v>
      </c>
      <c r="S933" s="1">
        <f>(Tabela2[[#This Row],[TUE_tempo_uso_aparelhos_em_horas]]/Tabela2[[#This Row],[FAF_Var]])</f>
        <v>0.4024148420131527</v>
      </c>
      <c r="T933">
        <f>(Tabela2[[#This Row],[CAEC_lanche_entre_refeicoes]]*Tabela2[[#This Row],[FAVC_consumo_frequente_de_alimentos_mt_caloricos]])</f>
        <v>0</v>
      </c>
      <c r="U933" s="1">
        <f>IF(OR(Tabela2[[#This Row],[MTRANS]]="Walking",Tabela2[[#This Row],[MTRANS]]="Bike"),Tabela2[[#This Row],[FAF_atividade_fisica_frequente_em_horas]]+1,M933)</f>
        <v>1.123931</v>
      </c>
      <c r="V933">
        <f>(Tabela2[[#This Row],[SMOKE]]+Tabela2[[#This Row],[CALC_bebe_alcool_frequentemente]])</f>
        <v>1</v>
      </c>
      <c r="W933" s="8">
        <f>(Tabela2[[#This Row],[Weight]]/(Tabela2[[#This Row],[Height]] ^2))</f>
        <v>26.222817076119078</v>
      </c>
    </row>
    <row r="934" spans="1:23" x14ac:dyDescent="0.25">
      <c r="A934" t="s">
        <v>15</v>
      </c>
      <c r="B934" s="7">
        <v>22.828434999999999</v>
      </c>
      <c r="C934" s="4">
        <v>1.710415</v>
      </c>
      <c r="D934" s="7">
        <v>75.142858000000004</v>
      </c>
      <c r="E934">
        <v>1</v>
      </c>
      <c r="F934">
        <v>1</v>
      </c>
      <c r="G934" s="2">
        <v>2.7860079999999998</v>
      </c>
      <c r="H934" s="2">
        <v>3</v>
      </c>
      <c r="I934">
        <v>1</v>
      </c>
      <c r="J934">
        <v>0</v>
      </c>
      <c r="K934" s="2">
        <v>2.5261930000000001</v>
      </c>
      <c r="L934">
        <v>0</v>
      </c>
      <c r="M934" s="7">
        <v>0.925118</v>
      </c>
      <c r="N934" s="7">
        <v>2</v>
      </c>
      <c r="O934">
        <v>1</v>
      </c>
      <c r="P934" t="s">
        <v>14</v>
      </c>
      <c r="Q934">
        <v>2</v>
      </c>
      <c r="R934" s="8">
        <f>(Tabela2[[#This Row],[FAF_atividade_fisica_frequente_em_horas]]+ 0.1)</f>
        <v>1.025118</v>
      </c>
      <c r="S934" s="1">
        <f>(Tabela2[[#This Row],[TUE_tempo_uso_aparelhos_em_horas]]/Tabela2[[#This Row],[FAF_Var]])</f>
        <v>1.9509949098542803</v>
      </c>
      <c r="T934">
        <f>(Tabela2[[#This Row],[CAEC_lanche_entre_refeicoes]]*Tabela2[[#This Row],[FAVC_consumo_frequente_de_alimentos_mt_caloricos]])</f>
        <v>1</v>
      </c>
      <c r="U934" s="1">
        <f>IF(OR(Tabela2[[#This Row],[MTRANS]]="Walking",Tabela2[[#This Row],[MTRANS]]="Bike"),Tabela2[[#This Row],[FAF_atividade_fisica_frequente_em_horas]]+1,M934)</f>
        <v>0.925118</v>
      </c>
      <c r="V934">
        <f>(Tabela2[[#This Row],[SMOKE]]+Tabela2[[#This Row],[CALC_bebe_alcool_frequentemente]])</f>
        <v>1</v>
      </c>
      <c r="W934" s="8">
        <f>(Tabela2[[#This Row],[Weight]]/(Tabela2[[#This Row],[Height]] ^2))</f>
        <v>25.685304341129612</v>
      </c>
    </row>
    <row r="935" spans="1:23" x14ac:dyDescent="0.25">
      <c r="A935" t="s">
        <v>15</v>
      </c>
      <c r="B935" s="7">
        <v>22.814657</v>
      </c>
      <c r="C935" s="4">
        <v>1.716289</v>
      </c>
      <c r="D935" s="7">
        <v>75.688433000000003</v>
      </c>
      <c r="E935">
        <v>1</v>
      </c>
      <c r="F935">
        <v>1</v>
      </c>
      <c r="G935" s="2">
        <v>2</v>
      </c>
      <c r="H935" s="2">
        <v>3</v>
      </c>
      <c r="I935">
        <v>1</v>
      </c>
      <c r="J935">
        <v>0</v>
      </c>
      <c r="K935" s="2">
        <v>2</v>
      </c>
      <c r="L935">
        <v>0</v>
      </c>
      <c r="M935" s="7">
        <v>9.2343999999999996E-2</v>
      </c>
      <c r="N935" s="7">
        <v>1.466496</v>
      </c>
      <c r="O935">
        <v>1</v>
      </c>
      <c r="P935" t="s">
        <v>14</v>
      </c>
      <c r="Q935">
        <v>2</v>
      </c>
      <c r="R935" s="8">
        <f>(Tabela2[[#This Row],[FAF_atividade_fisica_frequente_em_horas]]+ 0.1)</f>
        <v>0.19234400000000001</v>
      </c>
      <c r="S935" s="1">
        <f>(Tabela2[[#This Row],[TUE_tempo_uso_aparelhos_em_horas]]/Tabela2[[#This Row],[FAF_Var]])</f>
        <v>7.6243397246599836</v>
      </c>
      <c r="T935">
        <f>(Tabela2[[#This Row],[CAEC_lanche_entre_refeicoes]]*Tabela2[[#This Row],[FAVC_consumo_frequente_de_alimentos_mt_caloricos]])</f>
        <v>1</v>
      </c>
      <c r="U935" s="1">
        <f>IF(OR(Tabela2[[#This Row],[MTRANS]]="Walking",Tabela2[[#This Row],[MTRANS]]="Bike"),Tabela2[[#This Row],[FAF_atividade_fisica_frequente_em_horas]]+1,M935)</f>
        <v>9.2343999999999996E-2</v>
      </c>
      <c r="V935">
        <f>(Tabela2[[#This Row],[SMOKE]]+Tabela2[[#This Row],[CALC_bebe_alcool_frequentemente]])</f>
        <v>1</v>
      </c>
      <c r="W935" s="8">
        <f>(Tabela2[[#This Row],[Weight]]/(Tabela2[[#This Row],[Height]] ^2))</f>
        <v>25.69500319100182</v>
      </c>
    </row>
    <row r="936" spans="1:23" x14ac:dyDescent="0.25">
      <c r="A936" t="s">
        <v>15</v>
      </c>
      <c r="B936" s="7">
        <v>19.576682000000002</v>
      </c>
      <c r="C936" s="4">
        <v>1.8347150000000001</v>
      </c>
      <c r="D936" s="7">
        <v>89.429198999999997</v>
      </c>
      <c r="E936">
        <v>1</v>
      </c>
      <c r="F936">
        <v>1</v>
      </c>
      <c r="G936" s="2">
        <v>2.3423229999999999</v>
      </c>
      <c r="H936" s="2">
        <v>3.6088499999999999</v>
      </c>
      <c r="I936">
        <v>1</v>
      </c>
      <c r="J936">
        <v>0</v>
      </c>
      <c r="K936" s="2">
        <v>2.8788659999999999</v>
      </c>
      <c r="L936">
        <v>0</v>
      </c>
      <c r="M936" s="7">
        <v>2</v>
      </c>
      <c r="N936" s="7">
        <v>0.20832300000000001</v>
      </c>
      <c r="O936">
        <v>1</v>
      </c>
      <c r="P936" t="s">
        <v>14</v>
      </c>
      <c r="Q936">
        <v>2</v>
      </c>
      <c r="R936" s="8">
        <f>(Tabela2[[#This Row],[FAF_atividade_fisica_frequente_em_horas]]+ 0.1)</f>
        <v>2.1</v>
      </c>
      <c r="S936" s="1">
        <f>(Tabela2[[#This Row],[TUE_tempo_uso_aparelhos_em_horas]]/Tabela2[[#This Row],[FAF_Var]])</f>
        <v>9.9201428571428565E-2</v>
      </c>
      <c r="T936">
        <f>(Tabela2[[#This Row],[CAEC_lanche_entre_refeicoes]]*Tabela2[[#This Row],[FAVC_consumo_frequente_de_alimentos_mt_caloricos]])</f>
        <v>1</v>
      </c>
      <c r="U936" s="1">
        <f>IF(OR(Tabela2[[#This Row],[MTRANS]]="Walking",Tabela2[[#This Row],[MTRANS]]="Bike"),Tabela2[[#This Row],[FAF_atividade_fisica_frequente_em_horas]]+1,M936)</f>
        <v>2</v>
      </c>
      <c r="V936">
        <f>(Tabela2[[#This Row],[SMOKE]]+Tabela2[[#This Row],[CALC_bebe_alcool_frequentemente]])</f>
        <v>1</v>
      </c>
      <c r="W936" s="8">
        <f>(Tabela2[[#This Row],[Weight]]/(Tabela2[[#This Row],[Height]] ^2))</f>
        <v>26.566975646199623</v>
      </c>
    </row>
    <row r="937" spans="1:23" x14ac:dyDescent="0.25">
      <c r="A937" t="s">
        <v>13</v>
      </c>
      <c r="B937" s="7">
        <v>21.814653</v>
      </c>
      <c r="C937" s="4">
        <v>1.6118220000000001</v>
      </c>
      <c r="D937" s="7">
        <v>67.140366999999998</v>
      </c>
      <c r="E937">
        <v>1</v>
      </c>
      <c r="F937">
        <v>1</v>
      </c>
      <c r="G937" s="2">
        <v>1.874935</v>
      </c>
      <c r="H937" s="2">
        <v>3.3703620000000001</v>
      </c>
      <c r="I937">
        <v>1</v>
      </c>
      <c r="J937">
        <v>0</v>
      </c>
      <c r="K937" s="2">
        <v>2.558773</v>
      </c>
      <c r="L937">
        <v>0</v>
      </c>
      <c r="M937" s="7">
        <v>1.206121</v>
      </c>
      <c r="N937" s="7">
        <v>0.27102399999999999</v>
      </c>
      <c r="O937">
        <v>1</v>
      </c>
      <c r="P937" t="s">
        <v>14</v>
      </c>
      <c r="Q937">
        <v>2</v>
      </c>
      <c r="R937" s="8">
        <f>(Tabela2[[#This Row],[FAF_atividade_fisica_frequente_em_horas]]+ 0.1)</f>
        <v>1.3061210000000001</v>
      </c>
      <c r="S937" s="1">
        <f>(Tabela2[[#This Row],[TUE_tempo_uso_aparelhos_em_horas]]/Tabela2[[#This Row],[FAF_Var]])</f>
        <v>0.20750298019861863</v>
      </c>
      <c r="T937">
        <f>(Tabela2[[#This Row],[CAEC_lanche_entre_refeicoes]]*Tabela2[[#This Row],[FAVC_consumo_frequente_de_alimentos_mt_caloricos]])</f>
        <v>1</v>
      </c>
      <c r="U937" s="1">
        <f>IF(OR(Tabela2[[#This Row],[MTRANS]]="Walking",Tabela2[[#This Row],[MTRANS]]="Bike"),Tabela2[[#This Row],[FAF_atividade_fisica_frequente_em_horas]]+1,M937)</f>
        <v>1.206121</v>
      </c>
      <c r="V937">
        <f>(Tabela2[[#This Row],[SMOKE]]+Tabela2[[#This Row],[CALC_bebe_alcool_frequentemente]])</f>
        <v>1</v>
      </c>
      <c r="W937" s="8">
        <f>(Tabela2[[#This Row],[Weight]]/(Tabela2[[#This Row],[Height]] ^2))</f>
        <v>25.843394216724377</v>
      </c>
    </row>
    <row r="938" spans="1:23" x14ac:dyDescent="0.25">
      <c r="A938" t="s">
        <v>13</v>
      </c>
      <c r="B938" s="7">
        <v>21.979769000000001</v>
      </c>
      <c r="C938" s="4">
        <v>1.6</v>
      </c>
      <c r="D938" s="7">
        <v>66.126964000000001</v>
      </c>
      <c r="E938">
        <v>1</v>
      </c>
      <c r="F938">
        <v>1</v>
      </c>
      <c r="G938" s="2">
        <v>2.2131349999999999</v>
      </c>
      <c r="H938" s="2">
        <v>3</v>
      </c>
      <c r="I938">
        <v>1</v>
      </c>
      <c r="J938">
        <v>0</v>
      </c>
      <c r="K938" s="2">
        <v>2.0467659999999999</v>
      </c>
      <c r="L938">
        <v>0</v>
      </c>
      <c r="M938" s="7">
        <v>2.1725460000000001</v>
      </c>
      <c r="N938" s="7">
        <v>0</v>
      </c>
      <c r="O938">
        <v>1</v>
      </c>
      <c r="P938" t="s">
        <v>14</v>
      </c>
      <c r="Q938">
        <v>2</v>
      </c>
      <c r="R938" s="8">
        <f>(Tabela2[[#This Row],[FAF_atividade_fisica_frequente_em_horas]]+ 0.1)</f>
        <v>2.2725460000000002</v>
      </c>
      <c r="S938" s="1">
        <f>(Tabela2[[#This Row],[TUE_tempo_uso_aparelhos_em_horas]]/Tabela2[[#This Row],[FAF_Var]])</f>
        <v>0</v>
      </c>
      <c r="T938">
        <f>(Tabela2[[#This Row],[CAEC_lanche_entre_refeicoes]]*Tabela2[[#This Row],[FAVC_consumo_frequente_de_alimentos_mt_caloricos]])</f>
        <v>1</v>
      </c>
      <c r="U938" s="1">
        <f>IF(OR(Tabela2[[#This Row],[MTRANS]]="Walking",Tabela2[[#This Row],[MTRANS]]="Bike"),Tabela2[[#This Row],[FAF_atividade_fisica_frequente_em_horas]]+1,M938)</f>
        <v>2.1725460000000001</v>
      </c>
      <c r="V938">
        <f>(Tabela2[[#This Row],[SMOKE]]+Tabela2[[#This Row],[CALC_bebe_alcool_frequentemente]])</f>
        <v>1</v>
      </c>
      <c r="W938" s="8">
        <f>(Tabela2[[#This Row],[Weight]]/(Tabela2[[#This Row],[Height]] ^2))</f>
        <v>25.830845312499996</v>
      </c>
    </row>
    <row r="939" spans="1:23" x14ac:dyDescent="0.25">
      <c r="A939" t="s">
        <v>13</v>
      </c>
      <c r="B939" s="7">
        <v>21</v>
      </c>
      <c r="C939" s="4">
        <v>1.7535780000000001</v>
      </c>
      <c r="D939" s="7">
        <v>77.979169999999996</v>
      </c>
      <c r="E939">
        <v>1</v>
      </c>
      <c r="F939">
        <v>1</v>
      </c>
      <c r="G939" s="2">
        <v>2.2735479999999999</v>
      </c>
      <c r="H939" s="2">
        <v>2.3900700000000001</v>
      </c>
      <c r="I939">
        <v>1</v>
      </c>
      <c r="J939">
        <v>0</v>
      </c>
      <c r="K939" s="2">
        <v>1.648404</v>
      </c>
      <c r="L939">
        <v>0</v>
      </c>
      <c r="M939" s="7">
        <v>0.87464299999999995</v>
      </c>
      <c r="N939" s="7">
        <v>1.1026959999999999</v>
      </c>
      <c r="O939">
        <v>1</v>
      </c>
      <c r="P939" t="s">
        <v>14</v>
      </c>
      <c r="Q939">
        <v>2</v>
      </c>
      <c r="R939" s="8">
        <f>(Tabela2[[#This Row],[FAF_atividade_fisica_frequente_em_horas]]+ 0.1)</f>
        <v>0.97464299999999993</v>
      </c>
      <c r="S939" s="1">
        <f>(Tabela2[[#This Row],[TUE_tempo_uso_aparelhos_em_horas]]/Tabela2[[#This Row],[FAF_Var]])</f>
        <v>1.1313845172027091</v>
      </c>
      <c r="T939">
        <f>(Tabela2[[#This Row],[CAEC_lanche_entre_refeicoes]]*Tabela2[[#This Row],[FAVC_consumo_frequente_de_alimentos_mt_caloricos]])</f>
        <v>1</v>
      </c>
      <c r="U939" s="1">
        <f>IF(OR(Tabela2[[#This Row],[MTRANS]]="Walking",Tabela2[[#This Row],[MTRANS]]="Bike"),Tabela2[[#This Row],[FAF_atividade_fisica_frequente_em_horas]]+1,M939)</f>
        <v>0.87464299999999995</v>
      </c>
      <c r="V939">
        <f>(Tabela2[[#This Row],[SMOKE]]+Tabela2[[#This Row],[CALC_bebe_alcool_frequentemente]])</f>
        <v>1</v>
      </c>
      <c r="W939" s="8">
        <f>(Tabela2[[#This Row],[Weight]]/(Tabela2[[#This Row],[Height]] ^2))</f>
        <v>25.358784423632493</v>
      </c>
    </row>
    <row r="940" spans="1:23" x14ac:dyDescent="0.25">
      <c r="A940" t="s">
        <v>13</v>
      </c>
      <c r="B940" s="7">
        <v>21.028500000000001</v>
      </c>
      <c r="C940" s="4">
        <v>1.742364</v>
      </c>
      <c r="D940" s="7">
        <v>78.664618000000004</v>
      </c>
      <c r="E940">
        <v>1</v>
      </c>
      <c r="F940">
        <v>1</v>
      </c>
      <c r="G940" s="2">
        <v>2.7806989999999998</v>
      </c>
      <c r="H940" s="2">
        <v>1.101404</v>
      </c>
      <c r="I940">
        <v>1</v>
      </c>
      <c r="J940">
        <v>0</v>
      </c>
      <c r="K940" s="2">
        <v>1.579207</v>
      </c>
      <c r="L940">
        <v>0</v>
      </c>
      <c r="M940" s="7">
        <v>1.153775</v>
      </c>
      <c r="N940" s="7">
        <v>0</v>
      </c>
      <c r="O940">
        <v>1</v>
      </c>
      <c r="P940" t="s">
        <v>14</v>
      </c>
      <c r="Q940">
        <v>2</v>
      </c>
      <c r="R940" s="8">
        <f>(Tabela2[[#This Row],[FAF_atividade_fisica_frequente_em_horas]]+ 0.1)</f>
        <v>1.2537750000000001</v>
      </c>
      <c r="S940" s="1">
        <f>(Tabela2[[#This Row],[TUE_tempo_uso_aparelhos_em_horas]]/Tabela2[[#This Row],[FAF_Var]])</f>
        <v>0</v>
      </c>
      <c r="T940">
        <f>(Tabela2[[#This Row],[CAEC_lanche_entre_refeicoes]]*Tabela2[[#This Row],[FAVC_consumo_frequente_de_alimentos_mt_caloricos]])</f>
        <v>1</v>
      </c>
      <c r="U940" s="1">
        <f>IF(OR(Tabela2[[#This Row],[MTRANS]]="Walking",Tabela2[[#This Row],[MTRANS]]="Bike"),Tabela2[[#This Row],[FAF_atividade_fisica_frequente_em_horas]]+1,M940)</f>
        <v>1.153775</v>
      </c>
      <c r="V940">
        <f>(Tabela2[[#This Row],[SMOKE]]+Tabela2[[#This Row],[CALC_bebe_alcool_frequentemente]])</f>
        <v>1</v>
      </c>
      <c r="W940" s="8">
        <f>(Tabela2[[#This Row],[Weight]]/(Tabela2[[#This Row],[Height]] ^2))</f>
        <v>25.912043224473003</v>
      </c>
    </row>
    <row r="941" spans="1:23" x14ac:dyDescent="0.25">
      <c r="A941" t="s">
        <v>15</v>
      </c>
      <c r="B941" s="7">
        <v>18.721041</v>
      </c>
      <c r="C941" s="4">
        <v>1.7756259999999999</v>
      </c>
      <c r="D941" s="7">
        <v>80.113493000000005</v>
      </c>
      <c r="E941">
        <v>1</v>
      </c>
      <c r="F941">
        <v>1</v>
      </c>
      <c r="G941" s="2">
        <v>1.6875690000000001</v>
      </c>
      <c r="H941" s="2">
        <v>2.756405</v>
      </c>
      <c r="I941">
        <v>1</v>
      </c>
      <c r="J941">
        <v>0</v>
      </c>
      <c r="K941" s="2">
        <v>2.0791309999999998</v>
      </c>
      <c r="L941">
        <v>0</v>
      </c>
      <c r="M941" s="7">
        <v>2.931527</v>
      </c>
      <c r="N941" s="7">
        <v>0.68172999999999995</v>
      </c>
      <c r="O941">
        <v>0</v>
      </c>
      <c r="P941" t="s">
        <v>14</v>
      </c>
      <c r="Q941">
        <v>2</v>
      </c>
      <c r="R941" s="8">
        <f>(Tabela2[[#This Row],[FAF_atividade_fisica_frequente_em_horas]]+ 0.1)</f>
        <v>3.0315270000000001</v>
      </c>
      <c r="S941" s="1">
        <f>(Tabela2[[#This Row],[TUE_tempo_uso_aparelhos_em_horas]]/Tabela2[[#This Row],[FAF_Var]])</f>
        <v>0.2248800686914548</v>
      </c>
      <c r="T941">
        <f>(Tabela2[[#This Row],[CAEC_lanche_entre_refeicoes]]*Tabela2[[#This Row],[FAVC_consumo_frequente_de_alimentos_mt_caloricos]])</f>
        <v>1</v>
      </c>
      <c r="U941" s="1">
        <f>IF(OR(Tabela2[[#This Row],[MTRANS]]="Walking",Tabela2[[#This Row],[MTRANS]]="Bike"),Tabela2[[#This Row],[FAF_atividade_fisica_frequente_em_horas]]+1,M941)</f>
        <v>2.931527</v>
      </c>
      <c r="V941">
        <f>(Tabela2[[#This Row],[SMOKE]]+Tabela2[[#This Row],[CALC_bebe_alcool_frequentemente]])</f>
        <v>0</v>
      </c>
      <c r="W941" s="8">
        <f>(Tabela2[[#This Row],[Weight]]/(Tabela2[[#This Row],[Height]] ^2))</f>
        <v>25.409883644690453</v>
      </c>
    </row>
    <row r="942" spans="1:23" x14ac:dyDescent="0.25">
      <c r="A942" t="s">
        <v>15</v>
      </c>
      <c r="B942" s="7">
        <v>21</v>
      </c>
      <c r="C942" s="4">
        <v>1.714253</v>
      </c>
      <c r="D942" s="7">
        <v>75</v>
      </c>
      <c r="E942">
        <v>1</v>
      </c>
      <c r="F942">
        <v>1</v>
      </c>
      <c r="G942" s="2">
        <v>2</v>
      </c>
      <c r="H942" s="2">
        <v>3</v>
      </c>
      <c r="I942">
        <v>1</v>
      </c>
      <c r="J942">
        <v>0</v>
      </c>
      <c r="K942" s="2">
        <v>1.0815969999999999</v>
      </c>
      <c r="L942">
        <v>0</v>
      </c>
      <c r="M942" s="7">
        <v>1</v>
      </c>
      <c r="N942" s="7">
        <v>0</v>
      </c>
      <c r="O942">
        <v>1</v>
      </c>
      <c r="P942" t="s">
        <v>14</v>
      </c>
      <c r="Q942">
        <v>2</v>
      </c>
      <c r="R942" s="8">
        <f>(Tabela2[[#This Row],[FAF_atividade_fisica_frequente_em_horas]]+ 0.1)</f>
        <v>1.1000000000000001</v>
      </c>
      <c r="S942" s="1">
        <f>(Tabela2[[#This Row],[TUE_tempo_uso_aparelhos_em_horas]]/Tabela2[[#This Row],[FAF_Var]])</f>
        <v>0</v>
      </c>
      <c r="T942">
        <f>(Tabela2[[#This Row],[CAEC_lanche_entre_refeicoes]]*Tabela2[[#This Row],[FAVC_consumo_frequente_de_alimentos_mt_caloricos]])</f>
        <v>1</v>
      </c>
      <c r="U942" s="1">
        <f>IF(OR(Tabela2[[#This Row],[MTRANS]]="Walking",Tabela2[[#This Row],[MTRANS]]="Bike"),Tabela2[[#This Row],[FAF_atividade_fisica_frequente_em_horas]]+1,M942)</f>
        <v>1</v>
      </c>
      <c r="V942">
        <f>(Tabela2[[#This Row],[SMOKE]]+Tabela2[[#This Row],[CALC_bebe_alcool_frequentemente]])</f>
        <v>1</v>
      </c>
      <c r="W942" s="8">
        <f>(Tabela2[[#This Row],[Weight]]/(Tabela2[[#This Row],[Height]] ^2))</f>
        <v>25.52180740635497</v>
      </c>
    </row>
    <row r="943" spans="1:23" x14ac:dyDescent="0.25">
      <c r="A943" t="s">
        <v>15</v>
      </c>
      <c r="B943" s="7">
        <v>21</v>
      </c>
      <c r="C943" s="4">
        <v>1.6936279999999999</v>
      </c>
      <c r="D943" s="7">
        <v>75</v>
      </c>
      <c r="E943">
        <v>1</v>
      </c>
      <c r="F943">
        <v>1</v>
      </c>
      <c r="G943" s="2">
        <v>2</v>
      </c>
      <c r="H943" s="2">
        <v>3</v>
      </c>
      <c r="I943">
        <v>1</v>
      </c>
      <c r="J943">
        <v>0</v>
      </c>
      <c r="K943" s="2">
        <v>1.8330550000000001</v>
      </c>
      <c r="L943">
        <v>0</v>
      </c>
      <c r="M943" s="7">
        <v>1</v>
      </c>
      <c r="N943" s="7">
        <v>0</v>
      </c>
      <c r="O943">
        <v>1</v>
      </c>
      <c r="P943" t="s">
        <v>14</v>
      </c>
      <c r="Q943">
        <v>2</v>
      </c>
      <c r="R943" s="8">
        <f>(Tabela2[[#This Row],[FAF_atividade_fisica_frequente_em_horas]]+ 0.1)</f>
        <v>1.1000000000000001</v>
      </c>
      <c r="S943" s="1">
        <f>(Tabela2[[#This Row],[TUE_tempo_uso_aparelhos_em_horas]]/Tabela2[[#This Row],[FAF_Var]])</f>
        <v>0</v>
      </c>
      <c r="T943">
        <f>(Tabela2[[#This Row],[CAEC_lanche_entre_refeicoes]]*Tabela2[[#This Row],[FAVC_consumo_frequente_de_alimentos_mt_caloricos]])</f>
        <v>1</v>
      </c>
      <c r="U943" s="1">
        <f>IF(OR(Tabela2[[#This Row],[MTRANS]]="Walking",Tabela2[[#This Row],[MTRANS]]="Bike"),Tabela2[[#This Row],[FAF_atividade_fisica_frequente_em_horas]]+1,M943)</f>
        <v>1</v>
      </c>
      <c r="V943">
        <f>(Tabela2[[#This Row],[SMOKE]]+Tabela2[[#This Row],[CALC_bebe_alcool_frequentemente]])</f>
        <v>1</v>
      </c>
      <c r="W943" s="8">
        <f>(Tabela2[[#This Row],[Weight]]/(Tabela2[[#This Row],[Height]] ^2))</f>
        <v>26.147201471182779</v>
      </c>
    </row>
    <row r="944" spans="1:23" x14ac:dyDescent="0.25">
      <c r="A944" t="s">
        <v>13</v>
      </c>
      <c r="B944" s="7">
        <v>29.463168</v>
      </c>
      <c r="C944" s="4">
        <v>1.6591720000000001</v>
      </c>
      <c r="D944" s="7">
        <v>71.170000999999999</v>
      </c>
      <c r="E944">
        <v>1</v>
      </c>
      <c r="F944">
        <v>1</v>
      </c>
      <c r="G944" s="2">
        <v>2</v>
      </c>
      <c r="H944" s="2">
        <v>3</v>
      </c>
      <c r="I944">
        <v>1</v>
      </c>
      <c r="J944">
        <v>0</v>
      </c>
      <c r="K944" s="2">
        <v>1.2816829999999999</v>
      </c>
      <c r="L944">
        <v>0</v>
      </c>
      <c r="M944" s="7">
        <v>1.609801</v>
      </c>
      <c r="N944" s="7">
        <v>0</v>
      </c>
      <c r="O944">
        <v>1</v>
      </c>
      <c r="P944" t="s">
        <v>17</v>
      </c>
      <c r="Q944">
        <v>2</v>
      </c>
      <c r="R944" s="8">
        <f>(Tabela2[[#This Row],[FAF_atividade_fisica_frequente_em_horas]]+ 0.1)</f>
        <v>1.7098010000000001</v>
      </c>
      <c r="S944" s="1">
        <f>(Tabela2[[#This Row],[TUE_tempo_uso_aparelhos_em_horas]]/Tabela2[[#This Row],[FAF_Var]])</f>
        <v>0</v>
      </c>
      <c r="T944">
        <f>(Tabela2[[#This Row],[CAEC_lanche_entre_refeicoes]]*Tabela2[[#This Row],[FAVC_consumo_frequente_de_alimentos_mt_caloricos]])</f>
        <v>1</v>
      </c>
      <c r="U944" s="1">
        <f>IF(OR(Tabela2[[#This Row],[MTRANS]]="Walking",Tabela2[[#This Row],[MTRANS]]="Bike"),Tabela2[[#This Row],[FAF_atividade_fisica_frequente_em_horas]]+1,M944)</f>
        <v>1.609801</v>
      </c>
      <c r="V944">
        <f>(Tabela2[[#This Row],[SMOKE]]+Tabela2[[#This Row],[CALC_bebe_alcool_frequentemente]])</f>
        <v>1</v>
      </c>
      <c r="W944" s="8">
        <f>(Tabela2[[#This Row],[Weight]]/(Tabela2[[#This Row],[Height]] ^2))</f>
        <v>25.853190834279943</v>
      </c>
    </row>
    <row r="945" spans="1:23" x14ac:dyDescent="0.25">
      <c r="A945" t="s">
        <v>15</v>
      </c>
      <c r="B945" s="7">
        <v>24.284860999999999</v>
      </c>
      <c r="C945" s="4">
        <v>1.7763469999999999</v>
      </c>
      <c r="D945" s="7">
        <v>82.329047000000003</v>
      </c>
      <c r="E945">
        <v>1</v>
      </c>
      <c r="F945">
        <v>1</v>
      </c>
      <c r="G945" s="2">
        <v>1.989905</v>
      </c>
      <c r="H945" s="2">
        <v>3.0548989999999998</v>
      </c>
      <c r="I945">
        <v>1</v>
      </c>
      <c r="J945">
        <v>0</v>
      </c>
      <c r="K945" s="2">
        <v>2.0809679999999999</v>
      </c>
      <c r="L945">
        <v>0</v>
      </c>
      <c r="M945" s="7">
        <v>1.1075429999999999</v>
      </c>
      <c r="N945" s="7">
        <v>0.93972599999999995</v>
      </c>
      <c r="O945">
        <v>0</v>
      </c>
      <c r="P945" t="s">
        <v>14</v>
      </c>
      <c r="Q945">
        <v>2</v>
      </c>
      <c r="R945" s="8">
        <f>(Tabela2[[#This Row],[FAF_atividade_fisica_frequente_em_horas]]+ 0.1)</f>
        <v>1.207543</v>
      </c>
      <c r="S945" s="1">
        <f>(Tabela2[[#This Row],[TUE_tempo_uso_aparelhos_em_horas]]/Tabela2[[#This Row],[FAF_Var]])</f>
        <v>0.7782132810177359</v>
      </c>
      <c r="T945">
        <f>(Tabela2[[#This Row],[CAEC_lanche_entre_refeicoes]]*Tabela2[[#This Row],[FAVC_consumo_frequente_de_alimentos_mt_caloricos]])</f>
        <v>1</v>
      </c>
      <c r="U945" s="1">
        <f>IF(OR(Tabela2[[#This Row],[MTRANS]]="Walking",Tabela2[[#This Row],[MTRANS]]="Bike"),Tabela2[[#This Row],[FAF_atividade_fisica_frequente_em_horas]]+1,M945)</f>
        <v>1.1075429999999999</v>
      </c>
      <c r="V945">
        <f>(Tabela2[[#This Row],[SMOKE]]+Tabela2[[#This Row],[CALC_bebe_alcool_frequentemente]])</f>
        <v>0</v>
      </c>
      <c r="W945" s="8">
        <f>(Tabela2[[#This Row],[Weight]]/(Tabela2[[#This Row],[Height]] ^2))</f>
        <v>26.091405505923596</v>
      </c>
    </row>
    <row r="946" spans="1:23" x14ac:dyDescent="0.25">
      <c r="A946" t="s">
        <v>15</v>
      </c>
      <c r="B946" s="7">
        <v>26.288416999999999</v>
      </c>
      <c r="C946" s="4">
        <v>1.767806</v>
      </c>
      <c r="D946" s="7">
        <v>82.694688999999997</v>
      </c>
      <c r="E946">
        <v>1</v>
      </c>
      <c r="F946">
        <v>1</v>
      </c>
      <c r="G946" s="2">
        <v>1.9474050000000001</v>
      </c>
      <c r="H946" s="2">
        <v>3.1180129999999999</v>
      </c>
      <c r="I946">
        <v>1</v>
      </c>
      <c r="J946">
        <v>0</v>
      </c>
      <c r="K946" s="2">
        <v>2.1361590000000001</v>
      </c>
      <c r="L946">
        <v>0</v>
      </c>
      <c r="M946" s="7">
        <v>0.78396299999999997</v>
      </c>
      <c r="N946" s="7">
        <v>0.88868000000000003</v>
      </c>
      <c r="O946">
        <v>0</v>
      </c>
      <c r="P946" t="s">
        <v>14</v>
      </c>
      <c r="Q946">
        <v>2</v>
      </c>
      <c r="R946" s="8">
        <f>(Tabela2[[#This Row],[FAF_atividade_fisica_frequente_em_horas]]+ 0.1)</f>
        <v>0.88396299999999994</v>
      </c>
      <c r="S946" s="1">
        <f>(Tabela2[[#This Row],[TUE_tempo_uso_aparelhos_em_horas]]/Tabela2[[#This Row],[FAF_Var]])</f>
        <v>1.0053361961982572</v>
      </c>
      <c r="T946">
        <f>(Tabela2[[#This Row],[CAEC_lanche_entre_refeicoes]]*Tabela2[[#This Row],[FAVC_consumo_frequente_de_alimentos_mt_caloricos]])</f>
        <v>1</v>
      </c>
      <c r="U946" s="1">
        <f>IF(OR(Tabela2[[#This Row],[MTRANS]]="Walking",Tabela2[[#This Row],[MTRANS]]="Bike"),Tabela2[[#This Row],[FAF_atividade_fisica_frequente_em_horas]]+1,M946)</f>
        <v>0.78396299999999997</v>
      </c>
      <c r="V946">
        <f>(Tabela2[[#This Row],[SMOKE]]+Tabela2[[#This Row],[CALC_bebe_alcool_frequentemente]])</f>
        <v>0</v>
      </c>
      <c r="W946" s="8">
        <f>(Tabela2[[#This Row],[Weight]]/(Tabela2[[#This Row],[Height]] ^2))</f>
        <v>26.461131502266699</v>
      </c>
    </row>
    <row r="947" spans="1:23" x14ac:dyDescent="0.25">
      <c r="A947" t="s">
        <v>15</v>
      </c>
      <c r="B947" s="7">
        <v>23.455324000000001</v>
      </c>
      <c r="C947" s="4">
        <v>1.7025159999999999</v>
      </c>
      <c r="D947" s="7">
        <v>75</v>
      </c>
      <c r="E947">
        <v>1</v>
      </c>
      <c r="F947">
        <v>1</v>
      </c>
      <c r="G947" s="2">
        <v>2.1625190000000001</v>
      </c>
      <c r="H947" s="2">
        <v>3</v>
      </c>
      <c r="I947">
        <v>1</v>
      </c>
      <c r="J947">
        <v>0</v>
      </c>
      <c r="K947" s="2">
        <v>2.152666</v>
      </c>
      <c r="L947">
        <v>0</v>
      </c>
      <c r="M947" s="7">
        <v>1.078074</v>
      </c>
      <c r="N947" s="7">
        <v>1.502839</v>
      </c>
      <c r="O947">
        <v>1</v>
      </c>
      <c r="P947" t="s">
        <v>14</v>
      </c>
      <c r="Q947">
        <v>2</v>
      </c>
      <c r="R947" s="8">
        <f>(Tabela2[[#This Row],[FAF_atividade_fisica_frequente_em_horas]]+ 0.1)</f>
        <v>1.1780740000000001</v>
      </c>
      <c r="S947" s="1">
        <f>(Tabela2[[#This Row],[TUE_tempo_uso_aparelhos_em_horas]]/Tabela2[[#This Row],[FAF_Var]])</f>
        <v>1.2756745331787307</v>
      </c>
      <c r="T947">
        <f>(Tabela2[[#This Row],[CAEC_lanche_entre_refeicoes]]*Tabela2[[#This Row],[FAVC_consumo_frequente_de_alimentos_mt_caloricos]])</f>
        <v>1</v>
      </c>
      <c r="U947" s="1">
        <f>IF(OR(Tabela2[[#This Row],[MTRANS]]="Walking",Tabela2[[#This Row],[MTRANS]]="Bike"),Tabela2[[#This Row],[FAF_atividade_fisica_frequente_em_horas]]+1,M947)</f>
        <v>1.078074</v>
      </c>
      <c r="V947">
        <f>(Tabela2[[#This Row],[SMOKE]]+Tabela2[[#This Row],[CALC_bebe_alcool_frequentemente]])</f>
        <v>1</v>
      </c>
      <c r="W947" s="8">
        <f>(Tabela2[[#This Row],[Weight]]/(Tabela2[[#This Row],[Height]] ^2))</f>
        <v>25.874910681404295</v>
      </c>
    </row>
    <row r="948" spans="1:23" x14ac:dyDescent="0.25">
      <c r="A948" t="s">
        <v>15</v>
      </c>
      <c r="B948" s="7">
        <v>19.637203</v>
      </c>
      <c r="C948" s="4">
        <v>1.814182</v>
      </c>
      <c r="D948" s="7">
        <v>85.301029</v>
      </c>
      <c r="E948">
        <v>1</v>
      </c>
      <c r="F948">
        <v>1</v>
      </c>
      <c r="G948" s="2">
        <v>2.9239160000000002</v>
      </c>
      <c r="H948" s="2">
        <v>3.3358759999999998</v>
      </c>
      <c r="I948">
        <v>1</v>
      </c>
      <c r="J948">
        <v>0</v>
      </c>
      <c r="K948" s="2">
        <v>2.3724440000000002</v>
      </c>
      <c r="L948">
        <v>0</v>
      </c>
      <c r="M948" s="7">
        <v>1.305633</v>
      </c>
      <c r="N948" s="7">
        <v>0.31143599999999999</v>
      </c>
      <c r="O948">
        <v>1</v>
      </c>
      <c r="P948" t="s">
        <v>14</v>
      </c>
      <c r="Q948">
        <v>2</v>
      </c>
      <c r="R948" s="8">
        <f>(Tabela2[[#This Row],[FAF_atividade_fisica_frequente_em_horas]]+ 0.1)</f>
        <v>1.4056330000000001</v>
      </c>
      <c r="S948" s="1">
        <f>(Tabela2[[#This Row],[TUE_tempo_uso_aparelhos_em_horas]]/Tabela2[[#This Row],[FAF_Var]])</f>
        <v>0.22156281191463204</v>
      </c>
      <c r="T948">
        <f>(Tabela2[[#This Row],[CAEC_lanche_entre_refeicoes]]*Tabela2[[#This Row],[FAVC_consumo_frequente_de_alimentos_mt_caloricos]])</f>
        <v>1</v>
      </c>
      <c r="U948" s="1">
        <f>IF(OR(Tabela2[[#This Row],[MTRANS]]="Walking",Tabela2[[#This Row],[MTRANS]]="Bike"),Tabela2[[#This Row],[FAF_atividade_fisica_frequente_em_horas]]+1,M948)</f>
        <v>1.305633</v>
      </c>
      <c r="V948">
        <f>(Tabela2[[#This Row],[SMOKE]]+Tabela2[[#This Row],[CALC_bebe_alcool_frequentemente]])</f>
        <v>1</v>
      </c>
      <c r="W948" s="8">
        <f>(Tabela2[[#This Row],[Weight]]/(Tabela2[[#This Row],[Height]] ^2))</f>
        <v>25.917467516941684</v>
      </c>
    </row>
    <row r="949" spans="1:23" x14ac:dyDescent="0.25">
      <c r="A949" t="s">
        <v>13</v>
      </c>
      <c r="B949" s="7">
        <v>22.239836</v>
      </c>
      <c r="C949" s="4">
        <v>1.5999399999999999</v>
      </c>
      <c r="D949" s="7">
        <v>65.423941999999997</v>
      </c>
      <c r="E949">
        <v>0</v>
      </c>
      <c r="F949">
        <v>1</v>
      </c>
      <c r="G949" s="2">
        <v>2.9944799999999998</v>
      </c>
      <c r="H949" s="2">
        <v>3</v>
      </c>
      <c r="I949">
        <v>1</v>
      </c>
      <c r="J949">
        <v>0</v>
      </c>
      <c r="K949" s="2">
        <v>1.7065680000000001</v>
      </c>
      <c r="L949">
        <v>0</v>
      </c>
      <c r="M949" s="7">
        <v>0.78421600000000002</v>
      </c>
      <c r="N949" s="7">
        <v>0.15096899999999999</v>
      </c>
      <c r="O949">
        <v>1</v>
      </c>
      <c r="P949" t="s">
        <v>14</v>
      </c>
      <c r="Q949">
        <v>2</v>
      </c>
      <c r="R949" s="8">
        <f>(Tabela2[[#This Row],[FAF_atividade_fisica_frequente_em_horas]]+ 0.1)</f>
        <v>0.884216</v>
      </c>
      <c r="S949" s="1">
        <f>(Tabela2[[#This Row],[TUE_tempo_uso_aparelhos_em_horas]]/Tabela2[[#This Row],[FAF_Var]])</f>
        <v>0.17073769305237632</v>
      </c>
      <c r="T949">
        <f>(Tabela2[[#This Row],[CAEC_lanche_entre_refeicoes]]*Tabela2[[#This Row],[FAVC_consumo_frequente_de_alimentos_mt_caloricos]])</f>
        <v>1</v>
      </c>
      <c r="U949" s="1">
        <f>IF(OR(Tabela2[[#This Row],[MTRANS]]="Walking",Tabela2[[#This Row],[MTRANS]]="Bike"),Tabela2[[#This Row],[FAF_atividade_fisica_frequente_em_horas]]+1,M949)</f>
        <v>0.78421600000000002</v>
      </c>
      <c r="V949">
        <f>(Tabela2[[#This Row],[SMOKE]]+Tabela2[[#This Row],[CALC_bebe_alcool_frequentemente]])</f>
        <v>1</v>
      </c>
      <c r="W949" s="8">
        <f>(Tabela2[[#This Row],[Weight]]/(Tabela2[[#This Row],[Height]] ^2))</f>
        <v>25.558144168621507</v>
      </c>
    </row>
    <row r="950" spans="1:23" x14ac:dyDescent="0.25">
      <c r="A950" t="s">
        <v>13</v>
      </c>
      <c r="B950" s="7">
        <v>31.626380000000001</v>
      </c>
      <c r="C950" s="4">
        <v>1.666023</v>
      </c>
      <c r="D950" s="7">
        <v>72.906186000000005</v>
      </c>
      <c r="E950">
        <v>1</v>
      </c>
      <c r="F950">
        <v>1</v>
      </c>
      <c r="G950" s="2">
        <v>2</v>
      </c>
      <c r="H950" s="2">
        <v>3</v>
      </c>
      <c r="I950">
        <v>1</v>
      </c>
      <c r="J950">
        <v>0</v>
      </c>
      <c r="K950" s="2">
        <v>1</v>
      </c>
      <c r="L950">
        <v>0</v>
      </c>
      <c r="M950" s="7">
        <v>0</v>
      </c>
      <c r="N950" s="7">
        <v>1.301385</v>
      </c>
      <c r="O950">
        <v>1</v>
      </c>
      <c r="P950" t="s">
        <v>17</v>
      </c>
      <c r="Q950">
        <v>2</v>
      </c>
      <c r="R950" s="8">
        <f>(Tabela2[[#This Row],[FAF_atividade_fisica_frequente_em_horas]]+ 0.1)</f>
        <v>0.1</v>
      </c>
      <c r="S950" s="1">
        <f>(Tabela2[[#This Row],[TUE_tempo_uso_aparelhos_em_horas]]/Tabela2[[#This Row],[FAF_Var]])</f>
        <v>13.01385</v>
      </c>
      <c r="T950">
        <f>(Tabela2[[#This Row],[CAEC_lanche_entre_refeicoes]]*Tabela2[[#This Row],[FAVC_consumo_frequente_de_alimentos_mt_caloricos]])</f>
        <v>1</v>
      </c>
      <c r="U950" s="1">
        <f>IF(OR(Tabela2[[#This Row],[MTRANS]]="Walking",Tabela2[[#This Row],[MTRANS]]="Bike"),Tabela2[[#This Row],[FAF_atividade_fisica_frequente_em_horas]]+1,M950)</f>
        <v>0</v>
      </c>
      <c r="V950">
        <f>(Tabela2[[#This Row],[SMOKE]]+Tabela2[[#This Row],[CALC_bebe_alcool_frequentemente]])</f>
        <v>1</v>
      </c>
      <c r="W950" s="8">
        <f>(Tabela2[[#This Row],[Weight]]/(Tabela2[[#This Row],[Height]] ^2))</f>
        <v>26.266511295663054</v>
      </c>
    </row>
    <row r="951" spans="1:23" x14ac:dyDescent="0.25">
      <c r="A951" t="s">
        <v>15</v>
      </c>
      <c r="B951" s="7">
        <v>23</v>
      </c>
      <c r="C951" s="4">
        <v>1.701584</v>
      </c>
      <c r="D951" s="7">
        <v>75.093569000000002</v>
      </c>
      <c r="E951">
        <v>1</v>
      </c>
      <c r="F951">
        <v>1</v>
      </c>
      <c r="G951" s="2">
        <v>3</v>
      </c>
      <c r="H951" s="2">
        <v>3.205009</v>
      </c>
      <c r="I951">
        <v>1</v>
      </c>
      <c r="J951">
        <v>0</v>
      </c>
      <c r="K951" s="2">
        <v>2.6434679999999999</v>
      </c>
      <c r="L951">
        <v>0</v>
      </c>
      <c r="M951" s="7">
        <v>0.99803900000000001</v>
      </c>
      <c r="N951" s="7">
        <v>1.898139</v>
      </c>
      <c r="O951">
        <v>1</v>
      </c>
      <c r="P951" t="s">
        <v>14</v>
      </c>
      <c r="Q951">
        <v>2</v>
      </c>
      <c r="R951" s="8">
        <f>(Tabela2[[#This Row],[FAF_atividade_fisica_frequente_em_horas]]+ 0.1)</f>
        <v>1.098039</v>
      </c>
      <c r="S951" s="1">
        <f>(Tabela2[[#This Row],[TUE_tempo_uso_aparelhos_em_horas]]/Tabela2[[#This Row],[FAF_Var]])</f>
        <v>1.7286626431301622</v>
      </c>
      <c r="T951">
        <f>(Tabela2[[#This Row],[CAEC_lanche_entre_refeicoes]]*Tabela2[[#This Row],[FAVC_consumo_frequente_de_alimentos_mt_caloricos]])</f>
        <v>1</v>
      </c>
      <c r="U951" s="1">
        <f>IF(OR(Tabela2[[#This Row],[MTRANS]]="Walking",Tabela2[[#This Row],[MTRANS]]="Bike"),Tabela2[[#This Row],[FAF_atividade_fisica_frequente_em_horas]]+1,M951)</f>
        <v>0.99803900000000001</v>
      </c>
      <c r="V951">
        <f>(Tabela2[[#This Row],[SMOKE]]+Tabela2[[#This Row],[CALC_bebe_alcool_frequentemente]])</f>
        <v>1</v>
      </c>
      <c r="W951" s="8">
        <f>(Tabela2[[#This Row],[Weight]]/(Tabela2[[#This Row],[Height]] ^2))</f>
        <v>25.93557967760087</v>
      </c>
    </row>
    <row r="952" spans="1:23" x14ac:dyDescent="0.25">
      <c r="A952" t="s">
        <v>15</v>
      </c>
      <c r="B952" s="7">
        <v>22.874658</v>
      </c>
      <c r="C952" s="4">
        <v>1.7133430000000001</v>
      </c>
      <c r="D952" s="7">
        <v>75.828119000000001</v>
      </c>
      <c r="E952">
        <v>1</v>
      </c>
      <c r="F952">
        <v>1</v>
      </c>
      <c r="G952" s="2">
        <v>2.507841</v>
      </c>
      <c r="H952" s="2">
        <v>3.6481940000000002</v>
      </c>
      <c r="I952">
        <v>1</v>
      </c>
      <c r="J952">
        <v>0</v>
      </c>
      <c r="K952" s="2">
        <v>1.2797559999999999</v>
      </c>
      <c r="L952">
        <v>0</v>
      </c>
      <c r="M952" s="7">
        <v>0.132629</v>
      </c>
      <c r="N952" s="7">
        <v>1.8275300000000001</v>
      </c>
      <c r="O952">
        <v>1</v>
      </c>
      <c r="P952" t="s">
        <v>14</v>
      </c>
      <c r="Q952">
        <v>2</v>
      </c>
      <c r="R952" s="8">
        <f>(Tabela2[[#This Row],[FAF_atividade_fisica_frequente_em_horas]]+ 0.1)</f>
        <v>0.232629</v>
      </c>
      <c r="S952" s="1">
        <f>(Tabela2[[#This Row],[TUE_tempo_uso_aparelhos_em_horas]]/Tabela2[[#This Row],[FAF_Var]])</f>
        <v>7.8559852812847932</v>
      </c>
      <c r="T952">
        <f>(Tabela2[[#This Row],[CAEC_lanche_entre_refeicoes]]*Tabela2[[#This Row],[FAVC_consumo_frequente_de_alimentos_mt_caloricos]])</f>
        <v>1</v>
      </c>
      <c r="U952" s="1">
        <f>IF(OR(Tabela2[[#This Row],[MTRANS]]="Walking",Tabela2[[#This Row],[MTRANS]]="Bike"),Tabela2[[#This Row],[FAF_atividade_fisica_frequente_em_horas]]+1,M952)</f>
        <v>0.132629</v>
      </c>
      <c r="V952">
        <f>(Tabela2[[#This Row],[SMOKE]]+Tabela2[[#This Row],[CALC_bebe_alcool_frequentemente]])</f>
        <v>1</v>
      </c>
      <c r="W952" s="8">
        <f>(Tabela2[[#This Row],[Weight]]/(Tabela2[[#This Row],[Height]] ^2))</f>
        <v>25.831025838122198</v>
      </c>
    </row>
    <row r="953" spans="1:23" x14ac:dyDescent="0.25">
      <c r="A953" t="s">
        <v>13</v>
      </c>
      <c r="B953" s="7">
        <v>17.420269000000001</v>
      </c>
      <c r="C953" s="4">
        <v>1.489409</v>
      </c>
      <c r="D953" s="7">
        <v>53.620604</v>
      </c>
      <c r="E953">
        <v>0</v>
      </c>
      <c r="F953">
        <v>1</v>
      </c>
      <c r="G953" s="2">
        <v>1.836554</v>
      </c>
      <c r="H953" s="2">
        <v>1.865238</v>
      </c>
      <c r="I953">
        <v>1</v>
      </c>
      <c r="J953">
        <v>0</v>
      </c>
      <c r="K953" s="2">
        <v>2</v>
      </c>
      <c r="L953">
        <v>1</v>
      </c>
      <c r="M953" s="7">
        <v>0.32020900000000002</v>
      </c>
      <c r="N953" s="7">
        <v>1.9695069999999999</v>
      </c>
      <c r="O953">
        <v>1</v>
      </c>
      <c r="P953" t="s">
        <v>14</v>
      </c>
      <c r="Q953">
        <v>2</v>
      </c>
      <c r="R953" s="8">
        <f>(Tabela2[[#This Row],[FAF_atividade_fisica_frequente_em_horas]]+ 0.1)</f>
        <v>0.42020900000000005</v>
      </c>
      <c r="S953" s="1">
        <f>(Tabela2[[#This Row],[TUE_tempo_uso_aparelhos_em_horas]]/Tabela2[[#This Row],[FAF_Var]])</f>
        <v>4.6869700553772047</v>
      </c>
      <c r="T953">
        <f>(Tabela2[[#This Row],[CAEC_lanche_entre_refeicoes]]*Tabela2[[#This Row],[FAVC_consumo_frequente_de_alimentos_mt_caloricos]])</f>
        <v>1</v>
      </c>
      <c r="U953" s="1">
        <f>IF(OR(Tabela2[[#This Row],[MTRANS]]="Walking",Tabela2[[#This Row],[MTRANS]]="Bike"),Tabela2[[#This Row],[FAF_atividade_fisica_frequente_em_horas]]+1,M953)</f>
        <v>0.32020900000000002</v>
      </c>
      <c r="V953">
        <f>(Tabela2[[#This Row],[SMOKE]]+Tabela2[[#This Row],[CALC_bebe_alcool_frequentemente]])</f>
        <v>1</v>
      </c>
      <c r="W953" s="8">
        <f>(Tabela2[[#This Row],[Weight]]/(Tabela2[[#This Row],[Height]] ^2))</f>
        <v>24.171508461160748</v>
      </c>
    </row>
    <row r="954" spans="1:23" x14ac:dyDescent="0.25">
      <c r="A954" t="s">
        <v>13</v>
      </c>
      <c r="B954" s="7">
        <v>17.807828000000001</v>
      </c>
      <c r="C954" s="4">
        <v>1.5180670000000001</v>
      </c>
      <c r="D954" s="7">
        <v>55.822119000000001</v>
      </c>
      <c r="E954">
        <v>0</v>
      </c>
      <c r="F954">
        <v>1</v>
      </c>
      <c r="G954" s="2">
        <v>1.7732650000000001</v>
      </c>
      <c r="H954" s="2">
        <v>2.118153</v>
      </c>
      <c r="I954">
        <v>1</v>
      </c>
      <c r="J954">
        <v>0</v>
      </c>
      <c r="K954" s="2">
        <v>1.0752390000000001</v>
      </c>
      <c r="L954">
        <v>1</v>
      </c>
      <c r="M954" s="7">
        <v>8.5388000000000006E-2</v>
      </c>
      <c r="N954" s="7">
        <v>1.9151910000000001</v>
      </c>
      <c r="O954">
        <v>1</v>
      </c>
      <c r="P954" t="s">
        <v>14</v>
      </c>
      <c r="Q954">
        <v>2</v>
      </c>
      <c r="R954" s="8">
        <f>(Tabela2[[#This Row],[FAF_atividade_fisica_frequente_em_horas]]+ 0.1)</f>
        <v>0.185388</v>
      </c>
      <c r="S954" s="1">
        <f>(Tabela2[[#This Row],[TUE_tempo_uso_aparelhos_em_horas]]/Tabela2[[#This Row],[FAF_Var]])</f>
        <v>10.330717198524177</v>
      </c>
      <c r="T954">
        <f>(Tabela2[[#This Row],[CAEC_lanche_entre_refeicoes]]*Tabela2[[#This Row],[FAVC_consumo_frequente_de_alimentos_mt_caloricos]])</f>
        <v>1</v>
      </c>
      <c r="U954" s="1">
        <f>IF(OR(Tabela2[[#This Row],[MTRANS]]="Walking",Tabela2[[#This Row],[MTRANS]]="Bike"),Tabela2[[#This Row],[FAF_atividade_fisica_frequente_em_horas]]+1,M954)</f>
        <v>8.5388000000000006E-2</v>
      </c>
      <c r="V954">
        <f>(Tabela2[[#This Row],[SMOKE]]+Tabela2[[#This Row],[CALC_bebe_alcool_frequentemente]])</f>
        <v>1</v>
      </c>
      <c r="W954" s="8">
        <f>(Tabela2[[#This Row],[Weight]]/(Tabela2[[#This Row],[Height]] ^2))</f>
        <v>24.222805335527866</v>
      </c>
    </row>
    <row r="955" spans="1:23" x14ac:dyDescent="0.25">
      <c r="A955" t="s">
        <v>13</v>
      </c>
      <c r="B955" s="7">
        <v>16.240576000000001</v>
      </c>
      <c r="C955" s="4">
        <v>1.616533</v>
      </c>
      <c r="D955" s="7">
        <v>65.062944999999999</v>
      </c>
      <c r="E955">
        <v>1</v>
      </c>
      <c r="F955">
        <v>1</v>
      </c>
      <c r="G955" s="2">
        <v>2.3881679999999998</v>
      </c>
      <c r="H955" s="2">
        <v>1</v>
      </c>
      <c r="I955">
        <v>1</v>
      </c>
      <c r="J955">
        <v>0</v>
      </c>
      <c r="K955" s="2">
        <v>1.438018</v>
      </c>
      <c r="L955">
        <v>1</v>
      </c>
      <c r="M955" s="7">
        <v>0.110887</v>
      </c>
      <c r="N955" s="7">
        <v>1.1658170000000001</v>
      </c>
      <c r="O955">
        <v>0</v>
      </c>
      <c r="P955" t="s">
        <v>14</v>
      </c>
      <c r="Q955">
        <v>2</v>
      </c>
      <c r="R955" s="8">
        <f>(Tabela2[[#This Row],[FAF_atividade_fisica_frequente_em_horas]]+ 0.1)</f>
        <v>0.21088699999999999</v>
      </c>
      <c r="S955" s="1">
        <f>(Tabela2[[#This Row],[TUE_tempo_uso_aparelhos_em_horas]]/Tabela2[[#This Row],[FAF_Var]])</f>
        <v>5.5281596305130245</v>
      </c>
      <c r="T955">
        <f>(Tabela2[[#This Row],[CAEC_lanche_entre_refeicoes]]*Tabela2[[#This Row],[FAVC_consumo_frequente_de_alimentos_mt_caloricos]])</f>
        <v>1</v>
      </c>
      <c r="U955" s="1">
        <f>IF(OR(Tabela2[[#This Row],[MTRANS]]="Walking",Tabela2[[#This Row],[MTRANS]]="Bike"),Tabela2[[#This Row],[FAF_atividade_fisica_frequente_em_horas]]+1,M955)</f>
        <v>0.110887</v>
      </c>
      <c r="V955">
        <f>(Tabela2[[#This Row],[SMOKE]]+Tabela2[[#This Row],[CALC_bebe_alcool_frequentemente]])</f>
        <v>0</v>
      </c>
      <c r="W955" s="8">
        <f>(Tabela2[[#This Row],[Weight]]/(Tabela2[[#This Row],[Height]] ^2))</f>
        <v>24.898006027013242</v>
      </c>
    </row>
    <row r="956" spans="1:23" x14ac:dyDescent="0.25">
      <c r="A956" t="s">
        <v>13</v>
      </c>
      <c r="B956" s="7">
        <v>23.252457</v>
      </c>
      <c r="C956" s="4">
        <v>1.5896159999999999</v>
      </c>
      <c r="D956" s="7">
        <v>65.127324000000002</v>
      </c>
      <c r="E956">
        <v>0</v>
      </c>
      <c r="F956">
        <v>1</v>
      </c>
      <c r="G956" s="2">
        <v>2.286146</v>
      </c>
      <c r="H956" s="2">
        <v>2.9611130000000001</v>
      </c>
      <c r="I956">
        <v>1</v>
      </c>
      <c r="J956">
        <v>0</v>
      </c>
      <c r="K956" s="2">
        <v>2.6573030000000002</v>
      </c>
      <c r="L956">
        <v>0</v>
      </c>
      <c r="M956" s="7">
        <v>1.9110799999999999</v>
      </c>
      <c r="N956" s="7">
        <v>1.6182270000000001</v>
      </c>
      <c r="O956">
        <v>1</v>
      </c>
      <c r="P956" t="s">
        <v>14</v>
      </c>
      <c r="Q956">
        <v>2</v>
      </c>
      <c r="R956" s="8">
        <f>(Tabela2[[#This Row],[FAF_atividade_fisica_frequente_em_horas]]+ 0.1)</f>
        <v>2.0110799999999998</v>
      </c>
      <c r="S956" s="1">
        <f>(Tabela2[[#This Row],[TUE_tempo_uso_aparelhos_em_horas]]/Tabela2[[#This Row],[FAF_Var]])</f>
        <v>0.80465570738110881</v>
      </c>
      <c r="T956">
        <f>(Tabela2[[#This Row],[CAEC_lanche_entre_refeicoes]]*Tabela2[[#This Row],[FAVC_consumo_frequente_de_alimentos_mt_caloricos]])</f>
        <v>1</v>
      </c>
      <c r="U956" s="1">
        <f>IF(OR(Tabela2[[#This Row],[MTRANS]]="Walking",Tabela2[[#This Row],[MTRANS]]="Bike"),Tabela2[[#This Row],[FAF_atividade_fisica_frequente_em_horas]]+1,M956)</f>
        <v>1.9110799999999999</v>
      </c>
      <c r="V956">
        <f>(Tabela2[[#This Row],[SMOKE]]+Tabela2[[#This Row],[CALC_bebe_alcool_frequentemente]])</f>
        <v>1</v>
      </c>
      <c r="W956" s="8">
        <f>(Tabela2[[#This Row],[Weight]]/(Tabela2[[#This Row],[Height]] ^2))</f>
        <v>25.773819519001115</v>
      </c>
    </row>
    <row r="957" spans="1:23" x14ac:dyDescent="0.25">
      <c r="A957" t="s">
        <v>13</v>
      </c>
      <c r="B957" s="7">
        <v>34.772902000000002</v>
      </c>
      <c r="C957" s="4">
        <v>1.6756120000000001</v>
      </c>
      <c r="D957" s="7">
        <v>73.501232999999999</v>
      </c>
      <c r="E957">
        <v>1</v>
      </c>
      <c r="F957">
        <v>1</v>
      </c>
      <c r="G957" s="2">
        <v>3</v>
      </c>
      <c r="H957" s="2">
        <v>2.4009429999999998</v>
      </c>
      <c r="I957">
        <v>1</v>
      </c>
      <c r="J957">
        <v>0</v>
      </c>
      <c r="K957" s="2">
        <v>1.5097339999999999</v>
      </c>
      <c r="L957">
        <v>0</v>
      </c>
      <c r="M957" s="7">
        <v>0.167125</v>
      </c>
      <c r="N957" s="7">
        <v>0</v>
      </c>
      <c r="O957">
        <v>1</v>
      </c>
      <c r="P957" t="s">
        <v>17</v>
      </c>
      <c r="Q957">
        <v>2</v>
      </c>
      <c r="R957" s="8">
        <f>(Tabela2[[#This Row],[FAF_atividade_fisica_frequente_em_horas]]+ 0.1)</f>
        <v>0.267125</v>
      </c>
      <c r="S957" s="1">
        <f>(Tabela2[[#This Row],[TUE_tempo_uso_aparelhos_em_horas]]/Tabela2[[#This Row],[FAF_Var]])</f>
        <v>0</v>
      </c>
      <c r="T957">
        <f>(Tabela2[[#This Row],[CAEC_lanche_entre_refeicoes]]*Tabela2[[#This Row],[FAVC_consumo_frequente_de_alimentos_mt_caloricos]])</f>
        <v>1</v>
      </c>
      <c r="U957" s="1">
        <f>IF(OR(Tabela2[[#This Row],[MTRANS]]="Walking",Tabela2[[#This Row],[MTRANS]]="Bike"),Tabela2[[#This Row],[FAF_atividade_fisica_frequente_em_horas]]+1,M957)</f>
        <v>0.167125</v>
      </c>
      <c r="V957">
        <f>(Tabela2[[#This Row],[SMOKE]]+Tabela2[[#This Row],[CALC_bebe_alcool_frequentemente]])</f>
        <v>1</v>
      </c>
      <c r="W957" s="8">
        <f>(Tabela2[[#This Row],[Weight]]/(Tabela2[[#This Row],[Height]] ^2))</f>
        <v>26.178677360876161</v>
      </c>
    </row>
    <row r="958" spans="1:23" x14ac:dyDescent="0.25">
      <c r="A958" t="s">
        <v>15</v>
      </c>
      <c r="B958" s="7">
        <v>22.766227000000001</v>
      </c>
      <c r="C958" s="4">
        <v>1.874061</v>
      </c>
      <c r="D958" s="7">
        <v>89.754301999999996</v>
      </c>
      <c r="E958">
        <v>1</v>
      </c>
      <c r="F958">
        <v>1</v>
      </c>
      <c r="G958" s="2">
        <v>2</v>
      </c>
      <c r="H958" s="2">
        <v>2.8700049999999999</v>
      </c>
      <c r="I958">
        <v>1</v>
      </c>
      <c r="J958">
        <v>0</v>
      </c>
      <c r="K958" s="2">
        <v>1.1503099999999999</v>
      </c>
      <c r="L958">
        <v>0</v>
      </c>
      <c r="M958" s="7">
        <v>0.41772399999999998</v>
      </c>
      <c r="N958" s="7">
        <v>1</v>
      </c>
      <c r="O958">
        <v>1</v>
      </c>
      <c r="P958" t="s">
        <v>17</v>
      </c>
      <c r="Q958">
        <v>2</v>
      </c>
      <c r="R958" s="8">
        <f>(Tabela2[[#This Row],[FAF_atividade_fisica_frequente_em_horas]]+ 0.1)</f>
        <v>0.51772399999999996</v>
      </c>
      <c r="S958" s="1">
        <f>(Tabela2[[#This Row],[TUE_tempo_uso_aparelhos_em_horas]]/Tabela2[[#This Row],[FAF_Var]])</f>
        <v>1.9315310860612993</v>
      </c>
      <c r="T958">
        <f>(Tabela2[[#This Row],[CAEC_lanche_entre_refeicoes]]*Tabela2[[#This Row],[FAVC_consumo_frequente_de_alimentos_mt_caloricos]])</f>
        <v>1</v>
      </c>
      <c r="U958" s="1">
        <f>IF(OR(Tabela2[[#This Row],[MTRANS]]="Walking",Tabela2[[#This Row],[MTRANS]]="Bike"),Tabela2[[#This Row],[FAF_atividade_fisica_frequente_em_horas]]+1,M958)</f>
        <v>0.41772399999999998</v>
      </c>
      <c r="V958">
        <f>(Tabela2[[#This Row],[SMOKE]]+Tabela2[[#This Row],[CALC_bebe_alcool_frequentemente]])</f>
        <v>1</v>
      </c>
      <c r="W958" s="8">
        <f>(Tabela2[[#This Row],[Weight]]/(Tabela2[[#This Row],[Height]] ^2))</f>
        <v>25.555702751378064</v>
      </c>
    </row>
    <row r="959" spans="1:23" x14ac:dyDescent="0.25">
      <c r="A959" t="s">
        <v>13</v>
      </c>
      <c r="B959" s="7">
        <v>39.214514000000001</v>
      </c>
      <c r="C959" s="4">
        <v>1.580765</v>
      </c>
      <c r="D959" s="7">
        <v>62.631382000000002</v>
      </c>
      <c r="E959">
        <v>1</v>
      </c>
      <c r="F959">
        <v>1</v>
      </c>
      <c r="G959" s="2">
        <v>2.4871669999999999</v>
      </c>
      <c r="H959" s="2">
        <v>3</v>
      </c>
      <c r="I959">
        <v>1</v>
      </c>
      <c r="J959">
        <v>0</v>
      </c>
      <c r="K959" s="2">
        <v>2.3969770000000001</v>
      </c>
      <c r="L959">
        <v>0</v>
      </c>
      <c r="M959" s="7">
        <v>0.57706299999999999</v>
      </c>
      <c r="N959" s="7">
        <v>0.43507200000000001</v>
      </c>
      <c r="O959">
        <v>1</v>
      </c>
      <c r="P959" t="s">
        <v>17</v>
      </c>
      <c r="Q959">
        <v>2</v>
      </c>
      <c r="R959" s="8">
        <f>(Tabela2[[#This Row],[FAF_atividade_fisica_frequente_em_horas]]+ 0.1)</f>
        <v>0.67706299999999997</v>
      </c>
      <c r="S959" s="1">
        <f>(Tabela2[[#This Row],[TUE_tempo_uso_aparelhos_em_horas]]/Tabela2[[#This Row],[FAF_Var]])</f>
        <v>0.64258717431021939</v>
      </c>
      <c r="T959">
        <f>(Tabela2[[#This Row],[CAEC_lanche_entre_refeicoes]]*Tabela2[[#This Row],[FAVC_consumo_frequente_de_alimentos_mt_caloricos]])</f>
        <v>1</v>
      </c>
      <c r="U959" s="1">
        <f>IF(OR(Tabela2[[#This Row],[MTRANS]]="Walking",Tabela2[[#This Row],[MTRANS]]="Bike"),Tabela2[[#This Row],[FAF_atividade_fisica_frequente_em_horas]]+1,M959)</f>
        <v>0.57706299999999999</v>
      </c>
      <c r="V959">
        <f>(Tabela2[[#This Row],[SMOKE]]+Tabela2[[#This Row],[CALC_bebe_alcool_frequentemente]])</f>
        <v>1</v>
      </c>
      <c r="W959" s="8">
        <f>(Tabela2[[#This Row],[Weight]]/(Tabela2[[#This Row],[Height]] ^2))</f>
        <v>25.064403398057227</v>
      </c>
    </row>
    <row r="960" spans="1:23" x14ac:dyDescent="0.25">
      <c r="A960" t="s">
        <v>15</v>
      </c>
      <c r="B960" s="7">
        <v>19.858972999999999</v>
      </c>
      <c r="C960" s="4">
        <v>1.62</v>
      </c>
      <c r="D960" s="7">
        <v>69.575315000000003</v>
      </c>
      <c r="E960">
        <v>0</v>
      </c>
      <c r="F960">
        <v>1</v>
      </c>
      <c r="G960" s="2">
        <v>2.1859380000000002</v>
      </c>
      <c r="H960" s="2">
        <v>1</v>
      </c>
      <c r="I960">
        <v>0</v>
      </c>
      <c r="J960">
        <v>0</v>
      </c>
      <c r="K960" s="2">
        <v>2.8135300000000001</v>
      </c>
      <c r="L960">
        <v>0</v>
      </c>
      <c r="M960" s="7">
        <v>1</v>
      </c>
      <c r="N960" s="7">
        <v>1.110222</v>
      </c>
      <c r="O960">
        <v>1</v>
      </c>
      <c r="P960" t="s">
        <v>14</v>
      </c>
      <c r="Q960">
        <v>2</v>
      </c>
      <c r="R960" s="8">
        <f>(Tabela2[[#This Row],[FAF_atividade_fisica_frequente_em_horas]]+ 0.1)</f>
        <v>1.1000000000000001</v>
      </c>
      <c r="S960" s="1">
        <f>(Tabela2[[#This Row],[TUE_tempo_uso_aparelhos_em_horas]]/Tabela2[[#This Row],[FAF_Var]])</f>
        <v>1.0092927272727272</v>
      </c>
      <c r="T960">
        <f>(Tabela2[[#This Row],[CAEC_lanche_entre_refeicoes]]*Tabela2[[#This Row],[FAVC_consumo_frequente_de_alimentos_mt_caloricos]])</f>
        <v>0</v>
      </c>
      <c r="U960" s="1">
        <f>IF(OR(Tabela2[[#This Row],[MTRANS]]="Walking",Tabela2[[#This Row],[MTRANS]]="Bike"),Tabela2[[#This Row],[FAF_atividade_fisica_frequente_em_horas]]+1,M960)</f>
        <v>1</v>
      </c>
      <c r="V960">
        <f>(Tabela2[[#This Row],[SMOKE]]+Tabela2[[#This Row],[CALC_bebe_alcool_frequentemente]])</f>
        <v>1</v>
      </c>
      <c r="W960" s="8">
        <f>(Tabela2[[#This Row],[Weight]]/(Tabela2[[#This Row],[Height]] ^2))</f>
        <v>26.510941548544427</v>
      </c>
    </row>
    <row r="961" spans="1:23" x14ac:dyDescent="0.25">
      <c r="A961" t="s">
        <v>13</v>
      </c>
      <c r="B961" s="7">
        <v>16.370009</v>
      </c>
      <c r="C961" s="4">
        <v>1.6139209999999999</v>
      </c>
      <c r="D961" s="7">
        <v>66.738769000000005</v>
      </c>
      <c r="E961">
        <v>1</v>
      </c>
      <c r="F961">
        <v>1</v>
      </c>
      <c r="G961" s="2">
        <v>2.2063990000000002</v>
      </c>
      <c r="H961" s="2">
        <v>1</v>
      </c>
      <c r="I961">
        <v>1</v>
      </c>
      <c r="J961">
        <v>0</v>
      </c>
      <c r="K961" s="2">
        <v>2</v>
      </c>
      <c r="L961">
        <v>1</v>
      </c>
      <c r="M961" s="7">
        <v>0.94893000000000005</v>
      </c>
      <c r="N961" s="7">
        <v>1.7724629999999999</v>
      </c>
      <c r="O961">
        <v>0</v>
      </c>
      <c r="P961" t="s">
        <v>14</v>
      </c>
      <c r="Q961">
        <v>2</v>
      </c>
      <c r="R961" s="8">
        <f>(Tabela2[[#This Row],[FAF_atividade_fisica_frequente_em_horas]]+ 0.1)</f>
        <v>1.0489300000000001</v>
      </c>
      <c r="S961" s="1">
        <f>(Tabela2[[#This Row],[TUE_tempo_uso_aparelhos_em_horas]]/Tabela2[[#This Row],[FAF_Var]])</f>
        <v>1.6897819682914967</v>
      </c>
      <c r="T961">
        <f>(Tabela2[[#This Row],[CAEC_lanche_entre_refeicoes]]*Tabela2[[#This Row],[FAVC_consumo_frequente_de_alimentos_mt_caloricos]])</f>
        <v>1</v>
      </c>
      <c r="U961" s="1">
        <f>IF(OR(Tabela2[[#This Row],[MTRANS]]="Walking",Tabela2[[#This Row],[MTRANS]]="Bike"),Tabela2[[#This Row],[FAF_atividade_fisica_frequente_em_horas]]+1,M961)</f>
        <v>0.94893000000000005</v>
      </c>
      <c r="V961">
        <f>(Tabela2[[#This Row],[SMOKE]]+Tabela2[[#This Row],[CALC_bebe_alcool_frequentemente]])</f>
        <v>0</v>
      </c>
      <c r="W961" s="8">
        <f>(Tabela2[[#This Row],[Weight]]/(Tabela2[[#This Row],[Height]] ^2))</f>
        <v>25.622036566229546</v>
      </c>
    </row>
    <row r="962" spans="1:23" x14ac:dyDescent="0.25">
      <c r="A962" t="s">
        <v>13</v>
      </c>
      <c r="B962" s="7">
        <v>17.992716999999999</v>
      </c>
      <c r="C962" s="4">
        <v>1.6186830000000001</v>
      </c>
      <c r="D962" s="7">
        <v>67.193584999999999</v>
      </c>
      <c r="E962">
        <v>1</v>
      </c>
      <c r="F962">
        <v>1</v>
      </c>
      <c r="G962" s="2">
        <v>1.952987</v>
      </c>
      <c r="H962" s="2">
        <v>1</v>
      </c>
      <c r="I962">
        <v>1</v>
      </c>
      <c r="J962">
        <v>0</v>
      </c>
      <c r="K962" s="2">
        <v>1.334856</v>
      </c>
      <c r="L962">
        <v>1</v>
      </c>
      <c r="M962" s="7">
        <v>0.73227600000000004</v>
      </c>
      <c r="N962" s="7">
        <v>1.8902140000000001</v>
      </c>
      <c r="O962">
        <v>0</v>
      </c>
      <c r="P962" t="s">
        <v>14</v>
      </c>
      <c r="Q962">
        <v>2</v>
      </c>
      <c r="R962" s="8">
        <f>(Tabela2[[#This Row],[FAF_atividade_fisica_frequente_em_horas]]+ 0.1)</f>
        <v>0.83227600000000002</v>
      </c>
      <c r="S962" s="1">
        <f>(Tabela2[[#This Row],[TUE_tempo_uso_aparelhos_em_horas]]/Tabela2[[#This Row],[FAF_Var]])</f>
        <v>2.2711384204278389</v>
      </c>
      <c r="T962">
        <f>(Tabela2[[#This Row],[CAEC_lanche_entre_refeicoes]]*Tabela2[[#This Row],[FAVC_consumo_frequente_de_alimentos_mt_caloricos]])</f>
        <v>1</v>
      </c>
      <c r="U962" s="1">
        <f>IF(OR(Tabela2[[#This Row],[MTRANS]]="Walking",Tabela2[[#This Row],[MTRANS]]="Bike"),Tabela2[[#This Row],[FAF_atividade_fisica_frequente_em_horas]]+1,M962)</f>
        <v>0.73227600000000004</v>
      </c>
      <c r="V962">
        <f>(Tabela2[[#This Row],[SMOKE]]+Tabela2[[#This Row],[CALC_bebe_alcool_frequentemente]])</f>
        <v>0</v>
      </c>
      <c r="W962" s="8">
        <f>(Tabela2[[#This Row],[Weight]]/(Tabela2[[#This Row],[Height]] ^2))</f>
        <v>25.645088463250996</v>
      </c>
    </row>
    <row r="963" spans="1:23" x14ac:dyDescent="0.25">
      <c r="A963" t="s">
        <v>15</v>
      </c>
      <c r="B963" s="7">
        <v>19.179932000000001</v>
      </c>
      <c r="C963" s="4">
        <v>1.637537</v>
      </c>
      <c r="D963" s="7">
        <v>70</v>
      </c>
      <c r="E963">
        <v>1</v>
      </c>
      <c r="F963">
        <v>1</v>
      </c>
      <c r="G963" s="2">
        <v>2</v>
      </c>
      <c r="H963" s="2">
        <v>1.030416</v>
      </c>
      <c r="I963">
        <v>1</v>
      </c>
      <c r="J963">
        <v>0</v>
      </c>
      <c r="K963" s="2">
        <v>2.118716</v>
      </c>
      <c r="L963">
        <v>0</v>
      </c>
      <c r="M963" s="7">
        <v>0.52925900000000003</v>
      </c>
      <c r="N963" s="7">
        <v>0</v>
      </c>
      <c r="O963">
        <v>0</v>
      </c>
      <c r="P963" t="s">
        <v>14</v>
      </c>
      <c r="Q963">
        <v>2</v>
      </c>
      <c r="R963" s="8">
        <f>(Tabela2[[#This Row],[FAF_atividade_fisica_frequente_em_horas]]+ 0.1)</f>
        <v>0.62925900000000001</v>
      </c>
      <c r="S963" s="1">
        <f>(Tabela2[[#This Row],[TUE_tempo_uso_aparelhos_em_horas]]/Tabela2[[#This Row],[FAF_Var]])</f>
        <v>0</v>
      </c>
      <c r="T963">
        <f>(Tabela2[[#This Row],[CAEC_lanche_entre_refeicoes]]*Tabela2[[#This Row],[FAVC_consumo_frequente_de_alimentos_mt_caloricos]])</f>
        <v>1</v>
      </c>
      <c r="U963" s="1">
        <f>IF(OR(Tabela2[[#This Row],[MTRANS]]="Walking",Tabela2[[#This Row],[MTRANS]]="Bike"),Tabela2[[#This Row],[FAF_atividade_fisica_frequente_em_horas]]+1,M963)</f>
        <v>0.52925900000000003</v>
      </c>
      <c r="V963">
        <f>(Tabela2[[#This Row],[SMOKE]]+Tabela2[[#This Row],[CALC_bebe_alcool_frequentemente]])</f>
        <v>0</v>
      </c>
      <c r="W963" s="8">
        <f>(Tabela2[[#This Row],[Weight]]/(Tabela2[[#This Row],[Height]] ^2))</f>
        <v>26.104525097021114</v>
      </c>
    </row>
    <row r="964" spans="1:23" x14ac:dyDescent="0.25">
      <c r="A964" t="s">
        <v>13</v>
      </c>
      <c r="B964" s="7">
        <v>19.621545000000001</v>
      </c>
      <c r="C964" s="4">
        <v>1.566524</v>
      </c>
      <c r="D964" s="7">
        <v>61.616</v>
      </c>
      <c r="E964">
        <v>0</v>
      </c>
      <c r="F964">
        <v>1</v>
      </c>
      <c r="G964" s="2">
        <v>2.908757</v>
      </c>
      <c r="H964" s="2">
        <v>2.6960510000000002</v>
      </c>
      <c r="I964">
        <v>1</v>
      </c>
      <c r="J964">
        <v>0</v>
      </c>
      <c r="K964" s="2">
        <v>1.622827</v>
      </c>
      <c r="L964">
        <v>1</v>
      </c>
      <c r="M964" s="7">
        <v>0.53995199999999999</v>
      </c>
      <c r="N964" s="7">
        <v>1.096E-3</v>
      </c>
      <c r="O964">
        <v>1</v>
      </c>
      <c r="P964" t="s">
        <v>14</v>
      </c>
      <c r="Q964">
        <v>2</v>
      </c>
      <c r="R964" s="8">
        <f>(Tabela2[[#This Row],[FAF_atividade_fisica_frequente_em_horas]]+ 0.1)</f>
        <v>0.63995199999999997</v>
      </c>
      <c r="S964" s="1">
        <f>(Tabela2[[#This Row],[TUE_tempo_uso_aparelhos_em_horas]]/Tabela2[[#This Row],[FAF_Var]])</f>
        <v>1.712628447133535E-3</v>
      </c>
      <c r="T964">
        <f>(Tabela2[[#This Row],[CAEC_lanche_entre_refeicoes]]*Tabela2[[#This Row],[FAVC_consumo_frequente_de_alimentos_mt_caloricos]])</f>
        <v>1</v>
      </c>
      <c r="U964" s="1">
        <f>IF(OR(Tabela2[[#This Row],[MTRANS]]="Walking",Tabela2[[#This Row],[MTRANS]]="Bike"),Tabela2[[#This Row],[FAF_atividade_fisica_frequente_em_horas]]+1,M964)</f>
        <v>0.53995199999999999</v>
      </c>
      <c r="V964">
        <f>(Tabela2[[#This Row],[SMOKE]]+Tabela2[[#This Row],[CALC_bebe_alcool_frequentemente]])</f>
        <v>1</v>
      </c>
      <c r="W964" s="8">
        <f>(Tabela2[[#This Row],[Weight]]/(Tabela2[[#This Row],[Height]] ^2))</f>
        <v>25.108420624644459</v>
      </c>
    </row>
    <row r="965" spans="1:23" x14ac:dyDescent="0.25">
      <c r="A965" t="s">
        <v>13</v>
      </c>
      <c r="B965" s="7">
        <v>19.755797000000001</v>
      </c>
      <c r="C965" s="4">
        <v>1.5423279999999999</v>
      </c>
      <c r="D965" s="7">
        <v>63.856192999999998</v>
      </c>
      <c r="E965">
        <v>0</v>
      </c>
      <c r="F965">
        <v>1</v>
      </c>
      <c r="G965" s="2">
        <v>2.6287910000000001</v>
      </c>
      <c r="H965" s="2">
        <v>2.762883</v>
      </c>
      <c r="I965">
        <v>1</v>
      </c>
      <c r="J965">
        <v>0</v>
      </c>
      <c r="K965" s="2">
        <v>1.512035</v>
      </c>
      <c r="L965">
        <v>1</v>
      </c>
      <c r="M965" s="7">
        <v>0.30372199999999999</v>
      </c>
      <c r="N965" s="7">
        <v>3.2290000000000001E-3</v>
      </c>
      <c r="O965">
        <v>1</v>
      </c>
      <c r="P965" t="s">
        <v>14</v>
      </c>
      <c r="Q965">
        <v>2</v>
      </c>
      <c r="R965" s="8">
        <f>(Tabela2[[#This Row],[FAF_atividade_fisica_frequente_em_horas]]+ 0.1)</f>
        <v>0.40372200000000003</v>
      </c>
      <c r="S965" s="1">
        <f>(Tabela2[[#This Row],[TUE_tempo_uso_aparelhos_em_horas]]/Tabela2[[#This Row],[FAF_Var]])</f>
        <v>7.9980778852774929E-3</v>
      </c>
      <c r="T965">
        <f>(Tabela2[[#This Row],[CAEC_lanche_entre_refeicoes]]*Tabela2[[#This Row],[FAVC_consumo_frequente_de_alimentos_mt_caloricos]])</f>
        <v>1</v>
      </c>
      <c r="U965" s="1">
        <f>IF(OR(Tabela2[[#This Row],[MTRANS]]="Walking",Tabela2[[#This Row],[MTRANS]]="Bike"),Tabela2[[#This Row],[FAF_atividade_fisica_frequente_em_horas]]+1,M965)</f>
        <v>0.30372199999999999</v>
      </c>
      <c r="V965">
        <f>(Tabela2[[#This Row],[SMOKE]]+Tabela2[[#This Row],[CALC_bebe_alcool_frequentemente]])</f>
        <v>1</v>
      </c>
      <c r="W965" s="8">
        <f>(Tabela2[[#This Row],[Weight]]/(Tabela2[[#This Row],[Height]] ^2))</f>
        <v>26.844142591894169</v>
      </c>
    </row>
    <row r="966" spans="1:23" x14ac:dyDescent="0.25">
      <c r="A966" t="s">
        <v>13</v>
      </c>
      <c r="B966" s="7">
        <v>17.099015000000001</v>
      </c>
      <c r="C966" s="4">
        <v>1.6</v>
      </c>
      <c r="D966" s="7">
        <v>65</v>
      </c>
      <c r="E966">
        <v>1</v>
      </c>
      <c r="F966">
        <v>1</v>
      </c>
      <c r="G966" s="2">
        <v>3</v>
      </c>
      <c r="H966" s="2">
        <v>2.4013409999999999</v>
      </c>
      <c r="I966">
        <v>1</v>
      </c>
      <c r="J966">
        <v>0</v>
      </c>
      <c r="K966" s="2">
        <v>2</v>
      </c>
      <c r="L966">
        <v>1</v>
      </c>
      <c r="M966" s="7">
        <v>0.66389600000000004</v>
      </c>
      <c r="N966" s="7">
        <v>1.7537450000000001</v>
      </c>
      <c r="O966">
        <v>1</v>
      </c>
      <c r="P966" t="s">
        <v>14</v>
      </c>
      <c r="Q966">
        <v>2</v>
      </c>
      <c r="R966" s="8">
        <f>(Tabela2[[#This Row],[FAF_atividade_fisica_frequente_em_horas]]+ 0.1)</f>
        <v>0.76389600000000002</v>
      </c>
      <c r="S966" s="1">
        <f>(Tabela2[[#This Row],[TUE_tempo_uso_aparelhos_em_horas]]/Tabela2[[#This Row],[FAF_Var]])</f>
        <v>2.2957902646433546</v>
      </c>
      <c r="T966">
        <f>(Tabela2[[#This Row],[CAEC_lanche_entre_refeicoes]]*Tabela2[[#This Row],[FAVC_consumo_frequente_de_alimentos_mt_caloricos]])</f>
        <v>1</v>
      </c>
      <c r="U966" s="1">
        <f>IF(OR(Tabela2[[#This Row],[MTRANS]]="Walking",Tabela2[[#This Row],[MTRANS]]="Bike"),Tabela2[[#This Row],[FAF_atividade_fisica_frequente_em_horas]]+1,M966)</f>
        <v>0.66389600000000004</v>
      </c>
      <c r="V966">
        <f>(Tabela2[[#This Row],[SMOKE]]+Tabela2[[#This Row],[CALC_bebe_alcool_frequentemente]])</f>
        <v>1</v>
      </c>
      <c r="W966" s="8">
        <f>(Tabela2[[#This Row],[Weight]]/(Tabela2[[#This Row],[Height]] ^2))</f>
        <v>25.390624999999996</v>
      </c>
    </row>
    <row r="967" spans="1:23" x14ac:dyDescent="0.25">
      <c r="A967" t="s">
        <v>13</v>
      </c>
      <c r="B967" s="7">
        <v>17.258130000000001</v>
      </c>
      <c r="C967" s="4">
        <v>1.6001840000000001</v>
      </c>
      <c r="D967" s="7">
        <v>65</v>
      </c>
      <c r="E967">
        <v>1</v>
      </c>
      <c r="F967">
        <v>1</v>
      </c>
      <c r="G967" s="2">
        <v>2.7496290000000001</v>
      </c>
      <c r="H967" s="2">
        <v>2.2986119999999999</v>
      </c>
      <c r="I967">
        <v>1</v>
      </c>
      <c r="J967">
        <v>0</v>
      </c>
      <c r="K967" s="2">
        <v>2</v>
      </c>
      <c r="L967">
        <v>1</v>
      </c>
      <c r="M967" s="7">
        <v>0.54751499999999997</v>
      </c>
      <c r="N967" s="7">
        <v>1.6194729999999999</v>
      </c>
      <c r="O967">
        <v>1</v>
      </c>
      <c r="P967" t="s">
        <v>14</v>
      </c>
      <c r="Q967">
        <v>2</v>
      </c>
      <c r="R967" s="8">
        <f>(Tabela2[[#This Row],[FAF_atividade_fisica_frequente_em_horas]]+ 0.1)</f>
        <v>0.64751499999999995</v>
      </c>
      <c r="S967" s="1">
        <f>(Tabela2[[#This Row],[TUE_tempo_uso_aparelhos_em_horas]]/Tabela2[[#This Row],[FAF_Var]])</f>
        <v>2.5010586627336822</v>
      </c>
      <c r="T967">
        <f>(Tabela2[[#This Row],[CAEC_lanche_entre_refeicoes]]*Tabela2[[#This Row],[FAVC_consumo_frequente_de_alimentos_mt_caloricos]])</f>
        <v>1</v>
      </c>
      <c r="U967" s="1">
        <f>IF(OR(Tabela2[[#This Row],[MTRANS]]="Walking",Tabela2[[#This Row],[MTRANS]]="Bike"),Tabela2[[#This Row],[FAF_atividade_fisica_frequente_em_horas]]+1,M967)</f>
        <v>0.54751499999999997</v>
      </c>
      <c r="V967">
        <f>(Tabela2[[#This Row],[SMOKE]]+Tabela2[[#This Row],[CALC_bebe_alcool_frequentemente]])</f>
        <v>1</v>
      </c>
      <c r="W967" s="8">
        <f>(Tabela2[[#This Row],[Weight]]/(Tabela2[[#This Row],[Height]] ^2))</f>
        <v>25.384786163468601</v>
      </c>
    </row>
    <row r="968" spans="1:23" x14ac:dyDescent="0.25">
      <c r="A968" t="s">
        <v>15</v>
      </c>
      <c r="B968" s="7">
        <v>29.153907</v>
      </c>
      <c r="C968" s="4">
        <v>1.7736559999999999</v>
      </c>
      <c r="D968" s="7">
        <v>87.070233999999999</v>
      </c>
      <c r="E968">
        <v>0</v>
      </c>
      <c r="F968">
        <v>1</v>
      </c>
      <c r="G968" s="2">
        <v>1.5957460000000001</v>
      </c>
      <c r="H968" s="2">
        <v>3.618722</v>
      </c>
      <c r="I968">
        <v>1</v>
      </c>
      <c r="J968">
        <v>0</v>
      </c>
      <c r="K968" s="2">
        <v>1.274389</v>
      </c>
      <c r="L968">
        <v>0</v>
      </c>
      <c r="M968" s="7">
        <v>1.504003</v>
      </c>
      <c r="N968" s="7">
        <v>0.37006699999999998</v>
      </c>
      <c r="O968">
        <v>0</v>
      </c>
      <c r="P968" t="s">
        <v>17</v>
      </c>
      <c r="Q968">
        <v>2</v>
      </c>
      <c r="R968" s="8">
        <f>(Tabela2[[#This Row],[FAF_atividade_fisica_frequente_em_horas]]+ 0.1)</f>
        <v>1.6040030000000001</v>
      </c>
      <c r="S968" s="1">
        <f>(Tabela2[[#This Row],[TUE_tempo_uso_aparelhos_em_horas]]/Tabela2[[#This Row],[FAF_Var]])</f>
        <v>0.23071465577059391</v>
      </c>
      <c r="T968">
        <f>(Tabela2[[#This Row],[CAEC_lanche_entre_refeicoes]]*Tabela2[[#This Row],[FAVC_consumo_frequente_de_alimentos_mt_caloricos]])</f>
        <v>1</v>
      </c>
      <c r="U968" s="1">
        <f>IF(OR(Tabela2[[#This Row],[MTRANS]]="Walking",Tabela2[[#This Row],[MTRANS]]="Bike"),Tabela2[[#This Row],[FAF_atividade_fisica_frequente_em_horas]]+1,M968)</f>
        <v>1.504003</v>
      </c>
      <c r="V968">
        <f>(Tabela2[[#This Row],[SMOKE]]+Tabela2[[#This Row],[CALC_bebe_alcool_frequentemente]])</f>
        <v>0</v>
      </c>
      <c r="W968" s="8">
        <f>(Tabela2[[#This Row],[Weight]]/(Tabela2[[#This Row],[Height]] ^2))</f>
        <v>27.677759215850124</v>
      </c>
    </row>
    <row r="969" spans="1:23" x14ac:dyDescent="0.25">
      <c r="A969" t="s">
        <v>13</v>
      </c>
      <c r="B969" s="7">
        <v>32.278869</v>
      </c>
      <c r="C969" s="4">
        <v>1.64602</v>
      </c>
      <c r="D969" s="7">
        <v>74.147442999999996</v>
      </c>
      <c r="E969">
        <v>1</v>
      </c>
      <c r="F969">
        <v>1</v>
      </c>
      <c r="G969" s="2">
        <v>2.8851779999999998</v>
      </c>
      <c r="H969" s="2">
        <v>2.5628950000000001</v>
      </c>
      <c r="I969">
        <v>1</v>
      </c>
      <c r="J969">
        <v>0</v>
      </c>
      <c r="K969" s="2">
        <v>1.0170060000000001</v>
      </c>
      <c r="L969">
        <v>0</v>
      </c>
      <c r="M969" s="7">
        <v>0.588673</v>
      </c>
      <c r="N969" s="7">
        <v>0.91629099999999997</v>
      </c>
      <c r="O969">
        <v>1</v>
      </c>
      <c r="P969" t="s">
        <v>17</v>
      </c>
      <c r="Q969">
        <v>2</v>
      </c>
      <c r="R969" s="8">
        <f>(Tabela2[[#This Row],[FAF_atividade_fisica_frequente_em_horas]]+ 0.1)</f>
        <v>0.68867299999999998</v>
      </c>
      <c r="S969" s="1">
        <f>(Tabela2[[#This Row],[TUE_tempo_uso_aparelhos_em_horas]]/Tabela2[[#This Row],[FAF_Var]])</f>
        <v>1.330516805508565</v>
      </c>
      <c r="T969">
        <f>(Tabela2[[#This Row],[CAEC_lanche_entre_refeicoes]]*Tabela2[[#This Row],[FAVC_consumo_frequente_de_alimentos_mt_caloricos]])</f>
        <v>1</v>
      </c>
      <c r="U969" s="1">
        <f>IF(OR(Tabela2[[#This Row],[MTRANS]]="Walking",Tabela2[[#This Row],[MTRANS]]="Bike"),Tabela2[[#This Row],[FAF_atividade_fisica_frequente_em_horas]]+1,M969)</f>
        <v>0.588673</v>
      </c>
      <c r="V969">
        <f>(Tabela2[[#This Row],[SMOKE]]+Tabela2[[#This Row],[CALC_bebe_alcool_frequentemente]])</f>
        <v>1</v>
      </c>
      <c r="W969" s="8">
        <f>(Tabela2[[#This Row],[Weight]]/(Tabela2[[#This Row],[Height]] ^2))</f>
        <v>27.366922555682745</v>
      </c>
    </row>
    <row r="970" spans="1:23" x14ac:dyDescent="0.25">
      <c r="A970" t="s">
        <v>13</v>
      </c>
      <c r="B970" s="7">
        <v>31.793937</v>
      </c>
      <c r="C970" s="4">
        <v>1.65015</v>
      </c>
      <c r="D970" s="7">
        <v>73.810727999999997</v>
      </c>
      <c r="E970">
        <v>1</v>
      </c>
      <c r="F970">
        <v>1</v>
      </c>
      <c r="G970" s="2">
        <v>2.3724940000000001</v>
      </c>
      <c r="H970" s="2">
        <v>2.8498480000000002</v>
      </c>
      <c r="I970">
        <v>1</v>
      </c>
      <c r="J970">
        <v>0</v>
      </c>
      <c r="K970" s="2">
        <v>1.028538</v>
      </c>
      <c r="L970">
        <v>0</v>
      </c>
      <c r="M970" s="7">
        <v>0.675983</v>
      </c>
      <c r="N970" s="7">
        <v>0.30302499999999999</v>
      </c>
      <c r="O970">
        <v>1</v>
      </c>
      <c r="P970" t="s">
        <v>17</v>
      </c>
      <c r="Q970">
        <v>2</v>
      </c>
      <c r="R970" s="8">
        <f>(Tabela2[[#This Row],[FAF_atividade_fisica_frequente_em_horas]]+ 0.1)</f>
        <v>0.77598299999999998</v>
      </c>
      <c r="S970" s="1">
        <f>(Tabela2[[#This Row],[TUE_tempo_uso_aparelhos_em_horas]]/Tabela2[[#This Row],[FAF_Var]])</f>
        <v>0.39050468889138035</v>
      </c>
      <c r="T970">
        <f>(Tabela2[[#This Row],[CAEC_lanche_entre_refeicoes]]*Tabela2[[#This Row],[FAVC_consumo_frequente_de_alimentos_mt_caloricos]])</f>
        <v>1</v>
      </c>
      <c r="U970" s="1">
        <f>IF(OR(Tabela2[[#This Row],[MTRANS]]="Walking",Tabela2[[#This Row],[MTRANS]]="Bike"),Tabela2[[#This Row],[FAF_atividade_fisica_frequente_em_horas]]+1,M970)</f>
        <v>0.675983</v>
      </c>
      <c r="V970">
        <f>(Tabela2[[#This Row],[SMOKE]]+Tabela2[[#This Row],[CALC_bebe_alcool_frequentemente]])</f>
        <v>1</v>
      </c>
      <c r="W970" s="8">
        <f>(Tabela2[[#This Row],[Weight]]/(Tabela2[[#This Row],[Height]] ^2))</f>
        <v>27.106449842950454</v>
      </c>
    </row>
    <row r="971" spans="1:23" x14ac:dyDescent="0.25">
      <c r="A971" t="s">
        <v>15</v>
      </c>
      <c r="B971" s="7">
        <v>18.014333000000001</v>
      </c>
      <c r="C971" s="4">
        <v>1.7510289999999999</v>
      </c>
      <c r="D971" s="7">
        <v>80</v>
      </c>
      <c r="E971">
        <v>1</v>
      </c>
      <c r="F971">
        <v>1</v>
      </c>
      <c r="G971" s="2">
        <v>2</v>
      </c>
      <c r="H971" s="2">
        <v>2.8054359999999998</v>
      </c>
      <c r="I971">
        <v>1</v>
      </c>
      <c r="J971">
        <v>0</v>
      </c>
      <c r="K971" s="2">
        <v>2.122884</v>
      </c>
      <c r="L971">
        <v>0</v>
      </c>
      <c r="M971" s="7">
        <v>4.5650999999999997E-2</v>
      </c>
      <c r="N971" s="7">
        <v>1.7225000000000001E-2</v>
      </c>
      <c r="O971">
        <v>2</v>
      </c>
      <c r="P971" t="s">
        <v>14</v>
      </c>
      <c r="Q971">
        <v>2</v>
      </c>
      <c r="R971" s="8">
        <f>(Tabela2[[#This Row],[FAF_atividade_fisica_frequente_em_horas]]+ 0.1)</f>
        <v>0.145651</v>
      </c>
      <c r="S971" s="1">
        <f>(Tabela2[[#This Row],[TUE_tempo_uso_aparelhos_em_horas]]/Tabela2[[#This Row],[FAF_Var]])</f>
        <v>0.11826214718745495</v>
      </c>
      <c r="T971">
        <f>(Tabela2[[#This Row],[CAEC_lanche_entre_refeicoes]]*Tabela2[[#This Row],[FAVC_consumo_frequente_de_alimentos_mt_caloricos]])</f>
        <v>1</v>
      </c>
      <c r="U971" s="1">
        <f>IF(OR(Tabela2[[#This Row],[MTRANS]]="Walking",Tabela2[[#This Row],[MTRANS]]="Bike"),Tabela2[[#This Row],[FAF_atividade_fisica_frequente_em_horas]]+1,M971)</f>
        <v>4.5650999999999997E-2</v>
      </c>
      <c r="V971">
        <f>(Tabela2[[#This Row],[SMOKE]]+Tabela2[[#This Row],[CALC_bebe_alcool_frequentemente]])</f>
        <v>2</v>
      </c>
      <c r="W971" s="8">
        <f>(Tabela2[[#This Row],[Weight]]/(Tabela2[[#This Row],[Height]] ^2))</f>
        <v>26.091756053404929</v>
      </c>
    </row>
    <row r="972" spans="1:23" x14ac:dyDescent="0.25">
      <c r="A972" t="s">
        <v>15</v>
      </c>
      <c r="B972" s="7">
        <v>19.684999999999999</v>
      </c>
      <c r="C972" s="4">
        <v>1.838266</v>
      </c>
      <c r="D972" s="7">
        <v>89.496904999999998</v>
      </c>
      <c r="E972">
        <v>1</v>
      </c>
      <c r="F972">
        <v>1</v>
      </c>
      <c r="G972" s="2">
        <v>2.1536390000000001</v>
      </c>
      <c r="H972" s="2">
        <v>3.7151480000000001</v>
      </c>
      <c r="I972">
        <v>1</v>
      </c>
      <c r="J972">
        <v>0</v>
      </c>
      <c r="K972" s="2">
        <v>2.7033369999999999</v>
      </c>
      <c r="L972">
        <v>0</v>
      </c>
      <c r="M972" s="7">
        <v>2</v>
      </c>
      <c r="N972" s="7">
        <v>0.22609699999999999</v>
      </c>
      <c r="O972">
        <v>1</v>
      </c>
      <c r="P972" t="s">
        <v>14</v>
      </c>
      <c r="Q972">
        <v>2</v>
      </c>
      <c r="R972" s="8">
        <f>(Tabela2[[#This Row],[FAF_atividade_fisica_frequente_em_horas]]+ 0.1)</f>
        <v>2.1</v>
      </c>
      <c r="S972" s="1">
        <f>(Tabela2[[#This Row],[TUE_tempo_uso_aparelhos_em_horas]]/Tabela2[[#This Row],[FAF_Var]])</f>
        <v>0.10766523809523809</v>
      </c>
      <c r="T972">
        <f>(Tabela2[[#This Row],[CAEC_lanche_entre_refeicoes]]*Tabela2[[#This Row],[FAVC_consumo_frequente_de_alimentos_mt_caloricos]])</f>
        <v>1</v>
      </c>
      <c r="U972" s="1">
        <f>IF(OR(Tabela2[[#This Row],[MTRANS]]="Walking",Tabela2[[#This Row],[MTRANS]]="Bike"),Tabela2[[#This Row],[FAF_atividade_fisica_frequente_em_horas]]+1,M972)</f>
        <v>2</v>
      </c>
      <c r="V972">
        <f>(Tabela2[[#This Row],[SMOKE]]+Tabela2[[#This Row],[CALC_bebe_alcool_frequentemente]])</f>
        <v>1</v>
      </c>
      <c r="W972" s="8">
        <f>(Tabela2[[#This Row],[Weight]]/(Tabela2[[#This Row],[Height]] ^2))</f>
        <v>26.484471277473769</v>
      </c>
    </row>
    <row r="973" spans="1:23" x14ac:dyDescent="0.25">
      <c r="A973" t="s">
        <v>15</v>
      </c>
      <c r="B973" s="7">
        <v>19.506388999999999</v>
      </c>
      <c r="C973" s="4">
        <v>1.824449</v>
      </c>
      <c r="D973" s="7">
        <v>87.656029000000004</v>
      </c>
      <c r="E973">
        <v>1</v>
      </c>
      <c r="F973">
        <v>1</v>
      </c>
      <c r="G973" s="2">
        <v>2.793561</v>
      </c>
      <c r="H973" s="2">
        <v>3.788602</v>
      </c>
      <c r="I973">
        <v>1</v>
      </c>
      <c r="J973">
        <v>0</v>
      </c>
      <c r="K973" s="2">
        <v>2.4290590000000001</v>
      </c>
      <c r="L973">
        <v>0</v>
      </c>
      <c r="M973" s="7">
        <v>2.0945420000000001</v>
      </c>
      <c r="N973" s="7">
        <v>0.39335799999999999</v>
      </c>
      <c r="O973">
        <v>1</v>
      </c>
      <c r="P973" t="s">
        <v>14</v>
      </c>
      <c r="Q973">
        <v>2</v>
      </c>
      <c r="R973" s="8">
        <f>(Tabela2[[#This Row],[FAF_atividade_fisica_frequente_em_horas]]+ 0.1)</f>
        <v>2.1945420000000002</v>
      </c>
      <c r="S973" s="1">
        <f>(Tabela2[[#This Row],[TUE_tempo_uso_aparelhos_em_horas]]/Tabela2[[#This Row],[FAF_Var]])</f>
        <v>0.17924377842848299</v>
      </c>
      <c r="T973">
        <f>(Tabela2[[#This Row],[CAEC_lanche_entre_refeicoes]]*Tabela2[[#This Row],[FAVC_consumo_frequente_de_alimentos_mt_caloricos]])</f>
        <v>1</v>
      </c>
      <c r="U973" s="1">
        <f>IF(OR(Tabela2[[#This Row],[MTRANS]]="Walking",Tabela2[[#This Row],[MTRANS]]="Bike"),Tabela2[[#This Row],[FAF_atividade_fisica_frequente_em_horas]]+1,M973)</f>
        <v>2.0945420000000001</v>
      </c>
      <c r="V973">
        <f>(Tabela2[[#This Row],[SMOKE]]+Tabela2[[#This Row],[CALC_bebe_alcool_frequentemente]])</f>
        <v>1</v>
      </c>
      <c r="W973" s="8">
        <f>(Tabela2[[#This Row],[Weight]]/(Tabela2[[#This Row],[Height]] ^2))</f>
        <v>26.334091292969763</v>
      </c>
    </row>
    <row r="974" spans="1:23" x14ac:dyDescent="0.25">
      <c r="A974" t="s">
        <v>13</v>
      </c>
      <c r="B974" s="7">
        <v>19</v>
      </c>
      <c r="C974" s="4">
        <v>1.76</v>
      </c>
      <c r="D974" s="7">
        <v>79.349221</v>
      </c>
      <c r="E974">
        <v>1</v>
      </c>
      <c r="F974">
        <v>1</v>
      </c>
      <c r="G974" s="2">
        <v>2</v>
      </c>
      <c r="H974" s="2">
        <v>1.8938109999999999</v>
      </c>
      <c r="I974">
        <v>1</v>
      </c>
      <c r="J974">
        <v>0</v>
      </c>
      <c r="K974" s="2">
        <v>3</v>
      </c>
      <c r="L974">
        <v>0</v>
      </c>
      <c r="M974" s="7">
        <v>1.3762289999999999</v>
      </c>
      <c r="N974" s="7">
        <v>1.8013220000000001</v>
      </c>
      <c r="O974">
        <v>0</v>
      </c>
      <c r="P974" t="s">
        <v>14</v>
      </c>
      <c r="Q974">
        <v>2</v>
      </c>
      <c r="R974" s="8">
        <f>(Tabela2[[#This Row],[FAF_atividade_fisica_frequente_em_horas]]+ 0.1)</f>
        <v>1.476229</v>
      </c>
      <c r="S974" s="1">
        <f>(Tabela2[[#This Row],[TUE_tempo_uso_aparelhos_em_horas]]/Tabela2[[#This Row],[FAF_Var]])</f>
        <v>1.2202185433289823</v>
      </c>
      <c r="T974">
        <f>(Tabela2[[#This Row],[CAEC_lanche_entre_refeicoes]]*Tabela2[[#This Row],[FAVC_consumo_frequente_de_alimentos_mt_caloricos]])</f>
        <v>1</v>
      </c>
      <c r="U974" s="1">
        <f>IF(OR(Tabela2[[#This Row],[MTRANS]]="Walking",Tabela2[[#This Row],[MTRANS]]="Bike"),Tabela2[[#This Row],[FAF_atividade_fisica_frequente_em_horas]]+1,M974)</f>
        <v>1.3762289999999999</v>
      </c>
      <c r="V974">
        <f>(Tabela2[[#This Row],[SMOKE]]+Tabela2[[#This Row],[CALC_bebe_alcool_frequentemente]])</f>
        <v>0</v>
      </c>
      <c r="W974" s="8">
        <f>(Tabela2[[#This Row],[Weight]]/(Tabela2[[#This Row],[Height]] ^2))</f>
        <v>25.616354919938018</v>
      </c>
    </row>
    <row r="975" spans="1:23" x14ac:dyDescent="0.25">
      <c r="A975" t="s">
        <v>13</v>
      </c>
      <c r="B975" s="7">
        <v>18</v>
      </c>
      <c r="C975" s="4">
        <v>1.622241</v>
      </c>
      <c r="D975" s="7">
        <v>68.250248999999997</v>
      </c>
      <c r="E975">
        <v>1</v>
      </c>
      <c r="F975">
        <v>1</v>
      </c>
      <c r="G975" s="2">
        <v>2</v>
      </c>
      <c r="H975" s="2">
        <v>1.010319</v>
      </c>
      <c r="I975">
        <v>1</v>
      </c>
      <c r="J975">
        <v>0</v>
      </c>
      <c r="K975" s="2">
        <v>1.319437</v>
      </c>
      <c r="L975">
        <v>0</v>
      </c>
      <c r="M975" s="7">
        <v>0</v>
      </c>
      <c r="N975" s="7">
        <v>1.6264559999999999</v>
      </c>
      <c r="O975">
        <v>0</v>
      </c>
      <c r="P975" t="s">
        <v>14</v>
      </c>
      <c r="Q975">
        <v>2</v>
      </c>
      <c r="R975" s="8">
        <f>(Tabela2[[#This Row],[FAF_atividade_fisica_frequente_em_horas]]+ 0.1)</f>
        <v>0.1</v>
      </c>
      <c r="S975" s="1">
        <f>(Tabela2[[#This Row],[TUE_tempo_uso_aparelhos_em_horas]]/Tabela2[[#This Row],[FAF_Var]])</f>
        <v>16.264559999999999</v>
      </c>
      <c r="T975">
        <f>(Tabela2[[#This Row],[CAEC_lanche_entre_refeicoes]]*Tabela2[[#This Row],[FAVC_consumo_frequente_de_alimentos_mt_caloricos]])</f>
        <v>1</v>
      </c>
      <c r="U975" s="1">
        <f>IF(OR(Tabela2[[#This Row],[MTRANS]]="Walking",Tabela2[[#This Row],[MTRANS]]="Bike"),Tabela2[[#This Row],[FAF_atividade_fisica_frequente_em_horas]]+1,M975)</f>
        <v>0</v>
      </c>
      <c r="V975">
        <f>(Tabela2[[#This Row],[SMOKE]]+Tabela2[[#This Row],[CALC_bebe_alcool_frequentemente]])</f>
        <v>0</v>
      </c>
      <c r="W975" s="8">
        <f>(Tabela2[[#This Row],[Weight]]/(Tabela2[[#This Row],[Height]] ^2))</f>
        <v>25.934238074597676</v>
      </c>
    </row>
    <row r="976" spans="1:23" x14ac:dyDescent="0.25">
      <c r="A976" t="s">
        <v>13</v>
      </c>
      <c r="B976" s="7">
        <v>18.003153000000001</v>
      </c>
      <c r="C976" s="4">
        <v>1.7299960000000001</v>
      </c>
      <c r="D976" s="7">
        <v>75.816863999999995</v>
      </c>
      <c r="E976">
        <v>1</v>
      </c>
      <c r="F976">
        <v>1</v>
      </c>
      <c r="G976" s="2">
        <v>2.9923289999999998</v>
      </c>
      <c r="H976" s="2">
        <v>3</v>
      </c>
      <c r="I976">
        <v>1</v>
      </c>
      <c r="J976">
        <v>0</v>
      </c>
      <c r="K976" s="2">
        <v>2.0049079999999999</v>
      </c>
      <c r="L976">
        <v>0</v>
      </c>
      <c r="M976" s="7">
        <v>1</v>
      </c>
      <c r="N976" s="7">
        <v>1.4050860000000001</v>
      </c>
      <c r="O976">
        <v>2</v>
      </c>
      <c r="P976" t="s">
        <v>14</v>
      </c>
      <c r="Q976">
        <v>2</v>
      </c>
      <c r="R976" s="8">
        <f>(Tabela2[[#This Row],[FAF_atividade_fisica_frequente_em_horas]]+ 0.1)</f>
        <v>1.1000000000000001</v>
      </c>
      <c r="S976" s="1">
        <f>(Tabela2[[#This Row],[TUE_tempo_uso_aparelhos_em_horas]]/Tabela2[[#This Row],[FAF_Var]])</f>
        <v>1.277350909090909</v>
      </c>
      <c r="T976">
        <f>(Tabela2[[#This Row],[CAEC_lanche_entre_refeicoes]]*Tabela2[[#This Row],[FAVC_consumo_frequente_de_alimentos_mt_caloricos]])</f>
        <v>1</v>
      </c>
      <c r="U976" s="1">
        <f>IF(OR(Tabela2[[#This Row],[MTRANS]]="Walking",Tabela2[[#This Row],[MTRANS]]="Bike"),Tabela2[[#This Row],[FAF_atividade_fisica_frequente_em_horas]]+1,M976)</f>
        <v>1</v>
      </c>
      <c r="V976">
        <f>(Tabela2[[#This Row],[SMOKE]]+Tabela2[[#This Row],[CALC_bebe_alcool_frequentemente]])</f>
        <v>2</v>
      </c>
      <c r="W976" s="8">
        <f>(Tabela2[[#This Row],[Weight]]/(Tabela2[[#This Row],[Height]] ^2))</f>
        <v>25.332358114013488</v>
      </c>
    </row>
    <row r="977" spans="1:23" x14ac:dyDescent="0.25">
      <c r="A977" t="s">
        <v>13</v>
      </c>
      <c r="B977" s="7">
        <v>18.052394</v>
      </c>
      <c r="C977" s="4">
        <v>1.725233</v>
      </c>
      <c r="D977" s="7">
        <v>75.970712000000006</v>
      </c>
      <c r="E977">
        <v>1</v>
      </c>
      <c r="F977">
        <v>1</v>
      </c>
      <c r="G977" s="2">
        <v>2.9274089999999999</v>
      </c>
      <c r="H977" s="2">
        <v>3</v>
      </c>
      <c r="I977">
        <v>1</v>
      </c>
      <c r="J977">
        <v>0</v>
      </c>
      <c r="K977" s="2">
        <v>2.209991</v>
      </c>
      <c r="L977">
        <v>0</v>
      </c>
      <c r="M977" s="7">
        <v>1</v>
      </c>
      <c r="N977" s="7">
        <v>0.79721500000000001</v>
      </c>
      <c r="O977">
        <v>2</v>
      </c>
      <c r="P977" t="s">
        <v>14</v>
      </c>
      <c r="Q977">
        <v>2</v>
      </c>
      <c r="R977" s="8">
        <f>(Tabela2[[#This Row],[FAF_atividade_fisica_frequente_em_horas]]+ 0.1)</f>
        <v>1.1000000000000001</v>
      </c>
      <c r="S977" s="1">
        <f>(Tabela2[[#This Row],[TUE_tempo_uso_aparelhos_em_horas]]/Tabela2[[#This Row],[FAF_Var]])</f>
        <v>0.72474090909090905</v>
      </c>
      <c r="T977">
        <f>(Tabela2[[#This Row],[CAEC_lanche_entre_refeicoes]]*Tabela2[[#This Row],[FAVC_consumo_frequente_de_alimentos_mt_caloricos]])</f>
        <v>1</v>
      </c>
      <c r="U977" s="1">
        <f>IF(OR(Tabela2[[#This Row],[MTRANS]]="Walking",Tabela2[[#This Row],[MTRANS]]="Bike"),Tabela2[[#This Row],[FAF_atividade_fisica_frequente_em_horas]]+1,M977)</f>
        <v>1</v>
      </c>
      <c r="V977">
        <f>(Tabela2[[#This Row],[SMOKE]]+Tabela2[[#This Row],[CALC_bebe_alcool_frequentemente]])</f>
        <v>2</v>
      </c>
      <c r="W977" s="8">
        <f>(Tabela2[[#This Row],[Weight]]/(Tabela2[[#This Row],[Height]] ^2))</f>
        <v>25.524114448199008</v>
      </c>
    </row>
    <row r="978" spans="1:23" x14ac:dyDescent="0.25">
      <c r="A978" t="s">
        <v>13</v>
      </c>
      <c r="B978" s="7">
        <v>19.774317</v>
      </c>
      <c r="C978" s="4">
        <v>1.541039</v>
      </c>
      <c r="D978" s="7">
        <v>64.726947999999993</v>
      </c>
      <c r="E978">
        <v>0</v>
      </c>
      <c r="F978">
        <v>1</v>
      </c>
      <c r="G978" s="2">
        <v>2.706134</v>
      </c>
      <c r="H978" s="2">
        <v>2.6697660000000001</v>
      </c>
      <c r="I978">
        <v>1</v>
      </c>
      <c r="J978">
        <v>0</v>
      </c>
      <c r="K978" s="2">
        <v>1.9798480000000001</v>
      </c>
      <c r="L978">
        <v>1</v>
      </c>
      <c r="M978" s="7">
        <v>0.44523800000000002</v>
      </c>
      <c r="N978" s="7">
        <v>0.90883599999999998</v>
      </c>
      <c r="O978">
        <v>1</v>
      </c>
      <c r="P978" t="s">
        <v>14</v>
      </c>
      <c r="Q978">
        <v>2</v>
      </c>
      <c r="R978" s="8">
        <f>(Tabela2[[#This Row],[FAF_atividade_fisica_frequente_em_horas]]+ 0.1)</f>
        <v>0.545238</v>
      </c>
      <c r="S978" s="1">
        <f>(Tabela2[[#This Row],[TUE_tempo_uso_aparelhos_em_horas]]/Tabela2[[#This Row],[FAF_Var]])</f>
        <v>1.6668610771809742</v>
      </c>
      <c r="T978">
        <f>(Tabela2[[#This Row],[CAEC_lanche_entre_refeicoes]]*Tabela2[[#This Row],[FAVC_consumo_frequente_de_alimentos_mt_caloricos]])</f>
        <v>1</v>
      </c>
      <c r="U978" s="1">
        <f>IF(OR(Tabela2[[#This Row],[MTRANS]]="Walking",Tabela2[[#This Row],[MTRANS]]="Bike"),Tabela2[[#This Row],[FAF_atividade_fisica_frequente_em_horas]]+1,M978)</f>
        <v>0.44523800000000002</v>
      </c>
      <c r="V978">
        <f>(Tabela2[[#This Row],[SMOKE]]+Tabela2[[#This Row],[CALC_bebe_alcool_frequentemente]])</f>
        <v>1</v>
      </c>
      <c r="W978" s="8">
        <f>(Tabela2[[#This Row],[Weight]]/(Tabela2[[#This Row],[Height]] ^2))</f>
        <v>27.255733243294419</v>
      </c>
    </row>
    <row r="979" spans="1:23" x14ac:dyDescent="0.25">
      <c r="A979" t="s">
        <v>15</v>
      </c>
      <c r="B979" s="7">
        <v>21.180346</v>
      </c>
      <c r="C979" s="4">
        <v>1.773766</v>
      </c>
      <c r="D979" s="7">
        <v>89.282820000000001</v>
      </c>
      <c r="E979">
        <v>1</v>
      </c>
      <c r="F979">
        <v>1</v>
      </c>
      <c r="G979" s="2">
        <v>2.0106839999999999</v>
      </c>
      <c r="H979" s="2">
        <v>1.322087</v>
      </c>
      <c r="I979">
        <v>1</v>
      </c>
      <c r="J979">
        <v>0</v>
      </c>
      <c r="K979" s="2">
        <v>2</v>
      </c>
      <c r="L979">
        <v>0</v>
      </c>
      <c r="M979" s="7">
        <v>0.54039700000000002</v>
      </c>
      <c r="N979" s="7">
        <v>0.97383399999999998</v>
      </c>
      <c r="O979">
        <v>1</v>
      </c>
      <c r="P979" t="s">
        <v>14</v>
      </c>
      <c r="Q979">
        <v>3</v>
      </c>
      <c r="R979" s="8">
        <f>(Tabela2[[#This Row],[FAF_atividade_fisica_frequente_em_horas]]+ 0.1)</f>
        <v>0.64039699999999999</v>
      </c>
      <c r="S979" s="1">
        <f>(Tabela2[[#This Row],[TUE_tempo_uso_aparelhos_em_horas]]/Tabela2[[#This Row],[FAF_Var]])</f>
        <v>1.520672332943471</v>
      </c>
      <c r="T979">
        <f>(Tabela2[[#This Row],[CAEC_lanche_entre_refeicoes]]*Tabela2[[#This Row],[FAVC_consumo_frequente_de_alimentos_mt_caloricos]])</f>
        <v>1</v>
      </c>
      <c r="U979" s="1">
        <f>IF(OR(Tabela2[[#This Row],[MTRANS]]="Walking",Tabela2[[#This Row],[MTRANS]]="Bike"),Tabela2[[#This Row],[FAF_atividade_fisica_frequente_em_horas]]+1,M979)</f>
        <v>0.54039700000000002</v>
      </c>
      <c r="V979">
        <f>(Tabela2[[#This Row],[SMOKE]]+Tabela2[[#This Row],[CALC_bebe_alcool_frequentemente]])</f>
        <v>1</v>
      </c>
      <c r="W979" s="8">
        <f>(Tabela2[[#This Row],[Weight]]/(Tabela2[[#This Row],[Height]] ^2))</f>
        <v>28.377572837519548</v>
      </c>
    </row>
    <row r="980" spans="1:23" x14ac:dyDescent="0.25">
      <c r="A980" t="s">
        <v>15</v>
      </c>
      <c r="B980" s="7">
        <v>21.793724000000001</v>
      </c>
      <c r="C980" s="4">
        <v>1.7546299999999999</v>
      </c>
      <c r="D980" s="7">
        <v>89.068226999999993</v>
      </c>
      <c r="E980">
        <v>1</v>
      </c>
      <c r="F980">
        <v>1</v>
      </c>
      <c r="G980" s="2">
        <v>2</v>
      </c>
      <c r="H980" s="2">
        <v>2.0415580000000002</v>
      </c>
      <c r="I980">
        <v>1</v>
      </c>
      <c r="J980">
        <v>0</v>
      </c>
      <c r="K980" s="2">
        <v>2.3872499999999999</v>
      </c>
      <c r="L980">
        <v>0</v>
      </c>
      <c r="M980" s="7">
        <v>0.813917</v>
      </c>
      <c r="N980" s="7">
        <v>0</v>
      </c>
      <c r="O980">
        <v>1</v>
      </c>
      <c r="P980" t="s">
        <v>14</v>
      </c>
      <c r="Q980">
        <v>3</v>
      </c>
      <c r="R980" s="8">
        <f>(Tabela2[[#This Row],[FAF_atividade_fisica_frequente_em_horas]]+ 0.1)</f>
        <v>0.91391699999999998</v>
      </c>
      <c r="S980" s="1">
        <f>(Tabela2[[#This Row],[TUE_tempo_uso_aparelhos_em_horas]]/Tabela2[[#This Row],[FAF_Var]])</f>
        <v>0</v>
      </c>
      <c r="T980">
        <f>(Tabela2[[#This Row],[CAEC_lanche_entre_refeicoes]]*Tabela2[[#This Row],[FAVC_consumo_frequente_de_alimentos_mt_caloricos]])</f>
        <v>1</v>
      </c>
      <c r="U980" s="1">
        <f>IF(OR(Tabela2[[#This Row],[MTRANS]]="Walking",Tabela2[[#This Row],[MTRANS]]="Bike"),Tabela2[[#This Row],[FAF_atividade_fisica_frequente_em_horas]]+1,M980)</f>
        <v>0.813917</v>
      </c>
      <c r="V980">
        <f>(Tabela2[[#This Row],[SMOKE]]+Tabela2[[#This Row],[CALC_bebe_alcool_frequentemente]])</f>
        <v>1</v>
      </c>
      <c r="W980" s="8">
        <f>(Tabela2[[#This Row],[Weight]]/(Tabela2[[#This Row],[Height]] ^2))</f>
        <v>28.930218005885472</v>
      </c>
    </row>
    <row r="981" spans="1:23" x14ac:dyDescent="0.25">
      <c r="A981" t="s">
        <v>15</v>
      </c>
      <c r="B981" s="7">
        <v>20.880161000000001</v>
      </c>
      <c r="C981" s="4">
        <v>1.6743269999999999</v>
      </c>
      <c r="D981" s="7">
        <v>80</v>
      </c>
      <c r="E981">
        <v>1</v>
      </c>
      <c r="F981">
        <v>1</v>
      </c>
      <c r="G981" s="2">
        <v>2</v>
      </c>
      <c r="H981" s="2">
        <v>3</v>
      </c>
      <c r="I981">
        <v>1</v>
      </c>
      <c r="J981">
        <v>0</v>
      </c>
      <c r="K981" s="2">
        <v>2</v>
      </c>
      <c r="L981">
        <v>0</v>
      </c>
      <c r="M981" s="7">
        <v>1.66639</v>
      </c>
      <c r="N981" s="7">
        <v>1.4432119999999999</v>
      </c>
      <c r="O981">
        <v>0</v>
      </c>
      <c r="P981" t="s">
        <v>14</v>
      </c>
      <c r="Q981">
        <v>3</v>
      </c>
      <c r="R981" s="8">
        <f>(Tabela2[[#This Row],[FAF_atividade_fisica_frequente_em_horas]]+ 0.1)</f>
        <v>1.7663900000000001</v>
      </c>
      <c r="S981" s="1">
        <f>(Tabela2[[#This Row],[TUE_tempo_uso_aparelhos_em_horas]]/Tabela2[[#This Row],[FAF_Var]])</f>
        <v>0.81704040444069537</v>
      </c>
      <c r="T981">
        <f>(Tabela2[[#This Row],[CAEC_lanche_entre_refeicoes]]*Tabela2[[#This Row],[FAVC_consumo_frequente_de_alimentos_mt_caloricos]])</f>
        <v>1</v>
      </c>
      <c r="U981" s="1">
        <f>IF(OR(Tabela2[[#This Row],[MTRANS]]="Walking",Tabela2[[#This Row],[MTRANS]]="Bike"),Tabela2[[#This Row],[FAF_atividade_fisica_frequente_em_horas]]+1,M981)</f>
        <v>1.66639</v>
      </c>
      <c r="V981">
        <f>(Tabela2[[#This Row],[SMOKE]]+Tabela2[[#This Row],[CALC_bebe_alcool_frequentemente]])</f>
        <v>0</v>
      </c>
      <c r="W981" s="8">
        <f>(Tabela2[[#This Row],[Weight]]/(Tabela2[[#This Row],[Height]] ^2))</f>
        <v>28.537072963272511</v>
      </c>
    </row>
    <row r="982" spans="1:23" x14ac:dyDescent="0.25">
      <c r="A982" t="s">
        <v>15</v>
      </c>
      <c r="B982" s="7">
        <v>21.183540000000001</v>
      </c>
      <c r="C982" s="4">
        <v>1.72</v>
      </c>
      <c r="D982" s="7">
        <v>80.555875</v>
      </c>
      <c r="E982">
        <v>1</v>
      </c>
      <c r="F982">
        <v>1</v>
      </c>
      <c r="G982" s="2">
        <v>2</v>
      </c>
      <c r="H982" s="2">
        <v>2.4684210000000002</v>
      </c>
      <c r="I982">
        <v>1</v>
      </c>
      <c r="J982">
        <v>0</v>
      </c>
      <c r="K982" s="2">
        <v>2</v>
      </c>
      <c r="L982">
        <v>0</v>
      </c>
      <c r="M982" s="7">
        <v>2</v>
      </c>
      <c r="N982" s="7">
        <v>1</v>
      </c>
      <c r="O982">
        <v>0</v>
      </c>
      <c r="P982" t="s">
        <v>14</v>
      </c>
      <c r="Q982">
        <v>3</v>
      </c>
      <c r="R982" s="8">
        <f>(Tabela2[[#This Row],[FAF_atividade_fisica_frequente_em_horas]]+ 0.1)</f>
        <v>2.1</v>
      </c>
      <c r="S982" s="1">
        <f>(Tabela2[[#This Row],[TUE_tempo_uso_aparelhos_em_horas]]/Tabela2[[#This Row],[FAF_Var]])</f>
        <v>0.47619047619047616</v>
      </c>
      <c r="T982">
        <f>(Tabela2[[#This Row],[CAEC_lanche_entre_refeicoes]]*Tabela2[[#This Row],[FAVC_consumo_frequente_de_alimentos_mt_caloricos]])</f>
        <v>1</v>
      </c>
      <c r="U982" s="1">
        <f>IF(OR(Tabela2[[#This Row],[MTRANS]]="Walking",Tabela2[[#This Row],[MTRANS]]="Bike"),Tabela2[[#This Row],[FAF_atividade_fisica_frequente_em_horas]]+1,M982)</f>
        <v>2</v>
      </c>
      <c r="V982">
        <f>(Tabela2[[#This Row],[SMOKE]]+Tabela2[[#This Row],[CALC_bebe_alcool_frequentemente]])</f>
        <v>0</v>
      </c>
      <c r="W982" s="8">
        <f>(Tabela2[[#This Row],[Weight]]/(Tabela2[[#This Row],[Height]] ^2))</f>
        <v>27.229541306111415</v>
      </c>
    </row>
    <row r="983" spans="1:23" x14ac:dyDescent="0.25">
      <c r="A983" t="s">
        <v>15</v>
      </c>
      <c r="B983" s="7">
        <v>32.774487999999998</v>
      </c>
      <c r="C983" s="4">
        <v>1.913241</v>
      </c>
      <c r="D983" s="7">
        <v>101.48205400000001</v>
      </c>
      <c r="E983">
        <v>1</v>
      </c>
      <c r="F983">
        <v>1</v>
      </c>
      <c r="G983" s="2">
        <v>2</v>
      </c>
      <c r="H983" s="2">
        <v>2.1109369999999998</v>
      </c>
      <c r="I983">
        <v>1</v>
      </c>
      <c r="J983">
        <v>0</v>
      </c>
      <c r="K983" s="2">
        <v>2.1756319999999998</v>
      </c>
      <c r="L983">
        <v>0</v>
      </c>
      <c r="M983" s="7">
        <v>1</v>
      </c>
      <c r="N983" s="7">
        <v>0</v>
      </c>
      <c r="O983">
        <v>1</v>
      </c>
      <c r="P983" t="s">
        <v>16</v>
      </c>
      <c r="Q983">
        <v>3</v>
      </c>
      <c r="R983" s="8">
        <f>(Tabela2[[#This Row],[FAF_atividade_fisica_frequente_em_horas]]+ 0.1)</f>
        <v>1.1000000000000001</v>
      </c>
      <c r="S983" s="1">
        <f>(Tabela2[[#This Row],[TUE_tempo_uso_aparelhos_em_horas]]/Tabela2[[#This Row],[FAF_Var]])</f>
        <v>0</v>
      </c>
      <c r="T983">
        <f>(Tabela2[[#This Row],[CAEC_lanche_entre_refeicoes]]*Tabela2[[#This Row],[FAVC_consumo_frequente_de_alimentos_mt_caloricos]])</f>
        <v>1</v>
      </c>
      <c r="U983" s="1">
        <f>IF(OR(Tabela2[[#This Row],[MTRANS]]="Walking",Tabela2[[#This Row],[MTRANS]]="Bike"),Tabela2[[#This Row],[FAF_atividade_fisica_frequente_em_horas]]+1,M983)</f>
        <v>2</v>
      </c>
      <c r="V983">
        <f>(Tabela2[[#This Row],[SMOKE]]+Tabela2[[#This Row],[CALC_bebe_alcool_frequentemente]])</f>
        <v>1</v>
      </c>
      <c r="W983" s="8">
        <f>(Tabela2[[#This Row],[Weight]]/(Tabela2[[#This Row],[Height]] ^2))</f>
        <v>27.723617012041796</v>
      </c>
    </row>
    <row r="984" spans="1:23" x14ac:dyDescent="0.25">
      <c r="A984" t="s">
        <v>15</v>
      </c>
      <c r="B984" s="7">
        <v>31.327608999999999</v>
      </c>
      <c r="C984" s="4">
        <v>1.737984</v>
      </c>
      <c r="D984" s="7">
        <v>82.523112999999995</v>
      </c>
      <c r="E984">
        <v>1</v>
      </c>
      <c r="F984">
        <v>1</v>
      </c>
      <c r="G984" s="2">
        <v>2.300408</v>
      </c>
      <c r="H984" s="2">
        <v>3.0710280000000001</v>
      </c>
      <c r="I984">
        <v>1</v>
      </c>
      <c r="J984">
        <v>0</v>
      </c>
      <c r="K984" s="2">
        <v>1.7389589999999999</v>
      </c>
      <c r="L984">
        <v>0</v>
      </c>
      <c r="M984" s="7">
        <v>9.0147000000000005E-2</v>
      </c>
      <c r="N984" s="7">
        <v>0</v>
      </c>
      <c r="O984">
        <v>1</v>
      </c>
      <c r="P984" t="s">
        <v>17</v>
      </c>
      <c r="Q984">
        <v>3</v>
      </c>
      <c r="R984" s="8">
        <f>(Tabela2[[#This Row],[FAF_atividade_fisica_frequente_em_horas]]+ 0.1)</f>
        <v>0.19014700000000001</v>
      </c>
      <c r="S984" s="1">
        <f>(Tabela2[[#This Row],[TUE_tempo_uso_aparelhos_em_horas]]/Tabela2[[#This Row],[FAF_Var]])</f>
        <v>0</v>
      </c>
      <c r="T984">
        <f>(Tabela2[[#This Row],[CAEC_lanche_entre_refeicoes]]*Tabela2[[#This Row],[FAVC_consumo_frequente_de_alimentos_mt_caloricos]])</f>
        <v>1</v>
      </c>
      <c r="U984" s="1">
        <f>IF(OR(Tabela2[[#This Row],[MTRANS]]="Walking",Tabela2[[#This Row],[MTRANS]]="Bike"),Tabela2[[#This Row],[FAF_atividade_fisica_frequente_em_horas]]+1,M984)</f>
        <v>9.0147000000000005E-2</v>
      </c>
      <c r="V984">
        <f>(Tabela2[[#This Row],[SMOKE]]+Tabela2[[#This Row],[CALC_bebe_alcool_frequentemente]])</f>
        <v>1</v>
      </c>
      <c r="W984" s="8">
        <f>(Tabela2[[#This Row],[Weight]]/(Tabela2[[#This Row],[Height]] ^2))</f>
        <v>27.32021133039159</v>
      </c>
    </row>
    <row r="985" spans="1:23" x14ac:dyDescent="0.25">
      <c r="A985" t="s">
        <v>15</v>
      </c>
      <c r="B985" s="7">
        <v>29.956198000000001</v>
      </c>
      <c r="C985" s="4">
        <v>1.7036880000000001</v>
      </c>
      <c r="D985" s="7">
        <v>82.207977999999997</v>
      </c>
      <c r="E985">
        <v>1</v>
      </c>
      <c r="F985">
        <v>1</v>
      </c>
      <c r="G985" s="2">
        <v>2.1196429999999999</v>
      </c>
      <c r="H985" s="2">
        <v>3.2929560000000002</v>
      </c>
      <c r="I985">
        <v>1</v>
      </c>
      <c r="J985">
        <v>0</v>
      </c>
      <c r="K985" s="2">
        <v>1.7233719999999999</v>
      </c>
      <c r="L985">
        <v>0</v>
      </c>
      <c r="M985" s="7">
        <v>0</v>
      </c>
      <c r="N985" s="7">
        <v>0.98710200000000003</v>
      </c>
      <c r="O985">
        <v>1</v>
      </c>
      <c r="P985" t="s">
        <v>17</v>
      </c>
      <c r="Q985">
        <v>3</v>
      </c>
      <c r="R985" s="8">
        <f>(Tabela2[[#This Row],[FAF_atividade_fisica_frequente_em_horas]]+ 0.1)</f>
        <v>0.1</v>
      </c>
      <c r="S985" s="1">
        <f>(Tabela2[[#This Row],[TUE_tempo_uso_aparelhos_em_horas]]/Tabela2[[#This Row],[FAF_Var]])</f>
        <v>9.8710199999999997</v>
      </c>
      <c r="T985">
        <f>(Tabela2[[#This Row],[CAEC_lanche_entre_refeicoes]]*Tabela2[[#This Row],[FAVC_consumo_frequente_de_alimentos_mt_caloricos]])</f>
        <v>1</v>
      </c>
      <c r="U985" s="1">
        <f>IF(OR(Tabela2[[#This Row],[MTRANS]]="Walking",Tabela2[[#This Row],[MTRANS]]="Bike"),Tabela2[[#This Row],[FAF_atividade_fisica_frequente_em_horas]]+1,M985)</f>
        <v>0</v>
      </c>
      <c r="V985">
        <f>(Tabela2[[#This Row],[SMOKE]]+Tabela2[[#This Row],[CALC_bebe_alcool_frequentemente]])</f>
        <v>1</v>
      </c>
      <c r="W985" s="8">
        <f>(Tabela2[[#This Row],[Weight]]/(Tabela2[[#This Row],[Height]] ^2))</f>
        <v>28.322646865178246</v>
      </c>
    </row>
    <row r="986" spans="1:23" x14ac:dyDescent="0.25">
      <c r="A986" t="s">
        <v>15</v>
      </c>
      <c r="B986" s="7">
        <v>21.403421000000002</v>
      </c>
      <c r="C986" s="4">
        <v>1.7163079999999999</v>
      </c>
      <c r="D986" s="7">
        <v>80</v>
      </c>
      <c r="E986">
        <v>1</v>
      </c>
      <c r="F986">
        <v>1</v>
      </c>
      <c r="G986" s="2">
        <v>2</v>
      </c>
      <c r="H986" s="2">
        <v>3</v>
      </c>
      <c r="I986">
        <v>1</v>
      </c>
      <c r="J986">
        <v>0</v>
      </c>
      <c r="K986" s="2">
        <v>2</v>
      </c>
      <c r="L986">
        <v>0</v>
      </c>
      <c r="M986" s="7">
        <v>2.9365510000000001</v>
      </c>
      <c r="N986" s="7">
        <v>1.40913</v>
      </c>
      <c r="O986">
        <v>0</v>
      </c>
      <c r="P986" t="s">
        <v>14</v>
      </c>
      <c r="Q986">
        <v>3</v>
      </c>
      <c r="R986" s="8">
        <f>(Tabela2[[#This Row],[FAF_atividade_fisica_frequente_em_horas]]+ 0.1)</f>
        <v>3.0365510000000002</v>
      </c>
      <c r="S986" s="1">
        <f>(Tabela2[[#This Row],[TUE_tempo_uso_aparelhos_em_horas]]/Tabela2[[#This Row],[FAF_Var]])</f>
        <v>0.46405609522119007</v>
      </c>
      <c r="T986">
        <f>(Tabela2[[#This Row],[CAEC_lanche_entre_refeicoes]]*Tabela2[[#This Row],[FAVC_consumo_frequente_de_alimentos_mt_caloricos]])</f>
        <v>1</v>
      </c>
      <c r="U986" s="1">
        <f>IF(OR(Tabela2[[#This Row],[MTRANS]]="Walking",Tabela2[[#This Row],[MTRANS]]="Bike"),Tabela2[[#This Row],[FAF_atividade_fisica_frequente_em_horas]]+1,M986)</f>
        <v>2.9365510000000001</v>
      </c>
      <c r="V986">
        <f>(Tabela2[[#This Row],[SMOKE]]+Tabela2[[#This Row],[CALC_bebe_alcool_frequentemente]])</f>
        <v>0</v>
      </c>
      <c r="W986" s="8">
        <f>(Tabela2[[#This Row],[Weight]]/(Tabela2[[#This Row],[Height]] ^2))</f>
        <v>27.158109395864088</v>
      </c>
    </row>
    <row r="987" spans="1:23" x14ac:dyDescent="0.25">
      <c r="A987" t="s">
        <v>15</v>
      </c>
      <c r="B987" s="7">
        <v>22.591439000000001</v>
      </c>
      <c r="C987" s="4">
        <v>1.65</v>
      </c>
      <c r="D987" s="7">
        <v>80</v>
      </c>
      <c r="E987">
        <v>1</v>
      </c>
      <c r="F987">
        <v>1</v>
      </c>
      <c r="G987" s="2">
        <v>2</v>
      </c>
      <c r="H987" s="2">
        <v>3</v>
      </c>
      <c r="I987">
        <v>1</v>
      </c>
      <c r="J987">
        <v>0</v>
      </c>
      <c r="K987" s="2">
        <v>2</v>
      </c>
      <c r="L987">
        <v>0</v>
      </c>
      <c r="M987" s="7">
        <v>0.45107799999999998</v>
      </c>
      <c r="N987" s="7">
        <v>2</v>
      </c>
      <c r="O987">
        <v>0</v>
      </c>
      <c r="P987" t="s">
        <v>14</v>
      </c>
      <c r="Q987">
        <v>3</v>
      </c>
      <c r="R987" s="8">
        <f>(Tabela2[[#This Row],[FAF_atividade_fisica_frequente_em_horas]]+ 0.1)</f>
        <v>0.55107799999999996</v>
      </c>
      <c r="S987" s="1">
        <f>(Tabela2[[#This Row],[TUE_tempo_uso_aparelhos_em_horas]]/Tabela2[[#This Row],[FAF_Var]])</f>
        <v>3.6292503057643386</v>
      </c>
      <c r="T987">
        <f>(Tabela2[[#This Row],[CAEC_lanche_entre_refeicoes]]*Tabela2[[#This Row],[FAVC_consumo_frequente_de_alimentos_mt_caloricos]])</f>
        <v>1</v>
      </c>
      <c r="U987" s="1">
        <f>IF(OR(Tabela2[[#This Row],[MTRANS]]="Walking",Tabela2[[#This Row],[MTRANS]]="Bike"),Tabela2[[#This Row],[FAF_atividade_fisica_frequente_em_horas]]+1,M987)</f>
        <v>0.45107799999999998</v>
      </c>
      <c r="V987">
        <f>(Tabela2[[#This Row],[SMOKE]]+Tabela2[[#This Row],[CALC_bebe_alcool_frequentemente]])</f>
        <v>0</v>
      </c>
      <c r="W987" s="8">
        <f>(Tabela2[[#This Row],[Weight]]/(Tabela2[[#This Row],[Height]] ^2))</f>
        <v>29.384756657483933</v>
      </c>
    </row>
    <row r="988" spans="1:23" x14ac:dyDescent="0.25">
      <c r="A988" t="s">
        <v>13</v>
      </c>
      <c r="B988" s="7">
        <v>28.583943999999999</v>
      </c>
      <c r="C988" s="4">
        <v>1.57856</v>
      </c>
      <c r="D988" s="7">
        <v>65.522744000000003</v>
      </c>
      <c r="E988">
        <v>1</v>
      </c>
      <c r="F988">
        <v>0</v>
      </c>
      <c r="G988" s="2">
        <v>2</v>
      </c>
      <c r="H988" s="2">
        <v>2.2836729999999998</v>
      </c>
      <c r="I988">
        <v>1</v>
      </c>
      <c r="J988">
        <v>0</v>
      </c>
      <c r="K988" s="2">
        <v>1.9706220000000001</v>
      </c>
      <c r="L988">
        <v>0</v>
      </c>
      <c r="M988" s="7">
        <v>1.8632580000000001</v>
      </c>
      <c r="N988" s="7">
        <v>1.5817030000000001</v>
      </c>
      <c r="O988">
        <v>1</v>
      </c>
      <c r="P988" t="s">
        <v>14</v>
      </c>
      <c r="Q988">
        <v>3</v>
      </c>
      <c r="R988" s="8">
        <f>(Tabela2[[#This Row],[FAF_atividade_fisica_frequente_em_horas]]+ 0.1)</f>
        <v>1.9632580000000002</v>
      </c>
      <c r="S988" s="1">
        <f>(Tabela2[[#This Row],[TUE_tempo_uso_aparelhos_em_horas]]/Tabela2[[#This Row],[FAF_Var]])</f>
        <v>0.80565213537904845</v>
      </c>
      <c r="T988">
        <f>(Tabela2[[#This Row],[CAEC_lanche_entre_refeicoes]]*Tabela2[[#This Row],[FAVC_consumo_frequente_de_alimentos_mt_caloricos]])</f>
        <v>0</v>
      </c>
      <c r="U988" s="1">
        <f>IF(OR(Tabela2[[#This Row],[MTRANS]]="Walking",Tabela2[[#This Row],[MTRANS]]="Bike"),Tabela2[[#This Row],[FAF_atividade_fisica_frequente_em_horas]]+1,M988)</f>
        <v>1.8632580000000001</v>
      </c>
      <c r="V988">
        <f>(Tabela2[[#This Row],[SMOKE]]+Tabela2[[#This Row],[CALC_bebe_alcool_frequentemente]])</f>
        <v>1</v>
      </c>
      <c r="W988" s="8">
        <f>(Tabela2[[#This Row],[Weight]]/(Tabela2[[#This Row],[Height]] ^2))</f>
        <v>26.294801048626912</v>
      </c>
    </row>
    <row r="989" spans="1:23" x14ac:dyDescent="0.25">
      <c r="A989" t="s">
        <v>15</v>
      </c>
      <c r="B989" s="7">
        <v>38.825189000000002</v>
      </c>
      <c r="C989" s="4">
        <v>1.7808459999999999</v>
      </c>
      <c r="D989" s="7">
        <v>85.687751000000006</v>
      </c>
      <c r="E989">
        <v>1</v>
      </c>
      <c r="F989">
        <v>1</v>
      </c>
      <c r="G989" s="2">
        <v>2.9019240000000002</v>
      </c>
      <c r="H989" s="2">
        <v>1.1249769999999999</v>
      </c>
      <c r="I989">
        <v>1</v>
      </c>
      <c r="J989">
        <v>0</v>
      </c>
      <c r="K989" s="2">
        <v>2.7638199999999999</v>
      </c>
      <c r="L989">
        <v>0</v>
      </c>
      <c r="M989" s="7">
        <v>0.85540000000000005</v>
      </c>
      <c r="N989" s="7">
        <v>0.99918300000000004</v>
      </c>
      <c r="O989">
        <v>1</v>
      </c>
      <c r="P989" t="s">
        <v>17</v>
      </c>
      <c r="Q989">
        <v>3</v>
      </c>
      <c r="R989" s="8">
        <f>(Tabela2[[#This Row],[FAF_atividade_fisica_frequente_em_horas]]+ 0.1)</f>
        <v>0.95540000000000003</v>
      </c>
      <c r="S989" s="1">
        <f>(Tabela2[[#This Row],[TUE_tempo_uso_aparelhos_em_horas]]/Tabela2[[#This Row],[FAF_Var]])</f>
        <v>1.0458268787942224</v>
      </c>
      <c r="T989">
        <f>(Tabela2[[#This Row],[CAEC_lanche_entre_refeicoes]]*Tabela2[[#This Row],[FAVC_consumo_frequente_de_alimentos_mt_caloricos]])</f>
        <v>1</v>
      </c>
      <c r="U989" s="1">
        <f>IF(OR(Tabela2[[#This Row],[MTRANS]]="Walking",Tabela2[[#This Row],[MTRANS]]="Bike"),Tabela2[[#This Row],[FAF_atividade_fisica_frequente_em_horas]]+1,M989)</f>
        <v>0.85540000000000005</v>
      </c>
      <c r="V989">
        <f>(Tabela2[[#This Row],[SMOKE]]+Tabela2[[#This Row],[CALC_bebe_alcool_frequentemente]])</f>
        <v>1</v>
      </c>
      <c r="W989" s="8">
        <f>(Tabela2[[#This Row],[Weight]]/(Tabela2[[#This Row],[Height]] ^2))</f>
        <v>27.018797351692502</v>
      </c>
    </row>
    <row r="990" spans="1:23" x14ac:dyDescent="0.25">
      <c r="A990" t="s">
        <v>15</v>
      </c>
      <c r="B990" s="7">
        <v>35.217173000000003</v>
      </c>
      <c r="C990" s="4">
        <v>1.8231679999999999</v>
      </c>
      <c r="D990" s="7">
        <v>91.630257</v>
      </c>
      <c r="E990">
        <v>1</v>
      </c>
      <c r="F990">
        <v>1</v>
      </c>
      <c r="G990" s="2">
        <v>2</v>
      </c>
      <c r="H990" s="2">
        <v>2.9948000000000001</v>
      </c>
      <c r="I990">
        <v>1</v>
      </c>
      <c r="J990">
        <v>0</v>
      </c>
      <c r="K990" s="2">
        <v>1.2909790000000001</v>
      </c>
      <c r="L990">
        <v>0</v>
      </c>
      <c r="M990" s="7">
        <v>0.87599000000000005</v>
      </c>
      <c r="N990" s="7">
        <v>0.85404999999999998</v>
      </c>
      <c r="O990">
        <v>1</v>
      </c>
      <c r="P990" t="s">
        <v>17</v>
      </c>
      <c r="Q990">
        <v>3</v>
      </c>
      <c r="R990" s="8">
        <f>(Tabela2[[#This Row],[FAF_atividade_fisica_frequente_em_horas]]+ 0.1)</f>
        <v>0.97599000000000002</v>
      </c>
      <c r="S990" s="1">
        <f>(Tabela2[[#This Row],[TUE_tempo_uso_aparelhos_em_horas]]/Tabela2[[#This Row],[FAF_Var]])</f>
        <v>0.87506019528888612</v>
      </c>
      <c r="T990">
        <f>(Tabela2[[#This Row],[CAEC_lanche_entre_refeicoes]]*Tabela2[[#This Row],[FAVC_consumo_frequente_de_alimentos_mt_caloricos]])</f>
        <v>1</v>
      </c>
      <c r="U990" s="1">
        <f>IF(OR(Tabela2[[#This Row],[MTRANS]]="Walking",Tabela2[[#This Row],[MTRANS]]="Bike"),Tabela2[[#This Row],[FAF_atividade_fisica_frequente_em_horas]]+1,M990)</f>
        <v>0.87599000000000005</v>
      </c>
      <c r="V990">
        <f>(Tabela2[[#This Row],[SMOKE]]+Tabela2[[#This Row],[CALC_bebe_alcool_frequentemente]])</f>
        <v>1</v>
      </c>
      <c r="W990" s="8">
        <f>(Tabela2[[#This Row],[Weight]]/(Tabela2[[#This Row],[Height]] ^2))</f>
        <v>27.566747323948753</v>
      </c>
    </row>
    <row r="991" spans="1:23" x14ac:dyDescent="0.25">
      <c r="A991" t="s">
        <v>13</v>
      </c>
      <c r="B991" s="7">
        <v>20.392665000000001</v>
      </c>
      <c r="C991" s="4">
        <v>1.525234</v>
      </c>
      <c r="D991" s="7">
        <v>65.220248999999995</v>
      </c>
      <c r="E991">
        <v>1</v>
      </c>
      <c r="F991">
        <v>0</v>
      </c>
      <c r="G991" s="2">
        <v>2.451009</v>
      </c>
      <c r="H991" s="2">
        <v>3</v>
      </c>
      <c r="I991">
        <v>1</v>
      </c>
      <c r="J991">
        <v>0</v>
      </c>
      <c r="K991" s="2">
        <v>2</v>
      </c>
      <c r="L991">
        <v>0</v>
      </c>
      <c r="M991" s="7">
        <v>2.1772429999999998</v>
      </c>
      <c r="N991" s="7">
        <v>1.323877</v>
      </c>
      <c r="O991">
        <v>0</v>
      </c>
      <c r="P991" t="s">
        <v>14</v>
      </c>
      <c r="Q991">
        <v>3</v>
      </c>
      <c r="R991" s="8">
        <f>(Tabela2[[#This Row],[FAF_atividade_fisica_frequente_em_horas]]+ 0.1)</f>
        <v>2.2772429999999999</v>
      </c>
      <c r="S991" s="1">
        <f>(Tabela2[[#This Row],[TUE_tempo_uso_aparelhos_em_horas]]/Tabela2[[#This Row],[FAF_Var]])</f>
        <v>0.58135078250322869</v>
      </c>
      <c r="T991">
        <f>(Tabela2[[#This Row],[CAEC_lanche_entre_refeicoes]]*Tabela2[[#This Row],[FAVC_consumo_frequente_de_alimentos_mt_caloricos]])</f>
        <v>0</v>
      </c>
      <c r="U991" s="1">
        <f>IF(OR(Tabela2[[#This Row],[MTRANS]]="Walking",Tabela2[[#This Row],[MTRANS]]="Bike"),Tabela2[[#This Row],[FAF_atividade_fisica_frequente_em_horas]]+1,M991)</f>
        <v>2.1772429999999998</v>
      </c>
      <c r="V991">
        <f>(Tabela2[[#This Row],[SMOKE]]+Tabela2[[#This Row],[CALC_bebe_alcool_frequentemente]])</f>
        <v>0</v>
      </c>
      <c r="W991" s="8">
        <f>(Tabela2[[#This Row],[Weight]]/(Tabela2[[#This Row],[Height]] ^2))</f>
        <v>28.035576876610424</v>
      </c>
    </row>
    <row r="992" spans="1:23" x14ac:dyDescent="0.25">
      <c r="A992" t="s">
        <v>13</v>
      </c>
      <c r="B992" s="7">
        <v>22.154854</v>
      </c>
      <c r="C992" s="4">
        <v>1.4816819999999999</v>
      </c>
      <c r="D992" s="7">
        <v>61.373868000000002</v>
      </c>
      <c r="E992">
        <v>1</v>
      </c>
      <c r="F992">
        <v>0</v>
      </c>
      <c r="G992" s="2">
        <v>2</v>
      </c>
      <c r="H992" s="2">
        <v>2.9832969999999999</v>
      </c>
      <c r="I992">
        <v>1</v>
      </c>
      <c r="J992">
        <v>0</v>
      </c>
      <c r="K992" s="2">
        <v>1.4536260000000001</v>
      </c>
      <c r="L992">
        <v>0</v>
      </c>
      <c r="M992" s="7">
        <v>0.32895999999999997</v>
      </c>
      <c r="N992" s="7">
        <v>0.50939599999999996</v>
      </c>
      <c r="O992">
        <v>0</v>
      </c>
      <c r="P992" t="s">
        <v>14</v>
      </c>
      <c r="Q992">
        <v>3</v>
      </c>
      <c r="R992" s="8">
        <f>(Tabela2[[#This Row],[FAF_atividade_fisica_frequente_em_horas]]+ 0.1)</f>
        <v>0.42896000000000001</v>
      </c>
      <c r="S992" s="1">
        <f>(Tabela2[[#This Row],[TUE_tempo_uso_aparelhos_em_horas]]/Tabela2[[#This Row],[FAF_Var]])</f>
        <v>1.1875139873181648</v>
      </c>
      <c r="T992">
        <f>(Tabela2[[#This Row],[CAEC_lanche_entre_refeicoes]]*Tabela2[[#This Row],[FAVC_consumo_frequente_de_alimentos_mt_caloricos]])</f>
        <v>0</v>
      </c>
      <c r="U992" s="1">
        <f>IF(OR(Tabela2[[#This Row],[MTRANS]]="Walking",Tabela2[[#This Row],[MTRANS]]="Bike"),Tabela2[[#This Row],[FAF_atividade_fisica_frequente_em_horas]]+1,M992)</f>
        <v>0.32895999999999997</v>
      </c>
      <c r="V992">
        <f>(Tabela2[[#This Row],[SMOKE]]+Tabela2[[#This Row],[CALC_bebe_alcool_frequentemente]])</f>
        <v>0</v>
      </c>
      <c r="W992" s="8">
        <f>(Tabela2[[#This Row],[Weight]]/(Tabela2[[#This Row],[Height]] ^2))</f>
        <v>27.955900433111218</v>
      </c>
    </row>
    <row r="993" spans="1:23" x14ac:dyDescent="0.25">
      <c r="A993" t="s">
        <v>15</v>
      </c>
      <c r="B993" s="7">
        <v>19.108796000000002</v>
      </c>
      <c r="C993" s="4">
        <v>1.768578</v>
      </c>
      <c r="D993" s="7">
        <v>87.803310999999994</v>
      </c>
      <c r="E993">
        <v>1</v>
      </c>
      <c r="F993">
        <v>1</v>
      </c>
      <c r="G993" s="2">
        <v>2.7546460000000002</v>
      </c>
      <c r="H993" s="2">
        <v>3</v>
      </c>
      <c r="I993">
        <v>1</v>
      </c>
      <c r="J993">
        <v>0</v>
      </c>
      <c r="K993" s="2">
        <v>2.957821</v>
      </c>
      <c r="L993">
        <v>0</v>
      </c>
      <c r="M993" s="7">
        <v>2.2427540000000001</v>
      </c>
      <c r="N993" s="7">
        <v>0.786609</v>
      </c>
      <c r="O993">
        <v>1</v>
      </c>
      <c r="P993" t="s">
        <v>14</v>
      </c>
      <c r="Q993">
        <v>3</v>
      </c>
      <c r="R993" s="8">
        <f>(Tabela2[[#This Row],[FAF_atividade_fisica_frequente_em_horas]]+ 0.1)</f>
        <v>2.3427540000000002</v>
      </c>
      <c r="S993" s="1">
        <f>(Tabela2[[#This Row],[TUE_tempo_uso_aparelhos_em_horas]]/Tabela2[[#This Row],[FAF_Var]])</f>
        <v>0.33576252564289716</v>
      </c>
      <c r="T993">
        <f>(Tabela2[[#This Row],[CAEC_lanche_entre_refeicoes]]*Tabela2[[#This Row],[FAVC_consumo_frequente_de_alimentos_mt_caloricos]])</f>
        <v>1</v>
      </c>
      <c r="U993" s="1">
        <f>IF(OR(Tabela2[[#This Row],[MTRANS]]="Walking",Tabela2[[#This Row],[MTRANS]]="Bike"),Tabela2[[#This Row],[FAF_atividade_fisica_frequente_em_horas]]+1,M993)</f>
        <v>2.2427540000000001</v>
      </c>
      <c r="V993">
        <f>(Tabela2[[#This Row],[SMOKE]]+Tabela2[[#This Row],[CALC_bebe_alcool_frequentemente]])</f>
        <v>1</v>
      </c>
      <c r="W993" s="8">
        <f>(Tabela2[[#This Row],[Weight]]/(Tabela2[[#This Row],[Height]] ^2))</f>
        <v>28.071295531498784</v>
      </c>
    </row>
    <row r="994" spans="1:23" x14ac:dyDescent="0.25">
      <c r="A994" t="s">
        <v>13</v>
      </c>
      <c r="B994" s="7">
        <v>20.70768</v>
      </c>
      <c r="C994" s="4">
        <v>1.5698780000000001</v>
      </c>
      <c r="D994" s="7">
        <v>69.743323000000004</v>
      </c>
      <c r="E994">
        <v>1</v>
      </c>
      <c r="F994">
        <v>0</v>
      </c>
      <c r="G994" s="2">
        <v>2.4176350000000002</v>
      </c>
      <c r="H994" s="2">
        <v>3</v>
      </c>
      <c r="I994">
        <v>1</v>
      </c>
      <c r="J994">
        <v>0</v>
      </c>
      <c r="K994" s="2">
        <v>1.9376739999999999</v>
      </c>
      <c r="L994">
        <v>0</v>
      </c>
      <c r="M994" s="7">
        <v>1.417035</v>
      </c>
      <c r="N994" s="7">
        <v>1</v>
      </c>
      <c r="O994">
        <v>0</v>
      </c>
      <c r="P994" t="s">
        <v>14</v>
      </c>
      <c r="Q994">
        <v>3</v>
      </c>
      <c r="R994" s="8">
        <f>(Tabela2[[#This Row],[FAF_atividade_fisica_frequente_em_horas]]+ 0.1)</f>
        <v>1.5170350000000001</v>
      </c>
      <c r="S994" s="1">
        <f>(Tabela2[[#This Row],[TUE_tempo_uso_aparelhos_em_horas]]/Tabela2[[#This Row],[FAF_Var]])</f>
        <v>0.65918057263016339</v>
      </c>
      <c r="T994">
        <f>(Tabela2[[#This Row],[CAEC_lanche_entre_refeicoes]]*Tabela2[[#This Row],[FAVC_consumo_frequente_de_alimentos_mt_caloricos]])</f>
        <v>0</v>
      </c>
      <c r="U994" s="1">
        <f>IF(OR(Tabela2[[#This Row],[MTRANS]]="Walking",Tabela2[[#This Row],[MTRANS]]="Bike"),Tabela2[[#This Row],[FAF_atividade_fisica_frequente_em_horas]]+1,M994)</f>
        <v>1.417035</v>
      </c>
      <c r="V994">
        <f>(Tabela2[[#This Row],[SMOKE]]+Tabela2[[#This Row],[CALC_bebe_alcool_frequentemente]])</f>
        <v>0</v>
      </c>
      <c r="W994" s="8">
        <f>(Tabela2[[#This Row],[Weight]]/(Tabela2[[#This Row],[Height]] ^2))</f>
        <v>28.298983063503552</v>
      </c>
    </row>
    <row r="995" spans="1:23" x14ac:dyDescent="0.25">
      <c r="A995" t="s">
        <v>13</v>
      </c>
      <c r="B995" s="7">
        <v>20.634694</v>
      </c>
      <c r="C995" s="4">
        <v>1.5681879999999999</v>
      </c>
      <c r="D995" s="7">
        <v>67.904022999999995</v>
      </c>
      <c r="E995">
        <v>1</v>
      </c>
      <c r="F995">
        <v>0</v>
      </c>
      <c r="G995" s="2">
        <v>2.5127190000000001</v>
      </c>
      <c r="H995" s="2">
        <v>3</v>
      </c>
      <c r="I995">
        <v>1</v>
      </c>
      <c r="J995">
        <v>0</v>
      </c>
      <c r="K995" s="2">
        <v>1.1311690000000001</v>
      </c>
      <c r="L995">
        <v>0</v>
      </c>
      <c r="M995" s="7">
        <v>9.5389000000000002E-2</v>
      </c>
      <c r="N995" s="7">
        <v>1</v>
      </c>
      <c r="O995">
        <v>0</v>
      </c>
      <c r="P995" t="s">
        <v>14</v>
      </c>
      <c r="Q995">
        <v>3</v>
      </c>
      <c r="R995" s="8">
        <f>(Tabela2[[#This Row],[FAF_atividade_fisica_frequente_em_horas]]+ 0.1)</f>
        <v>0.19538900000000001</v>
      </c>
      <c r="S995" s="1">
        <f>(Tabela2[[#This Row],[TUE_tempo_uso_aparelhos_em_horas]]/Tabela2[[#This Row],[FAF_Var]])</f>
        <v>5.1179953835681635</v>
      </c>
      <c r="T995">
        <f>(Tabela2[[#This Row],[CAEC_lanche_entre_refeicoes]]*Tabela2[[#This Row],[FAVC_consumo_frequente_de_alimentos_mt_caloricos]])</f>
        <v>0</v>
      </c>
      <c r="U995" s="1">
        <f>IF(OR(Tabela2[[#This Row],[MTRANS]]="Walking",Tabela2[[#This Row],[MTRANS]]="Bike"),Tabela2[[#This Row],[FAF_atividade_fisica_frequente_em_horas]]+1,M995)</f>
        <v>9.5389000000000002E-2</v>
      </c>
      <c r="V995">
        <f>(Tabela2[[#This Row],[SMOKE]]+Tabela2[[#This Row],[CALC_bebe_alcool_frequentemente]])</f>
        <v>0</v>
      </c>
      <c r="W995" s="8">
        <f>(Tabela2[[#This Row],[Weight]]/(Tabela2[[#This Row],[Height]] ^2))</f>
        <v>27.612088233273099</v>
      </c>
    </row>
    <row r="996" spans="1:23" x14ac:dyDescent="0.25">
      <c r="A996" t="s">
        <v>15</v>
      </c>
      <c r="B996" s="7">
        <v>22.052152</v>
      </c>
      <c r="C996" s="4">
        <v>1.792527</v>
      </c>
      <c r="D996" s="7">
        <v>89.994415000000004</v>
      </c>
      <c r="E996">
        <v>1</v>
      </c>
      <c r="F996">
        <v>1</v>
      </c>
      <c r="G996" s="2">
        <v>1.771693</v>
      </c>
      <c r="H996" s="2">
        <v>1.8902129999999999</v>
      </c>
      <c r="I996">
        <v>1</v>
      </c>
      <c r="J996">
        <v>0</v>
      </c>
      <c r="K996" s="2">
        <v>2</v>
      </c>
      <c r="L996">
        <v>0</v>
      </c>
      <c r="M996" s="7">
        <v>0</v>
      </c>
      <c r="N996" s="7">
        <v>1.36595</v>
      </c>
      <c r="O996">
        <v>1</v>
      </c>
      <c r="P996" t="s">
        <v>14</v>
      </c>
      <c r="Q996">
        <v>3</v>
      </c>
      <c r="R996" s="8">
        <f>(Tabela2[[#This Row],[FAF_atividade_fisica_frequente_em_horas]]+ 0.1)</f>
        <v>0.1</v>
      </c>
      <c r="S996" s="1">
        <f>(Tabela2[[#This Row],[TUE_tempo_uso_aparelhos_em_horas]]/Tabela2[[#This Row],[FAF_Var]])</f>
        <v>13.6595</v>
      </c>
      <c r="T996">
        <f>(Tabela2[[#This Row],[CAEC_lanche_entre_refeicoes]]*Tabela2[[#This Row],[FAVC_consumo_frequente_de_alimentos_mt_caloricos]])</f>
        <v>1</v>
      </c>
      <c r="U996" s="1">
        <f>IF(OR(Tabela2[[#This Row],[MTRANS]]="Walking",Tabela2[[#This Row],[MTRANS]]="Bike"),Tabela2[[#This Row],[FAF_atividade_fisica_frequente_em_horas]]+1,M996)</f>
        <v>0</v>
      </c>
      <c r="V996">
        <f>(Tabela2[[#This Row],[SMOKE]]+Tabela2[[#This Row],[CALC_bebe_alcool_frequentemente]])</f>
        <v>1</v>
      </c>
      <c r="W996" s="8">
        <f>(Tabela2[[#This Row],[Weight]]/(Tabela2[[#This Row],[Height]] ^2))</f>
        <v>28.008132111734529</v>
      </c>
    </row>
    <row r="997" spans="1:23" x14ac:dyDescent="0.25">
      <c r="A997" t="s">
        <v>15</v>
      </c>
      <c r="B997" s="7">
        <v>22.869778</v>
      </c>
      <c r="C997" s="4">
        <v>1.7953110000000001</v>
      </c>
      <c r="D997" s="7">
        <v>89.868784000000005</v>
      </c>
      <c r="E997">
        <v>1</v>
      </c>
      <c r="F997">
        <v>1</v>
      </c>
      <c r="G997" s="2">
        <v>1.57223</v>
      </c>
      <c r="H997" s="2">
        <v>1.8880669999999999</v>
      </c>
      <c r="I997">
        <v>1</v>
      </c>
      <c r="J997">
        <v>0</v>
      </c>
      <c r="K997" s="2">
        <v>2</v>
      </c>
      <c r="L997">
        <v>0</v>
      </c>
      <c r="M997" s="7">
        <v>0</v>
      </c>
      <c r="N997" s="7">
        <v>0.55249800000000004</v>
      </c>
      <c r="O997">
        <v>1</v>
      </c>
      <c r="P997" t="s">
        <v>14</v>
      </c>
      <c r="Q997">
        <v>3</v>
      </c>
      <c r="R997" s="8">
        <f>(Tabela2[[#This Row],[FAF_atividade_fisica_frequente_em_horas]]+ 0.1)</f>
        <v>0.1</v>
      </c>
      <c r="S997" s="1">
        <f>(Tabela2[[#This Row],[TUE_tempo_uso_aparelhos_em_horas]]/Tabela2[[#This Row],[FAF_Var]])</f>
        <v>5.5249800000000002</v>
      </c>
      <c r="T997">
        <f>(Tabela2[[#This Row],[CAEC_lanche_entre_refeicoes]]*Tabela2[[#This Row],[FAVC_consumo_frequente_de_alimentos_mt_caloricos]])</f>
        <v>1</v>
      </c>
      <c r="U997" s="1">
        <f>IF(OR(Tabela2[[#This Row],[MTRANS]]="Walking",Tabela2[[#This Row],[MTRANS]]="Bike"),Tabela2[[#This Row],[FAF_atividade_fisica_frequente_em_horas]]+1,M997)</f>
        <v>0</v>
      </c>
      <c r="V997">
        <f>(Tabela2[[#This Row],[SMOKE]]+Tabela2[[#This Row],[CALC_bebe_alcool_frequentemente]])</f>
        <v>1</v>
      </c>
      <c r="W997" s="8">
        <f>(Tabela2[[#This Row],[Weight]]/(Tabela2[[#This Row],[Height]] ^2))</f>
        <v>27.882356881326533</v>
      </c>
    </row>
    <row r="998" spans="1:23" x14ac:dyDescent="0.25">
      <c r="A998" t="s">
        <v>13</v>
      </c>
      <c r="B998" s="7">
        <v>22.909991999999999</v>
      </c>
      <c r="C998" s="4">
        <v>1.7000379999999999</v>
      </c>
      <c r="D998" s="7">
        <v>80</v>
      </c>
      <c r="E998">
        <v>1</v>
      </c>
      <c r="F998">
        <v>1</v>
      </c>
      <c r="G998" s="2">
        <v>2</v>
      </c>
      <c r="H998" s="2">
        <v>3</v>
      </c>
      <c r="I998">
        <v>1</v>
      </c>
      <c r="J998">
        <v>0</v>
      </c>
      <c r="K998" s="2">
        <v>2</v>
      </c>
      <c r="L998">
        <v>0</v>
      </c>
      <c r="M998" s="7">
        <v>0.97311400000000003</v>
      </c>
      <c r="N998" s="7">
        <v>1.5402979999999999</v>
      </c>
      <c r="O998">
        <v>0</v>
      </c>
      <c r="P998" t="s">
        <v>14</v>
      </c>
      <c r="Q998">
        <v>3</v>
      </c>
      <c r="R998" s="8">
        <f>(Tabela2[[#This Row],[FAF_atividade_fisica_frequente_em_horas]]+ 0.1)</f>
        <v>1.0731140000000001</v>
      </c>
      <c r="S998" s="1">
        <f>(Tabela2[[#This Row],[TUE_tempo_uso_aparelhos_em_horas]]/Tabela2[[#This Row],[FAF_Var]])</f>
        <v>1.4353535598268214</v>
      </c>
      <c r="T998">
        <f>(Tabela2[[#This Row],[CAEC_lanche_entre_refeicoes]]*Tabela2[[#This Row],[FAVC_consumo_frequente_de_alimentos_mt_caloricos]])</f>
        <v>1</v>
      </c>
      <c r="U998" s="1">
        <f>IF(OR(Tabela2[[#This Row],[MTRANS]]="Walking",Tabela2[[#This Row],[MTRANS]]="Bike"),Tabela2[[#This Row],[FAF_atividade_fisica_frequente_em_horas]]+1,M998)</f>
        <v>0.97311400000000003</v>
      </c>
      <c r="V998">
        <f>(Tabela2[[#This Row],[SMOKE]]+Tabela2[[#This Row],[CALC_bebe_alcool_frequentemente]])</f>
        <v>0</v>
      </c>
      <c r="W998" s="8">
        <f>(Tabela2[[#This Row],[Weight]]/(Tabela2[[#This Row],[Height]] ^2))</f>
        <v>27.68042340807099</v>
      </c>
    </row>
    <row r="999" spans="1:23" x14ac:dyDescent="0.25">
      <c r="A999" t="s">
        <v>13</v>
      </c>
      <c r="B999" s="7">
        <v>23</v>
      </c>
      <c r="C999" s="4">
        <v>1.668649</v>
      </c>
      <c r="D999" s="7">
        <v>80.458342999999999</v>
      </c>
      <c r="E999">
        <v>1</v>
      </c>
      <c r="F999">
        <v>1</v>
      </c>
      <c r="G999" s="2">
        <v>2</v>
      </c>
      <c r="H999" s="2">
        <v>2.256119</v>
      </c>
      <c r="I999">
        <v>1</v>
      </c>
      <c r="J999">
        <v>0</v>
      </c>
      <c r="K999" s="2">
        <v>1.142873</v>
      </c>
      <c r="L999">
        <v>0</v>
      </c>
      <c r="M999" s="7">
        <v>0.80707600000000002</v>
      </c>
      <c r="N999" s="7">
        <v>1.6112709999999999</v>
      </c>
      <c r="O999">
        <v>0</v>
      </c>
      <c r="P999" t="s">
        <v>14</v>
      </c>
      <c r="Q999">
        <v>3</v>
      </c>
      <c r="R999" s="8">
        <f>(Tabela2[[#This Row],[FAF_atividade_fisica_frequente_em_horas]]+ 0.1)</f>
        <v>0.90707599999999999</v>
      </c>
      <c r="S999" s="1">
        <f>(Tabela2[[#This Row],[TUE_tempo_uso_aparelhos_em_horas]]/Tabela2[[#This Row],[FAF_Var]])</f>
        <v>1.776335169269168</v>
      </c>
      <c r="T999">
        <f>(Tabela2[[#This Row],[CAEC_lanche_entre_refeicoes]]*Tabela2[[#This Row],[FAVC_consumo_frequente_de_alimentos_mt_caloricos]])</f>
        <v>1</v>
      </c>
      <c r="U999" s="1">
        <f>IF(OR(Tabela2[[#This Row],[MTRANS]]="Walking",Tabela2[[#This Row],[MTRANS]]="Bike"),Tabela2[[#This Row],[FAF_atividade_fisica_frequente_em_horas]]+1,M999)</f>
        <v>0.80707600000000002</v>
      </c>
      <c r="V999">
        <f>(Tabela2[[#This Row],[SMOKE]]+Tabela2[[#This Row],[CALC_bebe_alcool_frequentemente]])</f>
        <v>0</v>
      </c>
      <c r="W999" s="8">
        <f>(Tabela2[[#This Row],[Weight]]/(Tabela2[[#This Row],[Height]] ^2))</f>
        <v>28.896224263033321</v>
      </c>
    </row>
    <row r="1000" spans="1:23" x14ac:dyDescent="0.25">
      <c r="A1000" t="s">
        <v>15</v>
      </c>
      <c r="B1000" s="7">
        <v>24.679807</v>
      </c>
      <c r="C1000" s="4">
        <v>1.7</v>
      </c>
      <c r="D1000" s="7">
        <v>84.687554000000006</v>
      </c>
      <c r="E1000">
        <v>1</v>
      </c>
      <c r="F1000">
        <v>1</v>
      </c>
      <c r="G1000" s="2">
        <v>2</v>
      </c>
      <c r="H1000" s="2">
        <v>3</v>
      </c>
      <c r="I1000">
        <v>1</v>
      </c>
      <c r="J1000">
        <v>0</v>
      </c>
      <c r="K1000" s="2">
        <v>2.0204240000000002</v>
      </c>
      <c r="L1000">
        <v>0</v>
      </c>
      <c r="M1000" s="7">
        <v>0</v>
      </c>
      <c r="N1000" s="7">
        <v>1</v>
      </c>
      <c r="O1000">
        <v>1</v>
      </c>
      <c r="P1000" t="s">
        <v>14</v>
      </c>
      <c r="Q1000">
        <v>3</v>
      </c>
      <c r="R1000" s="8">
        <f>(Tabela2[[#This Row],[FAF_atividade_fisica_frequente_em_horas]]+ 0.1)</f>
        <v>0.1</v>
      </c>
      <c r="S1000" s="1">
        <f>(Tabela2[[#This Row],[TUE_tempo_uso_aparelhos_em_horas]]/Tabela2[[#This Row],[FAF_Var]])</f>
        <v>10</v>
      </c>
      <c r="T1000">
        <f>(Tabela2[[#This Row],[CAEC_lanche_entre_refeicoes]]*Tabela2[[#This Row],[FAVC_consumo_frequente_de_alimentos_mt_caloricos]])</f>
        <v>1</v>
      </c>
      <c r="U1000" s="1">
        <f>IF(OR(Tabela2[[#This Row],[MTRANS]]="Walking",Tabela2[[#This Row],[MTRANS]]="Bike"),Tabela2[[#This Row],[FAF_atividade_fisica_frequente_em_horas]]+1,M1000)</f>
        <v>0</v>
      </c>
      <c r="V1000">
        <f>(Tabela2[[#This Row],[SMOKE]]+Tabela2[[#This Row],[CALC_bebe_alcool_frequentemente]])</f>
        <v>1</v>
      </c>
      <c r="W1000" s="8">
        <f>(Tabela2[[#This Row],[Weight]]/(Tabela2[[#This Row],[Height]] ^2))</f>
        <v>29.303651903114194</v>
      </c>
    </row>
    <row r="1001" spans="1:23" x14ac:dyDescent="0.25">
      <c r="A1001" t="s">
        <v>15</v>
      </c>
      <c r="B1001" s="7">
        <v>23.884212000000002</v>
      </c>
      <c r="C1001" s="4">
        <v>1.7138249999999999</v>
      </c>
      <c r="D1001" s="7">
        <v>83.952967999999998</v>
      </c>
      <c r="E1001">
        <v>1</v>
      </c>
      <c r="F1001">
        <v>1</v>
      </c>
      <c r="G1001" s="2">
        <v>2</v>
      </c>
      <c r="H1001" s="2">
        <v>2.6648000000000001</v>
      </c>
      <c r="I1001">
        <v>1</v>
      </c>
      <c r="J1001">
        <v>0</v>
      </c>
      <c r="K1001" s="2">
        <v>1.810738</v>
      </c>
      <c r="L1001">
        <v>0</v>
      </c>
      <c r="M1001" s="7">
        <v>0.80989</v>
      </c>
      <c r="N1001" s="7">
        <v>1</v>
      </c>
      <c r="O1001">
        <v>1</v>
      </c>
      <c r="P1001" t="s">
        <v>14</v>
      </c>
      <c r="Q1001">
        <v>3</v>
      </c>
      <c r="R1001" s="8">
        <f>(Tabela2[[#This Row],[FAF_atividade_fisica_frequente_em_horas]]+ 0.1)</f>
        <v>0.90988999999999998</v>
      </c>
      <c r="S1001" s="1">
        <f>(Tabela2[[#This Row],[TUE_tempo_uso_aparelhos_em_horas]]/Tabela2[[#This Row],[FAF_Var]])</f>
        <v>1.0990339491586896</v>
      </c>
      <c r="T1001">
        <f>(Tabela2[[#This Row],[CAEC_lanche_entre_refeicoes]]*Tabela2[[#This Row],[FAVC_consumo_frequente_de_alimentos_mt_caloricos]])</f>
        <v>1</v>
      </c>
      <c r="U1001" s="1">
        <f>IF(OR(Tabela2[[#This Row],[MTRANS]]="Walking",Tabela2[[#This Row],[MTRANS]]="Bike"),Tabela2[[#This Row],[FAF_atividade_fisica_frequente_em_horas]]+1,M1001)</f>
        <v>0.80989</v>
      </c>
      <c r="V1001">
        <f>(Tabela2[[#This Row],[SMOKE]]+Tabela2[[#This Row],[CALC_bebe_alcool_frequentemente]])</f>
        <v>1</v>
      </c>
      <c r="W1001" s="8">
        <f>(Tabela2[[#This Row],[Weight]]/(Tabela2[[#This Row],[Height]] ^2))</f>
        <v>28.582690520614236</v>
      </c>
    </row>
    <row r="1002" spans="1:23" x14ac:dyDescent="0.25">
      <c r="A1002" t="s">
        <v>13</v>
      </c>
      <c r="B1002" s="7">
        <v>25.461410999999998</v>
      </c>
      <c r="C1002" s="4">
        <v>1.7</v>
      </c>
      <c r="D1002" s="7">
        <v>78.055967999999993</v>
      </c>
      <c r="E1002">
        <v>1</v>
      </c>
      <c r="F1002">
        <v>1</v>
      </c>
      <c r="G1002" s="2">
        <v>2.661556</v>
      </c>
      <c r="H1002" s="2">
        <v>3</v>
      </c>
      <c r="I1002">
        <v>1</v>
      </c>
      <c r="J1002">
        <v>0</v>
      </c>
      <c r="K1002" s="2">
        <v>3</v>
      </c>
      <c r="L1002">
        <v>0</v>
      </c>
      <c r="M1002" s="7">
        <v>0.55181000000000002</v>
      </c>
      <c r="N1002" s="7">
        <v>0.65878300000000001</v>
      </c>
      <c r="O1002">
        <v>1</v>
      </c>
      <c r="P1002" t="s">
        <v>14</v>
      </c>
      <c r="Q1002">
        <v>3</v>
      </c>
      <c r="R1002" s="8">
        <f>(Tabela2[[#This Row],[FAF_atividade_fisica_frequente_em_horas]]+ 0.1)</f>
        <v>0.65181</v>
      </c>
      <c r="S1002" s="1">
        <f>(Tabela2[[#This Row],[TUE_tempo_uso_aparelhos_em_horas]]/Tabela2[[#This Row],[FAF_Var]])</f>
        <v>1.0106979027630751</v>
      </c>
      <c r="T1002">
        <f>(Tabela2[[#This Row],[CAEC_lanche_entre_refeicoes]]*Tabela2[[#This Row],[FAVC_consumo_frequente_de_alimentos_mt_caloricos]])</f>
        <v>1</v>
      </c>
      <c r="U1002" s="1">
        <f>IF(OR(Tabela2[[#This Row],[MTRANS]]="Walking",Tabela2[[#This Row],[MTRANS]]="Bike"),Tabela2[[#This Row],[FAF_atividade_fisica_frequente_em_horas]]+1,M1002)</f>
        <v>0.55181000000000002</v>
      </c>
      <c r="V1002">
        <f>(Tabela2[[#This Row],[SMOKE]]+Tabela2[[#This Row],[CALC_bebe_alcool_frequentemente]])</f>
        <v>1</v>
      </c>
      <c r="W1002" s="8">
        <f>(Tabela2[[#This Row],[Weight]]/(Tabela2[[#This Row],[Height]] ^2))</f>
        <v>27.008985467128028</v>
      </c>
    </row>
    <row r="1003" spans="1:23" x14ac:dyDescent="0.25">
      <c r="A1003" t="s">
        <v>15</v>
      </c>
      <c r="B1003" s="7">
        <v>31.333798000000002</v>
      </c>
      <c r="C1003" s="4">
        <v>1.8353809999999999</v>
      </c>
      <c r="D1003" s="7">
        <v>91.059595000000002</v>
      </c>
      <c r="E1003">
        <v>1</v>
      </c>
      <c r="F1003">
        <v>1</v>
      </c>
      <c r="G1003" s="2">
        <v>2</v>
      </c>
      <c r="H1003" s="2">
        <v>3</v>
      </c>
      <c r="I1003">
        <v>1</v>
      </c>
      <c r="J1003">
        <v>0</v>
      </c>
      <c r="K1003" s="2">
        <v>1.1842299999999999</v>
      </c>
      <c r="L1003">
        <v>0</v>
      </c>
      <c r="M1003" s="7">
        <v>0.155579</v>
      </c>
      <c r="N1003" s="7">
        <v>0.45340399999999997</v>
      </c>
      <c r="O1003">
        <v>1</v>
      </c>
      <c r="P1003" t="s">
        <v>14</v>
      </c>
      <c r="Q1003">
        <v>3</v>
      </c>
      <c r="R1003" s="8">
        <f>(Tabela2[[#This Row],[FAF_atividade_fisica_frequente_em_horas]]+ 0.1)</f>
        <v>0.255579</v>
      </c>
      <c r="S1003" s="1">
        <f>(Tabela2[[#This Row],[TUE_tempo_uso_aparelhos_em_horas]]/Tabela2[[#This Row],[FAF_Var]])</f>
        <v>1.7740268175397822</v>
      </c>
      <c r="T1003">
        <f>(Tabela2[[#This Row],[CAEC_lanche_entre_refeicoes]]*Tabela2[[#This Row],[FAVC_consumo_frequente_de_alimentos_mt_caloricos]])</f>
        <v>1</v>
      </c>
      <c r="U1003" s="1">
        <f>IF(OR(Tabela2[[#This Row],[MTRANS]]="Walking",Tabela2[[#This Row],[MTRANS]]="Bike"),Tabela2[[#This Row],[FAF_atividade_fisica_frequente_em_horas]]+1,M1003)</f>
        <v>0.155579</v>
      </c>
      <c r="V1003">
        <f>(Tabela2[[#This Row],[SMOKE]]+Tabela2[[#This Row],[CALC_bebe_alcool_frequentemente]])</f>
        <v>1</v>
      </c>
      <c r="W1003" s="8">
        <f>(Tabela2[[#This Row],[Weight]]/(Tabela2[[#This Row],[Height]] ^2))</f>
        <v>27.031693299456538</v>
      </c>
    </row>
    <row r="1004" spans="1:23" x14ac:dyDescent="0.25">
      <c r="A1004" t="s">
        <v>15</v>
      </c>
      <c r="B1004" s="7">
        <v>24.108711</v>
      </c>
      <c r="C1004" s="4">
        <v>1.7</v>
      </c>
      <c r="D1004" s="7">
        <v>80.761409</v>
      </c>
      <c r="E1004">
        <v>1</v>
      </c>
      <c r="F1004">
        <v>1</v>
      </c>
      <c r="G1004" s="2">
        <v>2</v>
      </c>
      <c r="H1004" s="2">
        <v>3</v>
      </c>
      <c r="I1004">
        <v>1</v>
      </c>
      <c r="J1004">
        <v>0</v>
      </c>
      <c r="K1004" s="2">
        <v>2.8794019999999998</v>
      </c>
      <c r="L1004">
        <v>0</v>
      </c>
      <c r="M1004" s="7">
        <v>0</v>
      </c>
      <c r="N1004" s="7">
        <v>0.322405</v>
      </c>
      <c r="O1004">
        <v>1</v>
      </c>
      <c r="P1004" t="s">
        <v>14</v>
      </c>
      <c r="Q1004">
        <v>3</v>
      </c>
      <c r="R1004" s="8">
        <f>(Tabela2[[#This Row],[FAF_atividade_fisica_frequente_em_horas]]+ 0.1)</f>
        <v>0.1</v>
      </c>
      <c r="S1004" s="1">
        <f>(Tabela2[[#This Row],[TUE_tempo_uso_aparelhos_em_horas]]/Tabela2[[#This Row],[FAF_Var]])</f>
        <v>3.2240499999999996</v>
      </c>
      <c r="T1004">
        <f>(Tabela2[[#This Row],[CAEC_lanche_entre_refeicoes]]*Tabela2[[#This Row],[FAVC_consumo_frequente_de_alimentos_mt_caloricos]])</f>
        <v>1</v>
      </c>
      <c r="U1004" s="1">
        <f>IF(OR(Tabela2[[#This Row],[MTRANS]]="Walking",Tabela2[[#This Row],[MTRANS]]="Bike"),Tabela2[[#This Row],[FAF_atividade_fisica_frequente_em_horas]]+1,M1004)</f>
        <v>0</v>
      </c>
      <c r="V1004">
        <f>(Tabela2[[#This Row],[SMOKE]]+Tabela2[[#This Row],[CALC_bebe_alcool_frequentemente]])</f>
        <v>1</v>
      </c>
      <c r="W1004" s="8">
        <f>(Tabela2[[#This Row],[Weight]]/(Tabela2[[#This Row],[Height]] ^2))</f>
        <v>27.945124221453291</v>
      </c>
    </row>
    <row r="1005" spans="1:23" x14ac:dyDescent="0.25">
      <c r="A1005" t="s">
        <v>13</v>
      </c>
      <c r="B1005" s="7">
        <v>28.830558</v>
      </c>
      <c r="C1005" s="4">
        <v>1.7</v>
      </c>
      <c r="D1005" s="7">
        <v>78</v>
      </c>
      <c r="E1005">
        <v>1</v>
      </c>
      <c r="F1005">
        <v>1</v>
      </c>
      <c r="G1005" s="2">
        <v>3</v>
      </c>
      <c r="H1005" s="2">
        <v>3</v>
      </c>
      <c r="I1005">
        <v>1</v>
      </c>
      <c r="J1005">
        <v>0</v>
      </c>
      <c r="K1005" s="2">
        <v>1.6999709999999999</v>
      </c>
      <c r="L1005">
        <v>0</v>
      </c>
      <c r="M1005" s="7">
        <v>1.727114</v>
      </c>
      <c r="N1005" s="7">
        <v>1</v>
      </c>
      <c r="O1005">
        <v>2</v>
      </c>
      <c r="P1005" t="s">
        <v>17</v>
      </c>
      <c r="Q1005">
        <v>3</v>
      </c>
      <c r="R1005" s="8">
        <f>(Tabela2[[#This Row],[FAF_atividade_fisica_frequente_em_horas]]+ 0.1)</f>
        <v>1.8271140000000001</v>
      </c>
      <c r="S1005" s="1">
        <f>(Tabela2[[#This Row],[TUE_tempo_uso_aparelhos_em_horas]]/Tabela2[[#This Row],[FAF_Var]])</f>
        <v>0.54731122414912259</v>
      </c>
      <c r="T1005">
        <f>(Tabela2[[#This Row],[CAEC_lanche_entre_refeicoes]]*Tabela2[[#This Row],[FAVC_consumo_frequente_de_alimentos_mt_caloricos]])</f>
        <v>1</v>
      </c>
      <c r="U1005" s="1">
        <f>IF(OR(Tabela2[[#This Row],[MTRANS]]="Walking",Tabela2[[#This Row],[MTRANS]]="Bike"),Tabela2[[#This Row],[FAF_atividade_fisica_frequente_em_horas]]+1,M1005)</f>
        <v>1.727114</v>
      </c>
      <c r="V1005">
        <f>(Tabela2[[#This Row],[SMOKE]]+Tabela2[[#This Row],[CALC_bebe_alcool_frequentemente]])</f>
        <v>2</v>
      </c>
      <c r="W1005" s="8">
        <f>(Tabela2[[#This Row],[Weight]]/(Tabela2[[#This Row],[Height]] ^2))</f>
        <v>26.989619377162633</v>
      </c>
    </row>
    <row r="1006" spans="1:23" x14ac:dyDescent="0.25">
      <c r="A1006" t="s">
        <v>15</v>
      </c>
      <c r="B1006" s="7">
        <v>17.570088999999999</v>
      </c>
      <c r="C1006" s="4">
        <v>1.7</v>
      </c>
      <c r="D1006" s="7">
        <v>83.199033999999997</v>
      </c>
      <c r="E1006">
        <v>1</v>
      </c>
      <c r="F1006">
        <v>0</v>
      </c>
      <c r="G1006" s="2">
        <v>2.0973730000000002</v>
      </c>
      <c r="H1006" s="2">
        <v>2.5470860000000002</v>
      </c>
      <c r="I1006">
        <v>1</v>
      </c>
      <c r="J1006">
        <v>0</v>
      </c>
      <c r="K1006" s="2">
        <v>1.538626</v>
      </c>
      <c r="L1006">
        <v>0</v>
      </c>
      <c r="M1006" s="7">
        <v>1</v>
      </c>
      <c r="N1006" s="7">
        <v>0.76189799999999996</v>
      </c>
      <c r="O1006">
        <v>0</v>
      </c>
      <c r="P1006" t="s">
        <v>14</v>
      </c>
      <c r="Q1006">
        <v>3</v>
      </c>
      <c r="R1006" s="8">
        <f>(Tabela2[[#This Row],[FAF_atividade_fisica_frequente_em_horas]]+ 0.1)</f>
        <v>1.1000000000000001</v>
      </c>
      <c r="S1006" s="1">
        <f>(Tabela2[[#This Row],[TUE_tempo_uso_aparelhos_em_horas]]/Tabela2[[#This Row],[FAF_Var]])</f>
        <v>0.69263454545454539</v>
      </c>
      <c r="T1006">
        <f>(Tabela2[[#This Row],[CAEC_lanche_entre_refeicoes]]*Tabela2[[#This Row],[FAVC_consumo_frequente_de_alimentos_mt_caloricos]])</f>
        <v>0</v>
      </c>
      <c r="U1006" s="1">
        <f>IF(OR(Tabela2[[#This Row],[MTRANS]]="Walking",Tabela2[[#This Row],[MTRANS]]="Bike"),Tabela2[[#This Row],[FAF_atividade_fisica_frequente_em_horas]]+1,M1006)</f>
        <v>1</v>
      </c>
      <c r="V1006">
        <f>(Tabela2[[#This Row],[SMOKE]]+Tabela2[[#This Row],[CALC_bebe_alcool_frequentemente]])</f>
        <v>0</v>
      </c>
      <c r="W1006" s="8">
        <f>(Tabela2[[#This Row],[Weight]]/(Tabela2[[#This Row],[Height]] ^2))</f>
        <v>28.788593079584778</v>
      </c>
    </row>
    <row r="1007" spans="1:23" x14ac:dyDescent="0.25">
      <c r="A1007" t="s">
        <v>13</v>
      </c>
      <c r="B1007" s="7">
        <v>19.027574000000001</v>
      </c>
      <c r="C1007" s="4">
        <v>1.659877</v>
      </c>
      <c r="D1007" s="7">
        <v>77.272651999999994</v>
      </c>
      <c r="E1007">
        <v>1</v>
      </c>
      <c r="F1007">
        <v>1</v>
      </c>
      <c r="G1007" s="2">
        <v>2.061461</v>
      </c>
      <c r="H1007" s="2">
        <v>2.8122829999999999</v>
      </c>
      <c r="I1007">
        <v>1</v>
      </c>
      <c r="J1007">
        <v>0</v>
      </c>
      <c r="K1007" s="2">
        <v>3</v>
      </c>
      <c r="L1007">
        <v>0</v>
      </c>
      <c r="M1007" s="7">
        <v>0.36244100000000001</v>
      </c>
      <c r="N1007" s="7">
        <v>0.78519000000000005</v>
      </c>
      <c r="O1007">
        <v>1</v>
      </c>
      <c r="P1007" t="s">
        <v>14</v>
      </c>
      <c r="Q1007">
        <v>3</v>
      </c>
      <c r="R1007" s="8">
        <f>(Tabela2[[#This Row],[FAF_atividade_fisica_frequente_em_horas]]+ 0.1)</f>
        <v>0.46244099999999999</v>
      </c>
      <c r="S1007" s="1">
        <f>(Tabela2[[#This Row],[TUE_tempo_uso_aparelhos_em_horas]]/Tabela2[[#This Row],[FAF_Var]])</f>
        <v>1.6979247082330504</v>
      </c>
      <c r="T1007">
        <f>(Tabela2[[#This Row],[CAEC_lanche_entre_refeicoes]]*Tabela2[[#This Row],[FAVC_consumo_frequente_de_alimentos_mt_caloricos]])</f>
        <v>1</v>
      </c>
      <c r="U1007" s="1">
        <f>IF(OR(Tabela2[[#This Row],[MTRANS]]="Walking",Tabela2[[#This Row],[MTRANS]]="Bike"),Tabela2[[#This Row],[FAF_atividade_fisica_frequente_em_horas]]+1,M1007)</f>
        <v>0.36244100000000001</v>
      </c>
      <c r="V1007">
        <f>(Tabela2[[#This Row],[SMOKE]]+Tabela2[[#This Row],[CALC_bebe_alcool_frequentemente]])</f>
        <v>1</v>
      </c>
      <c r="W1007" s="8">
        <f>(Tabela2[[#This Row],[Weight]]/(Tabela2[[#This Row],[Height]] ^2))</f>
        <v>28.046198476302376</v>
      </c>
    </row>
    <row r="1008" spans="1:23" x14ac:dyDescent="0.25">
      <c r="A1008" t="s">
        <v>15</v>
      </c>
      <c r="B1008" s="7">
        <v>25.632446999999999</v>
      </c>
      <c r="C1008" s="4">
        <v>1.836943</v>
      </c>
      <c r="D1008" s="7">
        <v>96.192661999999999</v>
      </c>
      <c r="E1008">
        <v>1</v>
      </c>
      <c r="F1008">
        <v>1</v>
      </c>
      <c r="G1008" s="2">
        <v>1.3177289999999999</v>
      </c>
      <c r="H1008" s="2">
        <v>2.2786520000000001</v>
      </c>
      <c r="I1008">
        <v>1</v>
      </c>
      <c r="J1008">
        <v>0</v>
      </c>
      <c r="K1008" s="2">
        <v>2</v>
      </c>
      <c r="L1008">
        <v>0</v>
      </c>
      <c r="M1008" s="7">
        <v>1.80674</v>
      </c>
      <c r="N1008" s="7">
        <v>1.93977</v>
      </c>
      <c r="O1008">
        <v>1</v>
      </c>
      <c r="P1008" t="s">
        <v>14</v>
      </c>
      <c r="Q1008">
        <v>3</v>
      </c>
      <c r="R1008" s="8">
        <f>(Tabela2[[#This Row],[FAF_atividade_fisica_frequente_em_horas]]+ 0.1)</f>
        <v>1.9067400000000001</v>
      </c>
      <c r="S1008" s="1">
        <f>(Tabela2[[#This Row],[TUE_tempo_uso_aparelhos_em_horas]]/Tabela2[[#This Row],[FAF_Var]])</f>
        <v>1.0173227603134145</v>
      </c>
      <c r="T1008">
        <f>(Tabela2[[#This Row],[CAEC_lanche_entre_refeicoes]]*Tabela2[[#This Row],[FAVC_consumo_frequente_de_alimentos_mt_caloricos]])</f>
        <v>1</v>
      </c>
      <c r="U1008" s="1">
        <f>IF(OR(Tabela2[[#This Row],[MTRANS]]="Walking",Tabela2[[#This Row],[MTRANS]]="Bike"),Tabela2[[#This Row],[FAF_atividade_fisica_frequente_em_horas]]+1,M1008)</f>
        <v>1.80674</v>
      </c>
      <c r="V1008">
        <f>(Tabela2[[#This Row],[SMOKE]]+Tabela2[[#This Row],[CALC_bebe_alcool_frequentemente]])</f>
        <v>1</v>
      </c>
      <c r="W1008" s="8">
        <f>(Tabela2[[#This Row],[Weight]]/(Tabela2[[#This Row],[Height]] ^2))</f>
        <v>28.506938744912027</v>
      </c>
    </row>
    <row r="1009" spans="1:23" x14ac:dyDescent="0.25">
      <c r="A1009" t="s">
        <v>15</v>
      </c>
      <c r="B1009" s="7">
        <v>22.94313</v>
      </c>
      <c r="C1009" s="4">
        <v>1.8196140000000001</v>
      </c>
      <c r="D1009" s="7">
        <v>93.086419000000006</v>
      </c>
      <c r="E1009">
        <v>1</v>
      </c>
      <c r="F1009">
        <v>1</v>
      </c>
      <c r="G1009" s="2">
        <v>1.8822350000000001</v>
      </c>
      <c r="H1009" s="2">
        <v>1.240046</v>
      </c>
      <c r="I1009">
        <v>1</v>
      </c>
      <c r="J1009">
        <v>0</v>
      </c>
      <c r="K1009" s="2">
        <v>2</v>
      </c>
      <c r="L1009">
        <v>0</v>
      </c>
      <c r="M1009" s="7">
        <v>0</v>
      </c>
      <c r="N1009" s="7">
        <v>1.541493</v>
      </c>
      <c r="O1009">
        <v>1</v>
      </c>
      <c r="P1009" t="s">
        <v>14</v>
      </c>
      <c r="Q1009">
        <v>3</v>
      </c>
      <c r="R1009" s="8">
        <f>(Tabela2[[#This Row],[FAF_atividade_fisica_frequente_em_horas]]+ 0.1)</f>
        <v>0.1</v>
      </c>
      <c r="S1009" s="1">
        <f>(Tabela2[[#This Row],[TUE_tempo_uso_aparelhos_em_horas]]/Tabela2[[#This Row],[FAF_Var]])</f>
        <v>15.41493</v>
      </c>
      <c r="T1009">
        <f>(Tabela2[[#This Row],[CAEC_lanche_entre_refeicoes]]*Tabela2[[#This Row],[FAVC_consumo_frequente_de_alimentos_mt_caloricos]])</f>
        <v>1</v>
      </c>
      <c r="U1009" s="1">
        <f>IF(OR(Tabela2[[#This Row],[MTRANS]]="Walking",Tabela2[[#This Row],[MTRANS]]="Bike"),Tabela2[[#This Row],[FAF_atividade_fisica_frequente_em_horas]]+1,M1009)</f>
        <v>0</v>
      </c>
      <c r="V1009">
        <f>(Tabela2[[#This Row],[SMOKE]]+Tabela2[[#This Row],[CALC_bebe_alcool_frequentemente]])</f>
        <v>1</v>
      </c>
      <c r="W1009" s="8">
        <f>(Tabela2[[#This Row],[Weight]]/(Tabela2[[#This Row],[Height]] ^2))</f>
        <v>28.114332983181839</v>
      </c>
    </row>
    <row r="1010" spans="1:23" x14ac:dyDescent="0.25">
      <c r="A1010" t="s">
        <v>15</v>
      </c>
      <c r="B1010" s="7">
        <v>23.285553</v>
      </c>
      <c r="C1010" s="4">
        <v>1.7177750000000001</v>
      </c>
      <c r="D1010" s="7">
        <v>85.312639000000004</v>
      </c>
      <c r="E1010">
        <v>1</v>
      </c>
      <c r="F1010">
        <v>1</v>
      </c>
      <c r="G1010" s="2">
        <v>2.9515910000000001</v>
      </c>
      <c r="H1010" s="2">
        <v>3</v>
      </c>
      <c r="I1010">
        <v>1</v>
      </c>
      <c r="J1010">
        <v>0</v>
      </c>
      <c r="K1010" s="2">
        <v>2.9715569999999998</v>
      </c>
      <c r="L1010">
        <v>0</v>
      </c>
      <c r="M1010" s="7">
        <v>0</v>
      </c>
      <c r="N1010" s="7">
        <v>0.94719200000000003</v>
      </c>
      <c r="O1010">
        <v>1</v>
      </c>
      <c r="P1010" t="s">
        <v>14</v>
      </c>
      <c r="Q1010">
        <v>3</v>
      </c>
      <c r="R1010" s="8">
        <f>(Tabela2[[#This Row],[FAF_atividade_fisica_frequente_em_horas]]+ 0.1)</f>
        <v>0.1</v>
      </c>
      <c r="S1010" s="1">
        <f>(Tabela2[[#This Row],[TUE_tempo_uso_aparelhos_em_horas]]/Tabela2[[#This Row],[FAF_Var]])</f>
        <v>9.471919999999999</v>
      </c>
      <c r="T1010">
        <f>(Tabela2[[#This Row],[CAEC_lanche_entre_refeicoes]]*Tabela2[[#This Row],[FAVC_consumo_frequente_de_alimentos_mt_caloricos]])</f>
        <v>1</v>
      </c>
      <c r="U1010" s="1">
        <f>IF(OR(Tabela2[[#This Row],[MTRANS]]="Walking",Tabela2[[#This Row],[MTRANS]]="Bike"),Tabela2[[#This Row],[FAF_atividade_fisica_frequente_em_horas]]+1,M1010)</f>
        <v>0</v>
      </c>
      <c r="V1010">
        <f>(Tabela2[[#This Row],[SMOKE]]+Tabela2[[#This Row],[CALC_bebe_alcool_frequentemente]])</f>
        <v>1</v>
      </c>
      <c r="W1010" s="8">
        <f>(Tabela2[[#This Row],[Weight]]/(Tabela2[[#This Row],[Height]] ^2))</f>
        <v>28.912178773315276</v>
      </c>
    </row>
    <row r="1011" spans="1:23" x14ac:dyDescent="0.25">
      <c r="A1011" t="s">
        <v>15</v>
      </c>
      <c r="B1011" s="7">
        <v>23</v>
      </c>
      <c r="C1011" s="4">
        <v>1.7918670000000001</v>
      </c>
      <c r="D1011" s="7">
        <v>90</v>
      </c>
      <c r="E1011">
        <v>1</v>
      </c>
      <c r="F1011">
        <v>1</v>
      </c>
      <c r="G1011" s="2">
        <v>2.0678169999999998</v>
      </c>
      <c r="H1011" s="2">
        <v>3</v>
      </c>
      <c r="I1011">
        <v>1</v>
      </c>
      <c r="J1011">
        <v>0</v>
      </c>
      <c r="K1011" s="2">
        <v>1.082084</v>
      </c>
      <c r="L1011">
        <v>0</v>
      </c>
      <c r="M1011" s="7">
        <v>0</v>
      </c>
      <c r="N1011" s="7">
        <v>1.922364</v>
      </c>
      <c r="O1011">
        <v>1</v>
      </c>
      <c r="P1011" t="s">
        <v>14</v>
      </c>
      <c r="Q1011">
        <v>3</v>
      </c>
      <c r="R1011" s="8">
        <f>(Tabela2[[#This Row],[FAF_atividade_fisica_frequente_em_horas]]+ 0.1)</f>
        <v>0.1</v>
      </c>
      <c r="S1011" s="1">
        <f>(Tabela2[[#This Row],[TUE_tempo_uso_aparelhos_em_horas]]/Tabela2[[#This Row],[FAF_Var]])</f>
        <v>19.22364</v>
      </c>
      <c r="T1011">
        <f>(Tabela2[[#This Row],[CAEC_lanche_entre_refeicoes]]*Tabela2[[#This Row],[FAVC_consumo_frequente_de_alimentos_mt_caloricos]])</f>
        <v>1</v>
      </c>
      <c r="U1011" s="1">
        <f>IF(OR(Tabela2[[#This Row],[MTRANS]]="Walking",Tabela2[[#This Row],[MTRANS]]="Bike"),Tabela2[[#This Row],[FAF_atividade_fisica_frequente_em_horas]]+1,M1011)</f>
        <v>0</v>
      </c>
      <c r="V1011">
        <f>(Tabela2[[#This Row],[SMOKE]]+Tabela2[[#This Row],[CALC_bebe_alcool_frequentemente]])</f>
        <v>1</v>
      </c>
      <c r="W1011" s="8">
        <f>(Tabela2[[#This Row],[Weight]]/(Tabela2[[#This Row],[Height]] ^2))</f>
        <v>28.030507881762865</v>
      </c>
    </row>
    <row r="1012" spans="1:23" x14ac:dyDescent="0.25">
      <c r="A1012" t="s">
        <v>13</v>
      </c>
      <c r="B1012" s="7">
        <v>25.192910000000001</v>
      </c>
      <c r="C1012" s="4">
        <v>1.7</v>
      </c>
      <c r="D1012" s="7">
        <v>80.749656999999999</v>
      </c>
      <c r="E1012">
        <v>1</v>
      </c>
      <c r="F1012">
        <v>1</v>
      </c>
      <c r="G1012" s="2">
        <v>2.5452699999999999</v>
      </c>
      <c r="H1012" s="2">
        <v>3</v>
      </c>
      <c r="I1012">
        <v>1</v>
      </c>
      <c r="J1012">
        <v>0</v>
      </c>
      <c r="K1012" s="2">
        <v>2.2695639999999999</v>
      </c>
      <c r="L1012">
        <v>0</v>
      </c>
      <c r="M1012" s="7">
        <v>0.50312199999999996</v>
      </c>
      <c r="N1012" s="7">
        <v>1</v>
      </c>
      <c r="O1012">
        <v>2</v>
      </c>
      <c r="P1012" t="s">
        <v>14</v>
      </c>
      <c r="Q1012">
        <v>3</v>
      </c>
      <c r="R1012" s="8">
        <f>(Tabela2[[#This Row],[FAF_atividade_fisica_frequente_em_horas]]+ 0.1)</f>
        <v>0.60312199999999994</v>
      </c>
      <c r="S1012" s="1">
        <f>(Tabela2[[#This Row],[TUE_tempo_uso_aparelhos_em_horas]]/Tabela2[[#This Row],[FAF_Var]])</f>
        <v>1.6580393353251914</v>
      </c>
      <c r="T1012">
        <f>(Tabela2[[#This Row],[CAEC_lanche_entre_refeicoes]]*Tabela2[[#This Row],[FAVC_consumo_frequente_de_alimentos_mt_caloricos]])</f>
        <v>1</v>
      </c>
      <c r="U1012" s="1">
        <f>IF(OR(Tabela2[[#This Row],[MTRANS]]="Walking",Tabela2[[#This Row],[MTRANS]]="Bike"),Tabela2[[#This Row],[FAF_atividade_fisica_frequente_em_horas]]+1,M1012)</f>
        <v>0.50312199999999996</v>
      </c>
      <c r="V1012">
        <f>(Tabela2[[#This Row],[SMOKE]]+Tabela2[[#This Row],[CALC_bebe_alcool_frequentemente]])</f>
        <v>2</v>
      </c>
      <c r="W1012" s="8">
        <f>(Tabela2[[#This Row],[Weight]]/(Tabela2[[#This Row],[Height]] ^2))</f>
        <v>27.94105778546713</v>
      </c>
    </row>
    <row r="1013" spans="1:23" x14ac:dyDescent="0.25">
      <c r="A1013" t="s">
        <v>15</v>
      </c>
      <c r="B1013" s="7">
        <v>34.389906000000003</v>
      </c>
      <c r="C1013" s="4">
        <v>1.6810799999999999</v>
      </c>
      <c r="D1013" s="7">
        <v>83.568034999999995</v>
      </c>
      <c r="E1013">
        <v>1</v>
      </c>
      <c r="F1013">
        <v>1</v>
      </c>
      <c r="G1013" s="2">
        <v>2</v>
      </c>
      <c r="H1013" s="2">
        <v>1.660768</v>
      </c>
      <c r="I1013">
        <v>1</v>
      </c>
      <c r="J1013">
        <v>0</v>
      </c>
      <c r="K1013" s="2">
        <v>2.482294</v>
      </c>
      <c r="L1013">
        <v>0</v>
      </c>
      <c r="M1013" s="7">
        <v>0.89120500000000002</v>
      </c>
      <c r="N1013" s="7">
        <v>0</v>
      </c>
      <c r="O1013">
        <v>0</v>
      </c>
      <c r="P1013" t="s">
        <v>17</v>
      </c>
      <c r="Q1013">
        <v>3</v>
      </c>
      <c r="R1013" s="8">
        <f>(Tabela2[[#This Row],[FAF_atividade_fisica_frequente_em_horas]]+ 0.1)</f>
        <v>0.991205</v>
      </c>
      <c r="S1013" s="1">
        <f>(Tabela2[[#This Row],[TUE_tempo_uso_aparelhos_em_horas]]/Tabela2[[#This Row],[FAF_Var]])</f>
        <v>0</v>
      </c>
      <c r="T1013">
        <f>(Tabela2[[#This Row],[CAEC_lanche_entre_refeicoes]]*Tabela2[[#This Row],[FAVC_consumo_frequente_de_alimentos_mt_caloricos]])</f>
        <v>1</v>
      </c>
      <c r="U1013" s="1">
        <f>IF(OR(Tabela2[[#This Row],[MTRANS]]="Walking",Tabela2[[#This Row],[MTRANS]]="Bike"),Tabela2[[#This Row],[FAF_atividade_fisica_frequente_em_horas]]+1,M1013)</f>
        <v>0.89120500000000002</v>
      </c>
      <c r="V1013">
        <f>(Tabela2[[#This Row],[SMOKE]]+Tabela2[[#This Row],[CALC_bebe_alcool_frequentemente]])</f>
        <v>0</v>
      </c>
      <c r="W1013" s="8">
        <f>(Tabela2[[#This Row],[Weight]]/(Tabela2[[#This Row],[Height]] ^2))</f>
        <v>29.570824086644407</v>
      </c>
    </row>
    <row r="1014" spans="1:23" x14ac:dyDescent="0.25">
      <c r="A1014" t="s">
        <v>13</v>
      </c>
      <c r="B1014" s="7">
        <v>26.595893</v>
      </c>
      <c r="C1014" s="4">
        <v>1.6607559999999999</v>
      </c>
      <c r="D1014" s="7">
        <v>78.574786000000003</v>
      </c>
      <c r="E1014">
        <v>1</v>
      </c>
      <c r="F1014">
        <v>1</v>
      </c>
      <c r="G1014" s="2">
        <v>2</v>
      </c>
      <c r="H1014" s="2">
        <v>2.5976080000000001</v>
      </c>
      <c r="I1014">
        <v>1</v>
      </c>
      <c r="J1014">
        <v>0</v>
      </c>
      <c r="K1014" s="2">
        <v>2</v>
      </c>
      <c r="L1014">
        <v>0</v>
      </c>
      <c r="M1014" s="7">
        <v>0</v>
      </c>
      <c r="N1014" s="7">
        <v>0.43419799999999997</v>
      </c>
      <c r="O1014">
        <v>2</v>
      </c>
      <c r="P1014" t="s">
        <v>14</v>
      </c>
      <c r="Q1014">
        <v>3</v>
      </c>
      <c r="R1014" s="8">
        <f>(Tabela2[[#This Row],[FAF_atividade_fisica_frequente_em_horas]]+ 0.1)</f>
        <v>0.1</v>
      </c>
      <c r="S1014" s="1">
        <f>(Tabela2[[#This Row],[TUE_tempo_uso_aparelhos_em_horas]]/Tabela2[[#This Row],[FAF_Var]])</f>
        <v>4.3419799999999995</v>
      </c>
      <c r="T1014">
        <f>(Tabela2[[#This Row],[CAEC_lanche_entre_refeicoes]]*Tabela2[[#This Row],[FAVC_consumo_frequente_de_alimentos_mt_caloricos]])</f>
        <v>1</v>
      </c>
      <c r="U1014" s="1">
        <f>IF(OR(Tabela2[[#This Row],[MTRANS]]="Walking",Tabela2[[#This Row],[MTRANS]]="Bike"),Tabela2[[#This Row],[FAF_atividade_fisica_frequente_em_horas]]+1,M1014)</f>
        <v>0</v>
      </c>
      <c r="V1014">
        <f>(Tabela2[[#This Row],[SMOKE]]+Tabela2[[#This Row],[CALC_bebe_alcool_frequentemente]])</f>
        <v>2</v>
      </c>
      <c r="W1014" s="8">
        <f>(Tabela2[[#This Row],[Weight]]/(Tabela2[[#This Row],[Height]] ^2))</f>
        <v>28.488628806252603</v>
      </c>
    </row>
    <row r="1015" spans="1:23" x14ac:dyDescent="0.25">
      <c r="A1015" t="s">
        <v>15</v>
      </c>
      <c r="B1015" s="7">
        <v>55.246250000000003</v>
      </c>
      <c r="C1015" s="4">
        <v>1.769269</v>
      </c>
      <c r="D1015" s="7">
        <v>80.491338999999996</v>
      </c>
      <c r="E1015">
        <v>0</v>
      </c>
      <c r="F1015">
        <v>1</v>
      </c>
      <c r="G1015" s="2">
        <v>2</v>
      </c>
      <c r="H1015" s="2">
        <v>3</v>
      </c>
      <c r="I1015">
        <v>1</v>
      </c>
      <c r="J1015">
        <v>0</v>
      </c>
      <c r="K1015" s="2">
        <v>2</v>
      </c>
      <c r="L1015">
        <v>0</v>
      </c>
      <c r="M1015" s="7">
        <v>1</v>
      </c>
      <c r="N1015" s="7">
        <v>0</v>
      </c>
      <c r="O1015">
        <v>0</v>
      </c>
      <c r="P1015" t="s">
        <v>17</v>
      </c>
      <c r="Q1015">
        <v>3</v>
      </c>
      <c r="R1015" s="8">
        <f>(Tabela2[[#This Row],[FAF_atividade_fisica_frequente_em_horas]]+ 0.1)</f>
        <v>1.1000000000000001</v>
      </c>
      <c r="S1015" s="1">
        <f>(Tabela2[[#This Row],[TUE_tempo_uso_aparelhos_em_horas]]/Tabela2[[#This Row],[FAF_Var]])</f>
        <v>0</v>
      </c>
      <c r="T1015">
        <f>(Tabela2[[#This Row],[CAEC_lanche_entre_refeicoes]]*Tabela2[[#This Row],[FAVC_consumo_frequente_de_alimentos_mt_caloricos]])</f>
        <v>1</v>
      </c>
      <c r="U1015" s="1">
        <f>IF(OR(Tabela2[[#This Row],[MTRANS]]="Walking",Tabela2[[#This Row],[MTRANS]]="Bike"),Tabela2[[#This Row],[FAF_atividade_fisica_frequente_em_horas]]+1,M1015)</f>
        <v>1</v>
      </c>
      <c r="V1015">
        <f>(Tabela2[[#This Row],[SMOKE]]+Tabela2[[#This Row],[CALC_bebe_alcool_frequentemente]])</f>
        <v>0</v>
      </c>
      <c r="W1015" s="8">
        <f>(Tabela2[[#This Row],[Weight]]/(Tabela2[[#This Row],[Height]] ^2))</f>
        <v>25.713513085656647</v>
      </c>
    </row>
    <row r="1016" spans="1:23" x14ac:dyDescent="0.25">
      <c r="A1016" t="s">
        <v>15</v>
      </c>
      <c r="B1016" s="7">
        <v>34.543562999999999</v>
      </c>
      <c r="C1016" s="4">
        <v>1.765188</v>
      </c>
      <c r="D1016" s="7">
        <v>85</v>
      </c>
      <c r="E1016">
        <v>1</v>
      </c>
      <c r="F1016">
        <v>1</v>
      </c>
      <c r="G1016" s="2">
        <v>2.6942810000000001</v>
      </c>
      <c r="H1016" s="2">
        <v>3</v>
      </c>
      <c r="I1016">
        <v>1</v>
      </c>
      <c r="J1016">
        <v>0</v>
      </c>
      <c r="K1016" s="2">
        <v>2.6538309999999998</v>
      </c>
      <c r="L1016">
        <v>0</v>
      </c>
      <c r="M1016" s="7">
        <v>1.9658199999999999</v>
      </c>
      <c r="N1016" s="7">
        <v>0.89118900000000001</v>
      </c>
      <c r="O1016">
        <v>0</v>
      </c>
      <c r="P1016" t="s">
        <v>17</v>
      </c>
      <c r="Q1016">
        <v>3</v>
      </c>
      <c r="R1016" s="8">
        <f>(Tabela2[[#This Row],[FAF_atividade_fisica_frequente_em_horas]]+ 0.1)</f>
        <v>2.06582</v>
      </c>
      <c r="S1016" s="1">
        <f>(Tabela2[[#This Row],[TUE_tempo_uso_aparelhos_em_horas]]/Tabela2[[#This Row],[FAF_Var]])</f>
        <v>0.43139721756977861</v>
      </c>
      <c r="T1016">
        <f>(Tabela2[[#This Row],[CAEC_lanche_entre_refeicoes]]*Tabela2[[#This Row],[FAVC_consumo_frequente_de_alimentos_mt_caloricos]])</f>
        <v>1</v>
      </c>
      <c r="U1016" s="1">
        <f>IF(OR(Tabela2[[#This Row],[MTRANS]]="Walking",Tabela2[[#This Row],[MTRANS]]="Bike"),Tabela2[[#This Row],[FAF_atividade_fisica_frequente_em_horas]]+1,M1016)</f>
        <v>1.9658199999999999</v>
      </c>
      <c r="V1016">
        <f>(Tabela2[[#This Row],[SMOKE]]+Tabela2[[#This Row],[CALC_bebe_alcool_frequentemente]])</f>
        <v>0</v>
      </c>
      <c r="W1016" s="8">
        <f>(Tabela2[[#This Row],[Weight]]/(Tabela2[[#This Row],[Height]] ^2))</f>
        <v>27.279536869402385</v>
      </c>
    </row>
    <row r="1017" spans="1:23" x14ac:dyDescent="0.25">
      <c r="A1017" t="s">
        <v>15</v>
      </c>
      <c r="B1017" s="7">
        <v>21.808159</v>
      </c>
      <c r="C1017" s="4">
        <v>1.65</v>
      </c>
      <c r="D1017" s="7">
        <v>80</v>
      </c>
      <c r="E1017">
        <v>1</v>
      </c>
      <c r="F1017">
        <v>1</v>
      </c>
      <c r="G1017" s="2">
        <v>2</v>
      </c>
      <c r="H1017" s="2">
        <v>3</v>
      </c>
      <c r="I1017">
        <v>1</v>
      </c>
      <c r="J1017">
        <v>0</v>
      </c>
      <c r="K1017" s="2">
        <v>2</v>
      </c>
      <c r="L1017">
        <v>0</v>
      </c>
      <c r="M1017" s="7">
        <v>0.82660900000000004</v>
      </c>
      <c r="N1017" s="7">
        <v>2</v>
      </c>
      <c r="O1017">
        <v>0</v>
      </c>
      <c r="P1017" t="s">
        <v>14</v>
      </c>
      <c r="Q1017">
        <v>3</v>
      </c>
      <c r="R1017" s="8">
        <f>(Tabela2[[#This Row],[FAF_atividade_fisica_frequente_em_horas]]+ 0.1)</f>
        <v>0.92660900000000002</v>
      </c>
      <c r="S1017" s="1">
        <f>(Tabela2[[#This Row],[TUE_tempo_uso_aparelhos_em_horas]]/Tabela2[[#This Row],[FAF_Var]])</f>
        <v>2.1584076994719457</v>
      </c>
      <c r="T1017">
        <f>(Tabela2[[#This Row],[CAEC_lanche_entre_refeicoes]]*Tabela2[[#This Row],[FAVC_consumo_frequente_de_alimentos_mt_caloricos]])</f>
        <v>1</v>
      </c>
      <c r="U1017" s="1">
        <f>IF(OR(Tabela2[[#This Row],[MTRANS]]="Walking",Tabela2[[#This Row],[MTRANS]]="Bike"),Tabela2[[#This Row],[FAF_atividade_fisica_frequente_em_horas]]+1,M1017)</f>
        <v>0.82660900000000004</v>
      </c>
      <c r="V1017">
        <f>(Tabela2[[#This Row],[SMOKE]]+Tabela2[[#This Row],[CALC_bebe_alcool_frequentemente]])</f>
        <v>0</v>
      </c>
      <c r="W1017" s="8">
        <f>(Tabela2[[#This Row],[Weight]]/(Tabela2[[#This Row],[Height]] ^2))</f>
        <v>29.384756657483933</v>
      </c>
    </row>
    <row r="1018" spans="1:23" x14ac:dyDescent="0.25">
      <c r="A1018" t="s">
        <v>15</v>
      </c>
      <c r="B1018" s="7">
        <v>18.118276999999999</v>
      </c>
      <c r="C1018" s="4">
        <v>1.654757</v>
      </c>
      <c r="D1018" s="7">
        <v>80</v>
      </c>
      <c r="E1018">
        <v>1</v>
      </c>
      <c r="F1018">
        <v>1</v>
      </c>
      <c r="G1018" s="2">
        <v>2.821977</v>
      </c>
      <c r="H1018" s="2">
        <v>2.044035</v>
      </c>
      <c r="I1018">
        <v>1</v>
      </c>
      <c r="J1018">
        <v>0</v>
      </c>
      <c r="K1018" s="2">
        <v>1.954968</v>
      </c>
      <c r="L1018">
        <v>0</v>
      </c>
      <c r="M1018" s="7">
        <v>1</v>
      </c>
      <c r="N1018" s="7">
        <v>0.85453599999999996</v>
      </c>
      <c r="O1018">
        <v>0</v>
      </c>
      <c r="P1018" t="s">
        <v>14</v>
      </c>
      <c r="Q1018">
        <v>3</v>
      </c>
      <c r="R1018" s="8">
        <f>(Tabela2[[#This Row],[FAF_atividade_fisica_frequente_em_horas]]+ 0.1)</f>
        <v>1.1000000000000001</v>
      </c>
      <c r="S1018" s="1">
        <f>(Tabela2[[#This Row],[TUE_tempo_uso_aparelhos_em_horas]]/Tabela2[[#This Row],[FAF_Var]])</f>
        <v>0.77685090909090904</v>
      </c>
      <c r="T1018">
        <f>(Tabela2[[#This Row],[CAEC_lanche_entre_refeicoes]]*Tabela2[[#This Row],[FAVC_consumo_frequente_de_alimentos_mt_caloricos]])</f>
        <v>1</v>
      </c>
      <c r="U1018" s="1">
        <f>IF(OR(Tabela2[[#This Row],[MTRANS]]="Walking",Tabela2[[#This Row],[MTRANS]]="Bike"),Tabela2[[#This Row],[FAF_atividade_fisica_frequente_em_horas]]+1,M1018)</f>
        <v>1</v>
      </c>
      <c r="V1018">
        <f>(Tabela2[[#This Row],[SMOKE]]+Tabela2[[#This Row],[CALC_bebe_alcool_frequentemente]])</f>
        <v>0</v>
      </c>
      <c r="W1018" s="8">
        <f>(Tabela2[[#This Row],[Weight]]/(Tabela2[[#This Row],[Height]] ^2))</f>
        <v>29.216052289467719</v>
      </c>
    </row>
    <row r="1019" spans="1:23" x14ac:dyDescent="0.25">
      <c r="A1019" t="s">
        <v>13</v>
      </c>
      <c r="B1019" s="7">
        <v>42.189022999999999</v>
      </c>
      <c r="C1019" s="4">
        <v>1.6477679999999999</v>
      </c>
      <c r="D1019" s="7">
        <v>79.165306000000001</v>
      </c>
      <c r="E1019">
        <v>1</v>
      </c>
      <c r="F1019">
        <v>1</v>
      </c>
      <c r="G1019" s="2">
        <v>2</v>
      </c>
      <c r="H1019" s="2">
        <v>3</v>
      </c>
      <c r="I1019">
        <v>1</v>
      </c>
      <c r="J1019">
        <v>0</v>
      </c>
      <c r="K1019" s="2">
        <v>1</v>
      </c>
      <c r="L1019">
        <v>0</v>
      </c>
      <c r="M1019" s="7">
        <v>0</v>
      </c>
      <c r="N1019" s="7">
        <v>1.4818899999999999</v>
      </c>
      <c r="O1019">
        <v>0</v>
      </c>
      <c r="P1019" t="s">
        <v>17</v>
      </c>
      <c r="Q1019">
        <v>3</v>
      </c>
      <c r="R1019" s="8">
        <f>(Tabela2[[#This Row],[FAF_atividade_fisica_frequente_em_horas]]+ 0.1)</f>
        <v>0.1</v>
      </c>
      <c r="S1019" s="1">
        <f>(Tabela2[[#This Row],[TUE_tempo_uso_aparelhos_em_horas]]/Tabela2[[#This Row],[FAF_Var]])</f>
        <v>14.818899999999999</v>
      </c>
      <c r="T1019">
        <f>(Tabela2[[#This Row],[CAEC_lanche_entre_refeicoes]]*Tabela2[[#This Row],[FAVC_consumo_frequente_de_alimentos_mt_caloricos]])</f>
        <v>1</v>
      </c>
      <c r="U1019" s="1">
        <f>IF(OR(Tabela2[[#This Row],[MTRANS]]="Walking",Tabela2[[#This Row],[MTRANS]]="Bike"),Tabela2[[#This Row],[FAF_atividade_fisica_frequente_em_horas]]+1,M1019)</f>
        <v>0</v>
      </c>
      <c r="V1019">
        <f>(Tabela2[[#This Row],[SMOKE]]+Tabela2[[#This Row],[CALC_bebe_alcool_frequentemente]])</f>
        <v>0</v>
      </c>
      <c r="W1019" s="8">
        <f>(Tabela2[[#This Row],[Weight]]/(Tabela2[[#This Row],[Height]] ^2))</f>
        <v>29.156995228295663</v>
      </c>
    </row>
    <row r="1020" spans="1:23" x14ac:dyDescent="0.25">
      <c r="A1020" t="s">
        <v>15</v>
      </c>
      <c r="B1020" s="7">
        <v>22</v>
      </c>
      <c r="C1020" s="4">
        <v>1.691303</v>
      </c>
      <c r="D1020" s="7">
        <v>80.539000000000001</v>
      </c>
      <c r="E1020">
        <v>1</v>
      </c>
      <c r="F1020">
        <v>1</v>
      </c>
      <c r="G1020" s="2">
        <v>2</v>
      </c>
      <c r="H1020" s="2">
        <v>2.038373</v>
      </c>
      <c r="I1020">
        <v>1</v>
      </c>
      <c r="J1020">
        <v>0</v>
      </c>
      <c r="K1020" s="2">
        <v>2</v>
      </c>
      <c r="L1020">
        <v>0</v>
      </c>
      <c r="M1020" s="7">
        <v>2.70825</v>
      </c>
      <c r="N1020" s="7">
        <v>1.5065759999999999</v>
      </c>
      <c r="O1020">
        <v>1</v>
      </c>
      <c r="P1020" t="s">
        <v>14</v>
      </c>
      <c r="Q1020">
        <v>3</v>
      </c>
      <c r="R1020" s="8">
        <f>(Tabela2[[#This Row],[FAF_atividade_fisica_frequente_em_horas]]+ 0.1)</f>
        <v>2.8082500000000001</v>
      </c>
      <c r="S1020" s="1">
        <f>(Tabela2[[#This Row],[TUE_tempo_uso_aparelhos_em_horas]]/Tabela2[[#This Row],[FAF_Var]])</f>
        <v>0.53648215080566186</v>
      </c>
      <c r="T1020">
        <f>(Tabela2[[#This Row],[CAEC_lanche_entre_refeicoes]]*Tabela2[[#This Row],[FAVC_consumo_frequente_de_alimentos_mt_caloricos]])</f>
        <v>1</v>
      </c>
      <c r="U1020" s="1">
        <f>IF(OR(Tabela2[[#This Row],[MTRANS]]="Walking",Tabela2[[#This Row],[MTRANS]]="Bike"),Tabela2[[#This Row],[FAF_atividade_fisica_frequente_em_horas]]+1,M1020)</f>
        <v>2.70825</v>
      </c>
      <c r="V1020">
        <f>(Tabela2[[#This Row],[SMOKE]]+Tabela2[[#This Row],[CALC_bebe_alcool_frequentemente]])</f>
        <v>1</v>
      </c>
      <c r="W1020" s="8">
        <f>(Tabela2[[#This Row],[Weight]]/(Tabela2[[#This Row],[Height]] ^2))</f>
        <v>28.155509747775493</v>
      </c>
    </row>
    <row r="1021" spans="1:23" x14ac:dyDescent="0.25">
      <c r="A1021" t="s">
        <v>13</v>
      </c>
      <c r="B1021" s="7">
        <v>28.770852000000001</v>
      </c>
      <c r="C1021" s="4">
        <v>1.532897</v>
      </c>
      <c r="D1021" s="7">
        <v>65.031879000000004</v>
      </c>
      <c r="E1021">
        <v>1</v>
      </c>
      <c r="F1021">
        <v>0</v>
      </c>
      <c r="G1021" s="2">
        <v>2</v>
      </c>
      <c r="H1021" s="2">
        <v>1</v>
      </c>
      <c r="I1021">
        <v>1</v>
      </c>
      <c r="J1021">
        <v>0</v>
      </c>
      <c r="K1021" s="2">
        <v>1</v>
      </c>
      <c r="L1021">
        <v>0</v>
      </c>
      <c r="M1021" s="7">
        <v>0.26217099999999999</v>
      </c>
      <c r="N1021" s="7">
        <v>0</v>
      </c>
      <c r="O1021">
        <v>0</v>
      </c>
      <c r="P1021" t="s">
        <v>14</v>
      </c>
      <c r="Q1021">
        <v>3</v>
      </c>
      <c r="R1021" s="8">
        <f>(Tabela2[[#This Row],[FAF_atividade_fisica_frequente_em_horas]]+ 0.1)</f>
        <v>0.36217100000000002</v>
      </c>
      <c r="S1021" s="1">
        <f>(Tabela2[[#This Row],[TUE_tempo_uso_aparelhos_em_horas]]/Tabela2[[#This Row],[FAF_Var]])</f>
        <v>0</v>
      </c>
      <c r="T1021">
        <f>(Tabela2[[#This Row],[CAEC_lanche_entre_refeicoes]]*Tabela2[[#This Row],[FAVC_consumo_frequente_de_alimentos_mt_caloricos]])</f>
        <v>0</v>
      </c>
      <c r="U1021" s="1">
        <f>IF(OR(Tabela2[[#This Row],[MTRANS]]="Walking",Tabela2[[#This Row],[MTRANS]]="Bike"),Tabela2[[#This Row],[FAF_atividade_fisica_frequente_em_horas]]+1,M1021)</f>
        <v>0.26217099999999999</v>
      </c>
      <c r="V1021">
        <f>(Tabela2[[#This Row],[SMOKE]]+Tabela2[[#This Row],[CALC_bebe_alcool_frequentemente]])</f>
        <v>0</v>
      </c>
      <c r="W1021" s="8">
        <f>(Tabela2[[#This Row],[Weight]]/(Tabela2[[#This Row],[Height]] ^2))</f>
        <v>27.675810861676226</v>
      </c>
    </row>
    <row r="1022" spans="1:23" x14ac:dyDescent="0.25">
      <c r="A1022" t="s">
        <v>13</v>
      </c>
      <c r="B1022" s="7">
        <v>25.483381000000001</v>
      </c>
      <c r="C1022" s="4">
        <v>1.565288</v>
      </c>
      <c r="D1022" s="7">
        <v>64.848626999999993</v>
      </c>
      <c r="E1022">
        <v>1</v>
      </c>
      <c r="F1022">
        <v>0</v>
      </c>
      <c r="G1022" s="2">
        <v>2</v>
      </c>
      <c r="H1022" s="2">
        <v>1</v>
      </c>
      <c r="I1022">
        <v>1</v>
      </c>
      <c r="J1022">
        <v>0</v>
      </c>
      <c r="K1022" s="2">
        <v>1</v>
      </c>
      <c r="L1022">
        <v>0</v>
      </c>
      <c r="M1022" s="7">
        <v>0.74063299999999999</v>
      </c>
      <c r="N1022" s="7">
        <v>0</v>
      </c>
      <c r="O1022">
        <v>0</v>
      </c>
      <c r="P1022" t="s">
        <v>14</v>
      </c>
      <c r="Q1022">
        <v>3</v>
      </c>
      <c r="R1022" s="8">
        <f>(Tabela2[[#This Row],[FAF_atividade_fisica_frequente_em_horas]]+ 0.1)</f>
        <v>0.84063299999999996</v>
      </c>
      <c r="S1022" s="1">
        <f>(Tabela2[[#This Row],[TUE_tempo_uso_aparelhos_em_horas]]/Tabela2[[#This Row],[FAF_Var]])</f>
        <v>0</v>
      </c>
      <c r="T1022">
        <f>(Tabela2[[#This Row],[CAEC_lanche_entre_refeicoes]]*Tabela2[[#This Row],[FAVC_consumo_frequente_de_alimentos_mt_caloricos]])</f>
        <v>0</v>
      </c>
      <c r="U1022" s="1">
        <f>IF(OR(Tabela2[[#This Row],[MTRANS]]="Walking",Tabela2[[#This Row],[MTRANS]]="Bike"),Tabela2[[#This Row],[FAF_atividade_fisica_frequente_em_horas]]+1,M1022)</f>
        <v>0.74063299999999999</v>
      </c>
      <c r="V1022">
        <f>(Tabela2[[#This Row],[SMOKE]]+Tabela2[[#This Row],[CALC_bebe_alcool_frequentemente]])</f>
        <v>0</v>
      </c>
      <c r="W1022" s="8">
        <f>(Tabela2[[#This Row],[Weight]]/(Tabela2[[#This Row],[Height]] ^2))</f>
        <v>26.467460513867579</v>
      </c>
    </row>
    <row r="1023" spans="1:23" x14ac:dyDescent="0.25">
      <c r="A1023" t="s">
        <v>13</v>
      </c>
      <c r="B1023" s="7">
        <v>21.67315</v>
      </c>
      <c r="C1023" s="4">
        <v>1.5</v>
      </c>
      <c r="D1023" s="7">
        <v>63.652329999999999</v>
      </c>
      <c r="E1023">
        <v>1</v>
      </c>
      <c r="F1023">
        <v>0</v>
      </c>
      <c r="G1023" s="2">
        <v>2</v>
      </c>
      <c r="H1023" s="2">
        <v>1.474836</v>
      </c>
      <c r="I1023">
        <v>1</v>
      </c>
      <c r="J1023">
        <v>0</v>
      </c>
      <c r="K1023" s="2">
        <v>2</v>
      </c>
      <c r="L1023">
        <v>0</v>
      </c>
      <c r="M1023" s="7">
        <v>0.27483800000000003</v>
      </c>
      <c r="N1023" s="7">
        <v>0.61390199999999995</v>
      </c>
      <c r="O1023">
        <v>0</v>
      </c>
      <c r="P1023" t="s">
        <v>14</v>
      </c>
      <c r="Q1023">
        <v>3</v>
      </c>
      <c r="R1023" s="8">
        <f>(Tabela2[[#This Row],[FAF_atividade_fisica_frequente_em_horas]]+ 0.1)</f>
        <v>0.374838</v>
      </c>
      <c r="S1023" s="1">
        <f>(Tabela2[[#This Row],[TUE_tempo_uso_aparelhos_em_horas]]/Tabela2[[#This Row],[FAF_Var]])</f>
        <v>1.6377795207529651</v>
      </c>
      <c r="T1023">
        <f>(Tabela2[[#This Row],[CAEC_lanche_entre_refeicoes]]*Tabela2[[#This Row],[FAVC_consumo_frequente_de_alimentos_mt_caloricos]])</f>
        <v>0</v>
      </c>
      <c r="U1023" s="1">
        <f>IF(OR(Tabela2[[#This Row],[MTRANS]]="Walking",Tabela2[[#This Row],[MTRANS]]="Bike"),Tabela2[[#This Row],[FAF_atividade_fisica_frequente_em_horas]]+1,M1023)</f>
        <v>0.27483800000000003</v>
      </c>
      <c r="V1023">
        <f>(Tabela2[[#This Row],[SMOKE]]+Tabela2[[#This Row],[CALC_bebe_alcool_frequentemente]])</f>
        <v>0</v>
      </c>
      <c r="W1023" s="8">
        <f>(Tabela2[[#This Row],[Weight]]/(Tabela2[[#This Row],[Height]] ^2))</f>
        <v>28.289924444444445</v>
      </c>
    </row>
    <row r="1024" spans="1:23" x14ac:dyDescent="0.25">
      <c r="A1024" t="s">
        <v>13</v>
      </c>
      <c r="B1024" s="7">
        <v>23.469538</v>
      </c>
      <c r="C1024" s="4">
        <v>1.5071060000000001</v>
      </c>
      <c r="D1024" s="7">
        <v>64.814109000000002</v>
      </c>
      <c r="E1024">
        <v>1</v>
      </c>
      <c r="F1024">
        <v>0</v>
      </c>
      <c r="G1024" s="2">
        <v>2.252472</v>
      </c>
      <c r="H1024" s="2">
        <v>3.9866519999999999</v>
      </c>
      <c r="I1024">
        <v>1</v>
      </c>
      <c r="J1024">
        <v>0</v>
      </c>
      <c r="K1024" s="2">
        <v>2</v>
      </c>
      <c r="L1024">
        <v>0</v>
      </c>
      <c r="M1024" s="7">
        <v>0.93428599999999995</v>
      </c>
      <c r="N1024" s="7">
        <v>0.89062600000000003</v>
      </c>
      <c r="O1024">
        <v>0</v>
      </c>
      <c r="P1024" t="s">
        <v>14</v>
      </c>
      <c r="Q1024">
        <v>3</v>
      </c>
      <c r="R1024" s="8">
        <f>(Tabela2[[#This Row],[FAF_atividade_fisica_frequente_em_horas]]+ 0.1)</f>
        <v>1.034286</v>
      </c>
      <c r="S1024" s="1">
        <f>(Tabela2[[#This Row],[TUE_tempo_uso_aparelhos_em_horas]]/Tabela2[[#This Row],[FAF_Var]])</f>
        <v>0.86110224831429605</v>
      </c>
      <c r="T1024">
        <f>(Tabela2[[#This Row],[CAEC_lanche_entre_refeicoes]]*Tabela2[[#This Row],[FAVC_consumo_frequente_de_alimentos_mt_caloricos]])</f>
        <v>0</v>
      </c>
      <c r="U1024" s="1">
        <f>IF(OR(Tabela2[[#This Row],[MTRANS]]="Walking",Tabela2[[#This Row],[MTRANS]]="Bike"),Tabela2[[#This Row],[FAF_atividade_fisica_frequente_em_horas]]+1,M1024)</f>
        <v>0.93428599999999995</v>
      </c>
      <c r="V1024">
        <f>(Tabela2[[#This Row],[SMOKE]]+Tabela2[[#This Row],[CALC_bebe_alcool_frequentemente]])</f>
        <v>0</v>
      </c>
      <c r="W1024" s="8">
        <f>(Tabela2[[#This Row],[Weight]]/(Tabela2[[#This Row],[Height]] ^2))</f>
        <v>28.535268115209849</v>
      </c>
    </row>
    <row r="1025" spans="1:23" x14ac:dyDescent="0.25">
      <c r="A1025" t="s">
        <v>15</v>
      </c>
      <c r="B1025" s="7">
        <v>23</v>
      </c>
      <c r="C1025" s="4">
        <v>1.7007399999999999</v>
      </c>
      <c r="D1025" s="7">
        <v>81.322969999999998</v>
      </c>
      <c r="E1025">
        <v>1</v>
      </c>
      <c r="F1025">
        <v>1</v>
      </c>
      <c r="G1025" s="2">
        <v>2</v>
      </c>
      <c r="H1025" s="2">
        <v>2.7206419999999998</v>
      </c>
      <c r="I1025">
        <v>1</v>
      </c>
      <c r="J1025">
        <v>0</v>
      </c>
      <c r="K1025" s="2">
        <v>1.5197000000000001</v>
      </c>
      <c r="L1025">
        <v>0</v>
      </c>
      <c r="M1025" s="7">
        <v>0.27937499999999998</v>
      </c>
      <c r="N1025" s="7">
        <v>1.0434349999999999</v>
      </c>
      <c r="O1025">
        <v>1</v>
      </c>
      <c r="P1025" t="s">
        <v>14</v>
      </c>
      <c r="Q1025">
        <v>3</v>
      </c>
      <c r="R1025" s="8">
        <f>(Tabela2[[#This Row],[FAF_atividade_fisica_frequente_em_horas]]+ 0.1)</f>
        <v>0.37937500000000002</v>
      </c>
      <c r="S1025" s="1">
        <f>(Tabela2[[#This Row],[TUE_tempo_uso_aparelhos_em_horas]]/Tabela2[[#This Row],[FAF_Var]])</f>
        <v>2.7504052718286651</v>
      </c>
      <c r="T1025">
        <f>(Tabela2[[#This Row],[CAEC_lanche_entre_refeicoes]]*Tabela2[[#This Row],[FAVC_consumo_frequente_de_alimentos_mt_caloricos]])</f>
        <v>1</v>
      </c>
      <c r="U1025" s="1">
        <f>IF(OR(Tabela2[[#This Row],[MTRANS]]="Walking",Tabela2[[#This Row],[MTRANS]]="Bike"),Tabela2[[#This Row],[FAF_atividade_fisica_frequente_em_horas]]+1,M1025)</f>
        <v>0.27937499999999998</v>
      </c>
      <c r="V1025">
        <f>(Tabela2[[#This Row],[SMOKE]]+Tabela2[[#This Row],[CALC_bebe_alcool_frequentemente]])</f>
        <v>1</v>
      </c>
      <c r="W1025" s="8">
        <f>(Tabela2[[#This Row],[Weight]]/(Tabela2[[#This Row],[Height]] ^2))</f>
        <v>28.114954110625884</v>
      </c>
    </row>
    <row r="1026" spans="1:23" x14ac:dyDescent="0.25">
      <c r="A1026" t="s">
        <v>15</v>
      </c>
      <c r="B1026" s="7">
        <v>23</v>
      </c>
      <c r="C1026" s="4">
        <v>1.7151179999999999</v>
      </c>
      <c r="D1026" s="7">
        <v>81.650778000000003</v>
      </c>
      <c r="E1026">
        <v>1</v>
      </c>
      <c r="F1026">
        <v>1</v>
      </c>
      <c r="G1026" s="2">
        <v>2</v>
      </c>
      <c r="H1026" s="2">
        <v>1.9767440000000001</v>
      </c>
      <c r="I1026">
        <v>1</v>
      </c>
      <c r="J1026">
        <v>0</v>
      </c>
      <c r="K1026" s="2">
        <v>1.628997</v>
      </c>
      <c r="L1026">
        <v>0</v>
      </c>
      <c r="M1026" s="7">
        <v>0.88058400000000003</v>
      </c>
      <c r="N1026" s="7">
        <v>1.127675</v>
      </c>
      <c r="O1026">
        <v>1</v>
      </c>
      <c r="P1026" t="s">
        <v>14</v>
      </c>
      <c r="Q1026">
        <v>3</v>
      </c>
      <c r="R1026" s="8">
        <f>(Tabela2[[#This Row],[FAF_atividade_fisica_frequente_em_horas]]+ 0.1)</f>
        <v>0.98058400000000001</v>
      </c>
      <c r="S1026" s="1">
        <f>(Tabela2[[#This Row],[TUE_tempo_uso_aparelhos_em_horas]]/Tabela2[[#This Row],[FAF_Var]])</f>
        <v>1.1500034673215145</v>
      </c>
      <c r="T1026">
        <f>(Tabela2[[#This Row],[CAEC_lanche_entre_refeicoes]]*Tabela2[[#This Row],[FAVC_consumo_frequente_de_alimentos_mt_caloricos]])</f>
        <v>1</v>
      </c>
      <c r="U1026" s="1">
        <f>IF(OR(Tabela2[[#This Row],[MTRANS]]="Walking",Tabela2[[#This Row],[MTRANS]]="Bike"),Tabela2[[#This Row],[FAF_atividade_fisica_frequente_em_horas]]+1,M1026)</f>
        <v>0.88058400000000003</v>
      </c>
      <c r="V1026">
        <f>(Tabela2[[#This Row],[SMOKE]]+Tabela2[[#This Row],[CALC_bebe_alcool_frequentemente]])</f>
        <v>1</v>
      </c>
      <c r="W1026" s="8">
        <f>(Tabela2[[#This Row],[Weight]]/(Tabela2[[#This Row],[Height]] ^2))</f>
        <v>27.756986714960163</v>
      </c>
    </row>
    <row r="1027" spans="1:23" x14ac:dyDescent="0.25">
      <c r="A1027" t="s">
        <v>13</v>
      </c>
      <c r="B1027" s="7">
        <v>38.464537999999997</v>
      </c>
      <c r="C1027" s="4">
        <v>1.696423</v>
      </c>
      <c r="D1027" s="7">
        <v>78.967918999999995</v>
      </c>
      <c r="E1027">
        <v>1</v>
      </c>
      <c r="F1027">
        <v>1</v>
      </c>
      <c r="G1027" s="2">
        <v>3</v>
      </c>
      <c r="H1027" s="2">
        <v>3</v>
      </c>
      <c r="I1027">
        <v>1</v>
      </c>
      <c r="J1027">
        <v>0</v>
      </c>
      <c r="K1027" s="2">
        <v>2.9816039999999999</v>
      </c>
      <c r="L1027">
        <v>0</v>
      </c>
      <c r="M1027" s="7">
        <v>0</v>
      </c>
      <c r="N1027" s="7">
        <v>0</v>
      </c>
      <c r="O1027">
        <v>0</v>
      </c>
      <c r="P1027" t="s">
        <v>17</v>
      </c>
      <c r="Q1027">
        <v>3</v>
      </c>
      <c r="R1027" s="8">
        <f>(Tabela2[[#This Row],[FAF_atividade_fisica_frequente_em_horas]]+ 0.1)</f>
        <v>0.1</v>
      </c>
      <c r="S1027" s="1">
        <f>(Tabela2[[#This Row],[TUE_tempo_uso_aparelhos_em_horas]]/Tabela2[[#This Row],[FAF_Var]])</f>
        <v>0</v>
      </c>
      <c r="T1027">
        <f>(Tabela2[[#This Row],[CAEC_lanche_entre_refeicoes]]*Tabela2[[#This Row],[FAVC_consumo_frequente_de_alimentos_mt_caloricos]])</f>
        <v>1</v>
      </c>
      <c r="U1027" s="1">
        <f>IF(OR(Tabela2[[#This Row],[MTRANS]]="Walking",Tabela2[[#This Row],[MTRANS]]="Bike"),Tabela2[[#This Row],[FAF_atividade_fisica_frequente_em_horas]]+1,M1027)</f>
        <v>0</v>
      </c>
      <c r="V1027">
        <f>(Tabela2[[#This Row],[SMOKE]]+Tabela2[[#This Row],[CALC_bebe_alcool_frequentemente]])</f>
        <v>0</v>
      </c>
      <c r="W1027" s="8">
        <f>(Tabela2[[#This Row],[Weight]]/(Tabela2[[#This Row],[Height]] ^2))</f>
        <v>27.439891481229459</v>
      </c>
    </row>
    <row r="1028" spans="1:23" x14ac:dyDescent="0.25">
      <c r="A1028" t="s">
        <v>13</v>
      </c>
      <c r="B1028" s="7">
        <v>37.496175000000001</v>
      </c>
      <c r="C1028" s="4">
        <v>1.6530879999999999</v>
      </c>
      <c r="D1028" s="7">
        <v>80</v>
      </c>
      <c r="E1028">
        <v>1</v>
      </c>
      <c r="F1028">
        <v>1</v>
      </c>
      <c r="G1028" s="2">
        <v>2.0337450000000001</v>
      </c>
      <c r="H1028" s="2">
        <v>3</v>
      </c>
      <c r="I1028">
        <v>1</v>
      </c>
      <c r="J1028">
        <v>0</v>
      </c>
      <c r="K1028" s="2">
        <v>1.517225</v>
      </c>
      <c r="L1028">
        <v>0</v>
      </c>
      <c r="M1028" s="7">
        <v>0</v>
      </c>
      <c r="N1028" s="7">
        <v>1.5178970000000001</v>
      </c>
      <c r="O1028">
        <v>0</v>
      </c>
      <c r="P1028" t="s">
        <v>17</v>
      </c>
      <c r="Q1028">
        <v>3</v>
      </c>
      <c r="R1028" s="8">
        <f>(Tabela2[[#This Row],[FAF_atividade_fisica_frequente_em_horas]]+ 0.1)</f>
        <v>0.1</v>
      </c>
      <c r="S1028" s="1">
        <f>(Tabela2[[#This Row],[TUE_tempo_uso_aparelhos_em_horas]]/Tabela2[[#This Row],[FAF_Var]])</f>
        <v>15.17897</v>
      </c>
      <c r="T1028">
        <f>(Tabela2[[#This Row],[CAEC_lanche_entre_refeicoes]]*Tabela2[[#This Row],[FAVC_consumo_frequente_de_alimentos_mt_caloricos]])</f>
        <v>1</v>
      </c>
      <c r="U1028" s="1">
        <f>IF(OR(Tabela2[[#This Row],[MTRANS]]="Walking",Tabela2[[#This Row],[MTRANS]]="Bike"),Tabela2[[#This Row],[FAF_atividade_fisica_frequente_em_horas]]+1,M1028)</f>
        <v>0</v>
      </c>
      <c r="V1028">
        <f>(Tabela2[[#This Row],[SMOKE]]+Tabela2[[#This Row],[CALC_bebe_alcool_frequentemente]])</f>
        <v>0</v>
      </c>
      <c r="W1028" s="8">
        <f>(Tabela2[[#This Row],[Weight]]/(Tabela2[[#This Row],[Height]] ^2))</f>
        <v>29.275076620594771</v>
      </c>
    </row>
    <row r="1029" spans="1:23" x14ac:dyDescent="0.25">
      <c r="A1029" t="s">
        <v>13</v>
      </c>
      <c r="B1029" s="7">
        <v>33.690238999999998</v>
      </c>
      <c r="C1029" s="4">
        <v>1.6818420000000001</v>
      </c>
      <c r="D1029" s="7">
        <v>77.426464999999993</v>
      </c>
      <c r="E1029">
        <v>1</v>
      </c>
      <c r="F1029">
        <v>1</v>
      </c>
      <c r="G1029" s="2">
        <v>3</v>
      </c>
      <c r="H1029" s="2">
        <v>2.6797240000000002</v>
      </c>
      <c r="I1029">
        <v>1</v>
      </c>
      <c r="J1029">
        <v>0</v>
      </c>
      <c r="K1029" s="2">
        <v>1.9997370000000001</v>
      </c>
      <c r="L1029">
        <v>0</v>
      </c>
      <c r="M1029" s="7">
        <v>1.747347</v>
      </c>
      <c r="N1029" s="7">
        <v>0.68177299999999996</v>
      </c>
      <c r="O1029">
        <v>0</v>
      </c>
      <c r="P1029" t="s">
        <v>17</v>
      </c>
      <c r="Q1029">
        <v>3</v>
      </c>
      <c r="R1029" s="8">
        <f>(Tabela2[[#This Row],[FAF_atividade_fisica_frequente_em_horas]]+ 0.1)</f>
        <v>1.8473470000000001</v>
      </c>
      <c r="S1029" s="1">
        <f>(Tabela2[[#This Row],[TUE_tempo_uso_aparelhos_em_horas]]/Tabela2[[#This Row],[FAF_Var]])</f>
        <v>0.36905519103882484</v>
      </c>
      <c r="T1029">
        <f>(Tabela2[[#This Row],[CAEC_lanche_entre_refeicoes]]*Tabela2[[#This Row],[FAVC_consumo_frequente_de_alimentos_mt_caloricos]])</f>
        <v>1</v>
      </c>
      <c r="U1029" s="1">
        <f>IF(OR(Tabela2[[#This Row],[MTRANS]]="Walking",Tabela2[[#This Row],[MTRANS]]="Bike"),Tabela2[[#This Row],[FAF_atividade_fisica_frequente_em_horas]]+1,M1029)</f>
        <v>1.747347</v>
      </c>
      <c r="V1029">
        <f>(Tabela2[[#This Row],[SMOKE]]+Tabela2[[#This Row],[CALC_bebe_alcool_frequentemente]])</f>
        <v>0</v>
      </c>
      <c r="W1029" s="8">
        <f>(Tabela2[[#This Row],[Weight]]/(Tabela2[[#This Row],[Height]] ^2))</f>
        <v>27.372788637861113</v>
      </c>
    </row>
    <row r="1030" spans="1:23" x14ac:dyDescent="0.25">
      <c r="A1030" t="s">
        <v>13</v>
      </c>
      <c r="B1030" s="7">
        <v>34.369686000000002</v>
      </c>
      <c r="C1030" s="4">
        <v>1.6522019999999999</v>
      </c>
      <c r="D1030" s="7">
        <v>77.133219999999994</v>
      </c>
      <c r="E1030">
        <v>1</v>
      </c>
      <c r="F1030">
        <v>1</v>
      </c>
      <c r="G1030" s="2">
        <v>2.5951279999999999</v>
      </c>
      <c r="H1030" s="2">
        <v>1.619796</v>
      </c>
      <c r="I1030">
        <v>1</v>
      </c>
      <c r="J1030">
        <v>0</v>
      </c>
      <c r="K1030" s="2">
        <v>1.6422509999999999</v>
      </c>
      <c r="L1030">
        <v>0</v>
      </c>
      <c r="M1030" s="7">
        <v>0.66283099999999995</v>
      </c>
      <c r="N1030" s="7">
        <v>0.99926800000000005</v>
      </c>
      <c r="O1030">
        <v>0</v>
      </c>
      <c r="P1030" t="s">
        <v>17</v>
      </c>
      <c r="Q1030">
        <v>3</v>
      </c>
      <c r="R1030" s="8">
        <f>(Tabela2[[#This Row],[FAF_atividade_fisica_frequente_em_horas]]+ 0.1)</f>
        <v>0.76283099999999993</v>
      </c>
      <c r="S1030" s="1">
        <f>(Tabela2[[#This Row],[TUE_tempo_uso_aparelhos_em_horas]]/Tabela2[[#This Row],[FAF_Var]])</f>
        <v>1.3099467640932265</v>
      </c>
      <c r="T1030">
        <f>(Tabela2[[#This Row],[CAEC_lanche_entre_refeicoes]]*Tabela2[[#This Row],[FAVC_consumo_frequente_de_alimentos_mt_caloricos]])</f>
        <v>1</v>
      </c>
      <c r="U1030" s="1">
        <f>IF(OR(Tabela2[[#This Row],[MTRANS]]="Walking",Tabela2[[#This Row],[MTRANS]]="Bike"),Tabela2[[#This Row],[FAF_atividade_fisica_frequente_em_horas]]+1,M1030)</f>
        <v>0.66283099999999995</v>
      </c>
      <c r="V1030">
        <f>(Tabela2[[#This Row],[SMOKE]]+Tabela2[[#This Row],[CALC_bebe_alcool_frequentemente]])</f>
        <v>0</v>
      </c>
      <c r="W1030" s="8">
        <f>(Tabela2[[#This Row],[Weight]]/(Tabela2[[#This Row],[Height]] ^2))</f>
        <v>28.256292311136352</v>
      </c>
    </row>
    <row r="1031" spans="1:23" x14ac:dyDescent="0.25">
      <c r="A1031" t="s">
        <v>15</v>
      </c>
      <c r="B1031" s="7">
        <v>31.426573000000001</v>
      </c>
      <c r="C1031" s="4">
        <v>1.8486830000000001</v>
      </c>
      <c r="D1031" s="7">
        <v>99</v>
      </c>
      <c r="E1031">
        <v>1</v>
      </c>
      <c r="F1031">
        <v>1</v>
      </c>
      <c r="G1031" s="2">
        <v>2.7592859999999999</v>
      </c>
      <c r="H1031" s="2">
        <v>2.5925699999999998</v>
      </c>
      <c r="I1031">
        <v>1</v>
      </c>
      <c r="J1031">
        <v>0</v>
      </c>
      <c r="K1031" s="2">
        <v>2.549617</v>
      </c>
      <c r="L1031">
        <v>0</v>
      </c>
      <c r="M1031" s="7">
        <v>1.427233</v>
      </c>
      <c r="N1031" s="7">
        <v>0.51939500000000005</v>
      </c>
      <c r="O1031">
        <v>1</v>
      </c>
      <c r="P1031" t="s">
        <v>17</v>
      </c>
      <c r="Q1031">
        <v>3</v>
      </c>
      <c r="R1031" s="8">
        <f>(Tabela2[[#This Row],[FAF_atividade_fisica_frequente_em_horas]]+ 0.1)</f>
        <v>1.5272330000000001</v>
      </c>
      <c r="S1031" s="1">
        <f>(Tabela2[[#This Row],[TUE_tempo_uso_aparelhos_em_horas]]/Tabela2[[#This Row],[FAF_Var]])</f>
        <v>0.34008890588404</v>
      </c>
      <c r="T1031">
        <f>(Tabela2[[#This Row],[CAEC_lanche_entre_refeicoes]]*Tabela2[[#This Row],[FAVC_consumo_frequente_de_alimentos_mt_caloricos]])</f>
        <v>1</v>
      </c>
      <c r="U1031" s="1">
        <f>IF(OR(Tabela2[[#This Row],[MTRANS]]="Walking",Tabela2[[#This Row],[MTRANS]]="Bike"),Tabela2[[#This Row],[FAF_atividade_fisica_frequente_em_horas]]+1,M1031)</f>
        <v>1.427233</v>
      </c>
      <c r="V1031">
        <f>(Tabela2[[#This Row],[SMOKE]]+Tabela2[[#This Row],[CALC_bebe_alcool_frequentemente]])</f>
        <v>1</v>
      </c>
      <c r="W1031" s="8">
        <f>(Tabela2[[#This Row],[Weight]]/(Tabela2[[#This Row],[Height]] ^2))</f>
        <v>28.967452229142477</v>
      </c>
    </row>
    <row r="1032" spans="1:23" x14ac:dyDescent="0.25">
      <c r="A1032" t="s">
        <v>15</v>
      </c>
      <c r="B1032" s="7">
        <v>34.288249</v>
      </c>
      <c r="C1032" s="4">
        <v>1.8356779999999999</v>
      </c>
      <c r="D1032" s="7">
        <v>96.018510000000006</v>
      </c>
      <c r="E1032">
        <v>1</v>
      </c>
      <c r="F1032">
        <v>1</v>
      </c>
      <c r="G1032" s="2">
        <v>2</v>
      </c>
      <c r="H1032" s="2">
        <v>1.546665</v>
      </c>
      <c r="I1032">
        <v>1</v>
      </c>
      <c r="J1032">
        <v>0</v>
      </c>
      <c r="K1032" s="2">
        <v>3</v>
      </c>
      <c r="L1032">
        <v>0</v>
      </c>
      <c r="M1032" s="7">
        <v>1</v>
      </c>
      <c r="N1032" s="7">
        <v>0</v>
      </c>
      <c r="O1032">
        <v>1</v>
      </c>
      <c r="P1032" t="s">
        <v>17</v>
      </c>
      <c r="Q1032">
        <v>3</v>
      </c>
      <c r="R1032" s="8">
        <f>(Tabela2[[#This Row],[FAF_atividade_fisica_frequente_em_horas]]+ 0.1)</f>
        <v>1.1000000000000001</v>
      </c>
      <c r="S1032" s="1">
        <f>(Tabela2[[#This Row],[TUE_tempo_uso_aparelhos_em_horas]]/Tabela2[[#This Row],[FAF_Var]])</f>
        <v>0</v>
      </c>
      <c r="T1032">
        <f>(Tabela2[[#This Row],[CAEC_lanche_entre_refeicoes]]*Tabela2[[#This Row],[FAVC_consumo_frequente_de_alimentos_mt_caloricos]])</f>
        <v>1</v>
      </c>
      <c r="U1032" s="1">
        <f>IF(OR(Tabela2[[#This Row],[MTRANS]]="Walking",Tabela2[[#This Row],[MTRANS]]="Bike"),Tabela2[[#This Row],[FAF_atividade_fisica_frequente_em_horas]]+1,M1032)</f>
        <v>1</v>
      </c>
      <c r="V1032">
        <f>(Tabela2[[#This Row],[SMOKE]]+Tabela2[[#This Row],[CALC_bebe_alcool_frequentemente]])</f>
        <v>1</v>
      </c>
      <c r="W1032" s="8">
        <f>(Tabela2[[#This Row],[Weight]]/(Tabela2[[#This Row],[Height]] ^2))</f>
        <v>28.494560068742068</v>
      </c>
    </row>
    <row r="1033" spans="1:23" x14ac:dyDescent="0.25">
      <c r="A1033" t="s">
        <v>13</v>
      </c>
      <c r="B1033" s="7">
        <v>18.863875</v>
      </c>
      <c r="C1033" s="4">
        <v>1.5600290000000001</v>
      </c>
      <c r="D1033" s="7">
        <v>71.728069000000005</v>
      </c>
      <c r="E1033">
        <v>1</v>
      </c>
      <c r="F1033">
        <v>0</v>
      </c>
      <c r="G1033" s="2">
        <v>3</v>
      </c>
      <c r="H1033" s="2">
        <v>3.3399139999999998</v>
      </c>
      <c r="I1033">
        <v>1</v>
      </c>
      <c r="J1033">
        <v>0</v>
      </c>
      <c r="K1033" s="2">
        <v>2</v>
      </c>
      <c r="L1033">
        <v>0</v>
      </c>
      <c r="M1033" s="7">
        <v>1</v>
      </c>
      <c r="N1033" s="7">
        <v>1</v>
      </c>
      <c r="O1033">
        <v>1</v>
      </c>
      <c r="P1033" t="s">
        <v>14</v>
      </c>
      <c r="Q1033">
        <v>3</v>
      </c>
      <c r="R1033" s="8">
        <f>(Tabela2[[#This Row],[FAF_atividade_fisica_frequente_em_horas]]+ 0.1)</f>
        <v>1.1000000000000001</v>
      </c>
      <c r="S1033" s="1">
        <f>(Tabela2[[#This Row],[TUE_tempo_uso_aparelhos_em_horas]]/Tabela2[[#This Row],[FAF_Var]])</f>
        <v>0.90909090909090906</v>
      </c>
      <c r="T1033">
        <f>(Tabela2[[#This Row],[CAEC_lanche_entre_refeicoes]]*Tabela2[[#This Row],[FAVC_consumo_frequente_de_alimentos_mt_caloricos]])</f>
        <v>0</v>
      </c>
      <c r="U1033" s="1">
        <f>IF(OR(Tabela2[[#This Row],[MTRANS]]="Walking",Tabela2[[#This Row],[MTRANS]]="Bike"),Tabela2[[#This Row],[FAF_atividade_fisica_frequente_em_horas]]+1,M1033)</f>
        <v>1</v>
      </c>
      <c r="V1033">
        <f>(Tabela2[[#This Row],[SMOKE]]+Tabela2[[#This Row],[CALC_bebe_alcool_frequentemente]])</f>
        <v>1</v>
      </c>
      <c r="W1033" s="8">
        <f>(Tabela2[[#This Row],[Weight]]/(Tabela2[[#This Row],[Height]] ^2))</f>
        <v>29.472962796490553</v>
      </c>
    </row>
    <row r="1034" spans="1:23" x14ac:dyDescent="0.25">
      <c r="A1034" t="s">
        <v>13</v>
      </c>
      <c r="B1034" s="7">
        <v>18.951143999999999</v>
      </c>
      <c r="C1034" s="4">
        <v>1.621048</v>
      </c>
      <c r="D1034" s="7">
        <v>72.105856000000003</v>
      </c>
      <c r="E1034">
        <v>1</v>
      </c>
      <c r="F1034">
        <v>0</v>
      </c>
      <c r="G1034" s="2">
        <v>3</v>
      </c>
      <c r="H1034" s="2">
        <v>3.8848609999999999</v>
      </c>
      <c r="I1034">
        <v>1</v>
      </c>
      <c r="J1034">
        <v>0</v>
      </c>
      <c r="K1034" s="2">
        <v>2</v>
      </c>
      <c r="L1034">
        <v>0</v>
      </c>
      <c r="M1034" s="7">
        <v>1</v>
      </c>
      <c r="N1034" s="7">
        <v>1</v>
      </c>
      <c r="O1034">
        <v>1</v>
      </c>
      <c r="P1034" t="s">
        <v>14</v>
      </c>
      <c r="Q1034">
        <v>3</v>
      </c>
      <c r="R1034" s="8">
        <f>(Tabela2[[#This Row],[FAF_atividade_fisica_frequente_em_horas]]+ 0.1)</f>
        <v>1.1000000000000001</v>
      </c>
      <c r="S1034" s="1">
        <f>(Tabela2[[#This Row],[TUE_tempo_uso_aparelhos_em_horas]]/Tabela2[[#This Row],[FAF_Var]])</f>
        <v>0.90909090909090906</v>
      </c>
      <c r="T1034">
        <f>(Tabela2[[#This Row],[CAEC_lanche_entre_refeicoes]]*Tabela2[[#This Row],[FAVC_consumo_frequente_de_alimentos_mt_caloricos]])</f>
        <v>0</v>
      </c>
      <c r="U1034" s="1">
        <f>IF(OR(Tabela2[[#This Row],[MTRANS]]="Walking",Tabela2[[#This Row],[MTRANS]]="Bike"),Tabela2[[#This Row],[FAF_atividade_fisica_frequente_em_horas]]+1,M1034)</f>
        <v>1</v>
      </c>
      <c r="V1034">
        <f>(Tabela2[[#This Row],[SMOKE]]+Tabela2[[#This Row],[CALC_bebe_alcool_frequentemente]])</f>
        <v>1</v>
      </c>
      <c r="W1034" s="8">
        <f>(Tabela2[[#This Row],[Weight]]/(Tabela2[[#This Row],[Height]] ^2))</f>
        <v>27.439663898546939</v>
      </c>
    </row>
    <row r="1035" spans="1:23" x14ac:dyDescent="0.25">
      <c r="A1035" t="s">
        <v>15</v>
      </c>
      <c r="B1035" s="7">
        <v>19.671876000000001</v>
      </c>
      <c r="C1035" s="4">
        <v>1.6994739999999999</v>
      </c>
      <c r="D1035" s="7">
        <v>78</v>
      </c>
      <c r="E1035">
        <v>1</v>
      </c>
      <c r="F1035">
        <v>0</v>
      </c>
      <c r="G1035" s="2">
        <v>1.9250640000000001</v>
      </c>
      <c r="H1035" s="2">
        <v>2.358298</v>
      </c>
      <c r="I1035">
        <v>1</v>
      </c>
      <c r="J1035">
        <v>0</v>
      </c>
      <c r="K1035" s="2">
        <v>2.7740429999999998</v>
      </c>
      <c r="L1035">
        <v>0</v>
      </c>
      <c r="M1035" s="7">
        <v>0</v>
      </c>
      <c r="N1035" s="7">
        <v>0.13356599999999999</v>
      </c>
      <c r="O1035">
        <v>0</v>
      </c>
      <c r="P1035" t="s">
        <v>14</v>
      </c>
      <c r="Q1035">
        <v>3</v>
      </c>
      <c r="R1035" s="8">
        <f>(Tabela2[[#This Row],[FAF_atividade_fisica_frequente_em_horas]]+ 0.1)</f>
        <v>0.1</v>
      </c>
      <c r="S1035" s="1">
        <f>(Tabela2[[#This Row],[TUE_tempo_uso_aparelhos_em_horas]]/Tabela2[[#This Row],[FAF_Var]])</f>
        <v>1.3356599999999998</v>
      </c>
      <c r="T1035">
        <f>(Tabela2[[#This Row],[CAEC_lanche_entre_refeicoes]]*Tabela2[[#This Row],[FAVC_consumo_frequente_de_alimentos_mt_caloricos]])</f>
        <v>0</v>
      </c>
      <c r="U1035" s="1">
        <f>IF(OR(Tabela2[[#This Row],[MTRANS]]="Walking",Tabela2[[#This Row],[MTRANS]]="Bike"),Tabela2[[#This Row],[FAF_atividade_fisica_frequente_em_horas]]+1,M1035)</f>
        <v>0</v>
      </c>
      <c r="V1035">
        <f>(Tabela2[[#This Row],[SMOKE]]+Tabela2[[#This Row],[CALC_bebe_alcool_frequentemente]])</f>
        <v>0</v>
      </c>
      <c r="W1035" s="8">
        <f>(Tabela2[[#This Row],[Weight]]/(Tabela2[[#This Row],[Height]] ^2))</f>
        <v>27.006328943487706</v>
      </c>
    </row>
    <row r="1036" spans="1:23" x14ac:dyDescent="0.25">
      <c r="A1036" t="s">
        <v>15</v>
      </c>
      <c r="B1036" s="7">
        <v>50.832559000000003</v>
      </c>
      <c r="C1036" s="4">
        <v>1.745528</v>
      </c>
      <c r="D1036" s="7">
        <v>82.130728000000005</v>
      </c>
      <c r="E1036">
        <v>1</v>
      </c>
      <c r="F1036">
        <v>1</v>
      </c>
      <c r="G1036" s="2">
        <v>2</v>
      </c>
      <c r="H1036" s="2">
        <v>3</v>
      </c>
      <c r="I1036">
        <v>1</v>
      </c>
      <c r="J1036">
        <v>0</v>
      </c>
      <c r="K1036" s="2">
        <v>1.774778</v>
      </c>
      <c r="L1036">
        <v>0</v>
      </c>
      <c r="M1036" s="7">
        <v>0.94326600000000005</v>
      </c>
      <c r="N1036" s="7">
        <v>0</v>
      </c>
      <c r="O1036">
        <v>0</v>
      </c>
      <c r="P1036" t="s">
        <v>17</v>
      </c>
      <c r="Q1036">
        <v>3</v>
      </c>
      <c r="R1036" s="8">
        <f>(Tabela2[[#This Row],[FAF_atividade_fisica_frequente_em_horas]]+ 0.1)</f>
        <v>1.043266</v>
      </c>
      <c r="S1036" s="1">
        <f>(Tabela2[[#This Row],[TUE_tempo_uso_aparelhos_em_horas]]/Tabela2[[#This Row],[FAF_Var]])</f>
        <v>0</v>
      </c>
      <c r="T1036">
        <f>(Tabela2[[#This Row],[CAEC_lanche_entre_refeicoes]]*Tabela2[[#This Row],[FAVC_consumo_frequente_de_alimentos_mt_caloricos]])</f>
        <v>1</v>
      </c>
      <c r="U1036" s="1">
        <f>IF(OR(Tabela2[[#This Row],[MTRANS]]="Walking",Tabela2[[#This Row],[MTRANS]]="Bike"),Tabela2[[#This Row],[FAF_atividade_fisica_frequente_em_horas]]+1,M1036)</f>
        <v>0.94326600000000005</v>
      </c>
      <c r="V1036">
        <f>(Tabela2[[#This Row],[SMOKE]]+Tabela2[[#This Row],[CALC_bebe_alcool_frequentemente]])</f>
        <v>0</v>
      </c>
      <c r="W1036" s="8">
        <f>(Tabela2[[#This Row],[Weight]]/(Tabela2[[#This Row],[Height]] ^2))</f>
        <v>26.95578805277362</v>
      </c>
    </row>
    <row r="1037" spans="1:23" x14ac:dyDescent="0.25">
      <c r="A1037" t="s">
        <v>15</v>
      </c>
      <c r="B1037" s="7">
        <v>17.971574</v>
      </c>
      <c r="C1037" s="4">
        <v>1.7203790000000001</v>
      </c>
      <c r="D1037" s="7">
        <v>85</v>
      </c>
      <c r="E1037">
        <v>1</v>
      </c>
      <c r="F1037">
        <v>1</v>
      </c>
      <c r="G1037" s="2">
        <v>2</v>
      </c>
      <c r="H1037" s="2">
        <v>3</v>
      </c>
      <c r="I1037">
        <v>1</v>
      </c>
      <c r="J1037">
        <v>0</v>
      </c>
      <c r="K1037" s="2">
        <v>2.8024979999999999</v>
      </c>
      <c r="L1037">
        <v>0</v>
      </c>
      <c r="M1037" s="7">
        <v>1</v>
      </c>
      <c r="N1037" s="7">
        <v>0.41758000000000001</v>
      </c>
      <c r="O1037">
        <v>1</v>
      </c>
      <c r="P1037" t="s">
        <v>14</v>
      </c>
      <c r="Q1037">
        <v>3</v>
      </c>
      <c r="R1037" s="8">
        <f>(Tabela2[[#This Row],[FAF_atividade_fisica_frequente_em_horas]]+ 0.1)</f>
        <v>1.1000000000000001</v>
      </c>
      <c r="S1037" s="1">
        <f>(Tabela2[[#This Row],[TUE_tempo_uso_aparelhos_em_horas]]/Tabela2[[#This Row],[FAF_Var]])</f>
        <v>0.3796181818181818</v>
      </c>
      <c r="T1037">
        <f>(Tabela2[[#This Row],[CAEC_lanche_entre_refeicoes]]*Tabela2[[#This Row],[FAVC_consumo_frequente_de_alimentos_mt_caloricos]])</f>
        <v>1</v>
      </c>
      <c r="U1037" s="1">
        <f>IF(OR(Tabela2[[#This Row],[MTRANS]]="Walking",Tabela2[[#This Row],[MTRANS]]="Bike"),Tabela2[[#This Row],[FAF_atividade_fisica_frequente_em_horas]]+1,M1037)</f>
        <v>1</v>
      </c>
      <c r="V1037">
        <f>(Tabela2[[#This Row],[SMOKE]]+Tabela2[[#This Row],[CALC_bebe_alcool_frequentemente]])</f>
        <v>1</v>
      </c>
      <c r="W1037" s="8">
        <f>(Tabela2[[#This Row],[Weight]]/(Tabela2[[#This Row],[Height]] ^2))</f>
        <v>28.719089060035291</v>
      </c>
    </row>
    <row r="1038" spans="1:23" x14ac:dyDescent="0.25">
      <c r="A1038" t="s">
        <v>15</v>
      </c>
      <c r="B1038" s="7">
        <v>18</v>
      </c>
      <c r="C1038" s="4">
        <v>1.7587870000000001</v>
      </c>
      <c r="D1038" s="7">
        <v>85.050557999999995</v>
      </c>
      <c r="E1038">
        <v>1</v>
      </c>
      <c r="F1038">
        <v>1</v>
      </c>
      <c r="G1038" s="2">
        <v>2.846981</v>
      </c>
      <c r="H1038" s="2">
        <v>3</v>
      </c>
      <c r="I1038">
        <v>1</v>
      </c>
      <c r="J1038">
        <v>0</v>
      </c>
      <c r="K1038" s="2">
        <v>2.8778100000000002</v>
      </c>
      <c r="L1038">
        <v>0</v>
      </c>
      <c r="M1038" s="7">
        <v>1</v>
      </c>
      <c r="N1038" s="7">
        <v>0.42908099999999999</v>
      </c>
      <c r="O1038">
        <v>1</v>
      </c>
      <c r="P1038" t="s">
        <v>14</v>
      </c>
      <c r="Q1038">
        <v>3</v>
      </c>
      <c r="R1038" s="8">
        <f>(Tabela2[[#This Row],[FAF_atividade_fisica_frequente_em_horas]]+ 0.1)</f>
        <v>1.1000000000000001</v>
      </c>
      <c r="S1038" s="1">
        <f>(Tabela2[[#This Row],[TUE_tempo_uso_aparelhos_em_horas]]/Tabela2[[#This Row],[FAF_Var]])</f>
        <v>0.39007363636363634</v>
      </c>
      <c r="T1038">
        <f>(Tabela2[[#This Row],[CAEC_lanche_entre_refeicoes]]*Tabela2[[#This Row],[FAVC_consumo_frequente_de_alimentos_mt_caloricos]])</f>
        <v>1</v>
      </c>
      <c r="U1038" s="1">
        <f>IF(OR(Tabela2[[#This Row],[MTRANS]]="Walking",Tabela2[[#This Row],[MTRANS]]="Bike"),Tabela2[[#This Row],[FAF_atividade_fisica_frequente_em_horas]]+1,M1038)</f>
        <v>1</v>
      </c>
      <c r="V1038">
        <f>(Tabela2[[#This Row],[SMOKE]]+Tabela2[[#This Row],[CALC_bebe_alcool_frequentemente]])</f>
        <v>1</v>
      </c>
      <c r="W1038" s="8">
        <f>(Tabela2[[#This Row],[Weight]]/(Tabela2[[#This Row],[Height]] ^2))</f>
        <v>27.494806873576323</v>
      </c>
    </row>
    <row r="1039" spans="1:23" x14ac:dyDescent="0.25">
      <c r="A1039" t="s">
        <v>15</v>
      </c>
      <c r="B1039" s="7">
        <v>18.701765999999999</v>
      </c>
      <c r="C1039" s="4">
        <v>1.7049080000000001</v>
      </c>
      <c r="D1039" s="7">
        <v>81.384224000000003</v>
      </c>
      <c r="E1039">
        <v>1</v>
      </c>
      <c r="F1039">
        <v>1</v>
      </c>
      <c r="G1039" s="2">
        <v>2.6506289999999999</v>
      </c>
      <c r="H1039" s="2">
        <v>1</v>
      </c>
      <c r="I1039">
        <v>1</v>
      </c>
      <c r="J1039">
        <v>0</v>
      </c>
      <c r="K1039" s="2">
        <v>1.708083</v>
      </c>
      <c r="L1039">
        <v>0</v>
      </c>
      <c r="M1039" s="7">
        <v>1.8760509999999999</v>
      </c>
      <c r="N1039" s="7">
        <v>0.93879100000000004</v>
      </c>
      <c r="O1039">
        <v>1</v>
      </c>
      <c r="P1039" t="s">
        <v>14</v>
      </c>
      <c r="Q1039">
        <v>3</v>
      </c>
      <c r="R1039" s="8">
        <f>(Tabela2[[#This Row],[FAF_atividade_fisica_frequente_em_horas]]+ 0.1)</f>
        <v>1.976051</v>
      </c>
      <c r="S1039" s="1">
        <f>(Tabela2[[#This Row],[TUE_tempo_uso_aparelhos_em_horas]]/Tabela2[[#This Row],[FAF_Var]])</f>
        <v>0.47508439812535203</v>
      </c>
      <c r="T1039">
        <f>(Tabela2[[#This Row],[CAEC_lanche_entre_refeicoes]]*Tabela2[[#This Row],[FAVC_consumo_frequente_de_alimentos_mt_caloricos]])</f>
        <v>1</v>
      </c>
      <c r="U1039" s="1">
        <f>IF(OR(Tabela2[[#This Row],[MTRANS]]="Walking",Tabela2[[#This Row],[MTRANS]]="Bike"),Tabela2[[#This Row],[FAF_atividade_fisica_frequente_em_horas]]+1,M1039)</f>
        <v>1.8760509999999999</v>
      </c>
      <c r="V1039">
        <f>(Tabela2[[#This Row],[SMOKE]]+Tabela2[[#This Row],[CALC_bebe_alcool_frequentemente]])</f>
        <v>1</v>
      </c>
      <c r="W1039" s="8">
        <f>(Tabela2[[#This Row],[Weight]]/(Tabela2[[#This Row],[Height]] ^2))</f>
        <v>27.998729809525059</v>
      </c>
    </row>
    <row r="1040" spans="1:23" x14ac:dyDescent="0.25">
      <c r="A1040" t="s">
        <v>13</v>
      </c>
      <c r="B1040" s="7">
        <v>34.389679000000001</v>
      </c>
      <c r="C1040" s="4">
        <v>1.691322</v>
      </c>
      <c r="D1040" s="7">
        <v>77.561601999999993</v>
      </c>
      <c r="E1040">
        <v>1</v>
      </c>
      <c r="F1040">
        <v>1</v>
      </c>
      <c r="G1040" s="2">
        <v>3</v>
      </c>
      <c r="H1040" s="2">
        <v>1.802305</v>
      </c>
      <c r="I1040">
        <v>1</v>
      </c>
      <c r="J1040">
        <v>0</v>
      </c>
      <c r="K1040" s="2">
        <v>2</v>
      </c>
      <c r="L1040">
        <v>0</v>
      </c>
      <c r="M1040" s="7">
        <v>0.39087699999999997</v>
      </c>
      <c r="N1040" s="7">
        <v>0</v>
      </c>
      <c r="O1040">
        <v>0</v>
      </c>
      <c r="P1040" t="s">
        <v>17</v>
      </c>
      <c r="Q1040">
        <v>3</v>
      </c>
      <c r="R1040" s="8">
        <f>(Tabela2[[#This Row],[FAF_atividade_fisica_frequente_em_horas]]+ 0.1)</f>
        <v>0.49087700000000001</v>
      </c>
      <c r="S1040" s="1">
        <f>(Tabela2[[#This Row],[TUE_tempo_uso_aparelhos_em_horas]]/Tabela2[[#This Row],[FAF_Var]])</f>
        <v>0</v>
      </c>
      <c r="T1040">
        <f>(Tabela2[[#This Row],[CAEC_lanche_entre_refeicoes]]*Tabela2[[#This Row],[FAVC_consumo_frequente_de_alimentos_mt_caloricos]])</f>
        <v>1</v>
      </c>
      <c r="U1040" s="1">
        <f>IF(OR(Tabela2[[#This Row],[MTRANS]]="Walking",Tabela2[[#This Row],[MTRANS]]="Bike"),Tabela2[[#This Row],[FAF_atividade_fisica_frequente_em_horas]]+1,M1040)</f>
        <v>0.39087699999999997</v>
      </c>
      <c r="V1040">
        <f>(Tabela2[[#This Row],[SMOKE]]+Tabela2[[#This Row],[CALC_bebe_alcool_frequentemente]])</f>
        <v>0</v>
      </c>
      <c r="W1040" s="8">
        <f>(Tabela2[[#This Row],[Weight]]/(Tabela2[[#This Row],[Height]] ^2))</f>
        <v>27.114036391436706</v>
      </c>
    </row>
    <row r="1041" spans="1:23" x14ac:dyDescent="0.25">
      <c r="A1041" t="s">
        <v>15</v>
      </c>
      <c r="B1041" s="7">
        <v>17.178483</v>
      </c>
      <c r="C1041" s="4">
        <v>1.7862899999999999</v>
      </c>
      <c r="D1041" s="7">
        <v>95.277392000000006</v>
      </c>
      <c r="E1041">
        <v>1</v>
      </c>
      <c r="F1041">
        <v>1</v>
      </c>
      <c r="G1041" s="2">
        <v>2</v>
      </c>
      <c r="H1041" s="2">
        <v>3</v>
      </c>
      <c r="I1041">
        <v>1</v>
      </c>
      <c r="J1041">
        <v>0</v>
      </c>
      <c r="K1041" s="2">
        <v>3</v>
      </c>
      <c r="L1041">
        <v>0</v>
      </c>
      <c r="M1041" s="7">
        <v>1.0723180000000001</v>
      </c>
      <c r="N1041" s="7">
        <v>0.65190400000000004</v>
      </c>
      <c r="O1041">
        <v>1</v>
      </c>
      <c r="P1041" t="s">
        <v>14</v>
      </c>
      <c r="Q1041">
        <v>3</v>
      </c>
      <c r="R1041" s="8">
        <f>(Tabela2[[#This Row],[FAF_atividade_fisica_frequente_em_horas]]+ 0.1)</f>
        <v>1.1723180000000002</v>
      </c>
      <c r="S1041" s="1">
        <f>(Tabela2[[#This Row],[TUE_tempo_uso_aparelhos_em_horas]]/Tabela2[[#This Row],[FAF_Var]])</f>
        <v>0.5560811998109727</v>
      </c>
      <c r="T1041">
        <f>(Tabela2[[#This Row],[CAEC_lanche_entre_refeicoes]]*Tabela2[[#This Row],[FAVC_consumo_frequente_de_alimentos_mt_caloricos]])</f>
        <v>1</v>
      </c>
      <c r="U1041" s="1">
        <f>IF(OR(Tabela2[[#This Row],[MTRANS]]="Walking",Tabela2[[#This Row],[MTRANS]]="Bike"),Tabela2[[#This Row],[FAF_atividade_fisica_frequente_em_horas]]+1,M1041)</f>
        <v>1.0723180000000001</v>
      </c>
      <c r="V1041">
        <f>(Tabela2[[#This Row],[SMOKE]]+Tabela2[[#This Row],[CALC_bebe_alcool_frequentemente]])</f>
        <v>1</v>
      </c>
      <c r="W1041" s="8">
        <f>(Tabela2[[#This Row],[Weight]]/(Tabela2[[#This Row],[Height]] ^2))</f>
        <v>29.859733471384406</v>
      </c>
    </row>
    <row r="1042" spans="1:23" x14ac:dyDescent="0.25">
      <c r="A1042" t="s">
        <v>15</v>
      </c>
      <c r="B1042" s="7">
        <v>33.081600000000002</v>
      </c>
      <c r="C1042" s="4">
        <v>1.7056169999999999</v>
      </c>
      <c r="D1042" s="7">
        <v>83.016968000000006</v>
      </c>
      <c r="E1042">
        <v>1</v>
      </c>
      <c r="F1042">
        <v>1</v>
      </c>
      <c r="G1042" s="2">
        <v>2</v>
      </c>
      <c r="H1042" s="2">
        <v>2.7976000000000001</v>
      </c>
      <c r="I1042">
        <v>1</v>
      </c>
      <c r="J1042">
        <v>0</v>
      </c>
      <c r="K1042" s="2">
        <v>2.9916710000000002</v>
      </c>
      <c r="L1042">
        <v>0</v>
      </c>
      <c r="M1042" s="7">
        <v>2.1487379999999998</v>
      </c>
      <c r="N1042" s="7">
        <v>0</v>
      </c>
      <c r="O1042">
        <v>0</v>
      </c>
      <c r="P1042" t="s">
        <v>17</v>
      </c>
      <c r="Q1042">
        <v>3</v>
      </c>
      <c r="R1042" s="8">
        <f>(Tabela2[[#This Row],[FAF_atividade_fisica_frequente_em_horas]]+ 0.1)</f>
        <v>2.2487379999999999</v>
      </c>
      <c r="S1042" s="1">
        <f>(Tabela2[[#This Row],[TUE_tempo_uso_aparelhos_em_horas]]/Tabela2[[#This Row],[FAF_Var]])</f>
        <v>0</v>
      </c>
      <c r="T1042">
        <f>(Tabela2[[#This Row],[CAEC_lanche_entre_refeicoes]]*Tabela2[[#This Row],[FAVC_consumo_frequente_de_alimentos_mt_caloricos]])</f>
        <v>1</v>
      </c>
      <c r="U1042" s="1">
        <f>IF(OR(Tabela2[[#This Row],[MTRANS]]="Walking",Tabela2[[#This Row],[MTRANS]]="Bike"),Tabela2[[#This Row],[FAF_atividade_fisica_frequente_em_horas]]+1,M1042)</f>
        <v>2.1487379999999998</v>
      </c>
      <c r="V1042">
        <f>(Tabela2[[#This Row],[SMOKE]]+Tabela2[[#This Row],[CALC_bebe_alcool_frequentemente]])</f>
        <v>0</v>
      </c>
      <c r="W1042" s="8">
        <f>(Tabela2[[#This Row],[Weight]]/(Tabela2[[#This Row],[Height]] ^2))</f>
        <v>28.536705657429163</v>
      </c>
    </row>
    <row r="1043" spans="1:23" x14ac:dyDescent="0.25">
      <c r="A1043" t="s">
        <v>15</v>
      </c>
      <c r="B1043" s="7">
        <v>33.270448000000002</v>
      </c>
      <c r="C1043" s="4">
        <v>1.733439</v>
      </c>
      <c r="D1043" s="7">
        <v>84.753829999999994</v>
      </c>
      <c r="E1043">
        <v>1</v>
      </c>
      <c r="F1043">
        <v>1</v>
      </c>
      <c r="G1043" s="2">
        <v>2.6315650000000002</v>
      </c>
      <c r="H1043" s="2">
        <v>2.627173</v>
      </c>
      <c r="I1043">
        <v>1</v>
      </c>
      <c r="J1043">
        <v>0</v>
      </c>
      <c r="K1043" s="2">
        <v>2.253422</v>
      </c>
      <c r="L1043">
        <v>0</v>
      </c>
      <c r="M1043" s="7">
        <v>2.6907559999999999</v>
      </c>
      <c r="N1043" s="7">
        <v>0.84577400000000003</v>
      </c>
      <c r="O1043">
        <v>0</v>
      </c>
      <c r="P1043" t="s">
        <v>17</v>
      </c>
      <c r="Q1043">
        <v>3</v>
      </c>
      <c r="R1043" s="8">
        <f>(Tabela2[[#This Row],[FAF_atividade_fisica_frequente_em_horas]]+ 0.1)</f>
        <v>2.790756</v>
      </c>
      <c r="S1043" s="1">
        <f>(Tabela2[[#This Row],[TUE_tempo_uso_aparelhos_em_horas]]/Tabela2[[#This Row],[FAF_Var]])</f>
        <v>0.30306268265659914</v>
      </c>
      <c r="T1043">
        <f>(Tabela2[[#This Row],[CAEC_lanche_entre_refeicoes]]*Tabela2[[#This Row],[FAVC_consumo_frequente_de_alimentos_mt_caloricos]])</f>
        <v>1</v>
      </c>
      <c r="U1043" s="1">
        <f>IF(OR(Tabela2[[#This Row],[MTRANS]]="Walking",Tabela2[[#This Row],[MTRANS]]="Bike"),Tabela2[[#This Row],[FAF_atividade_fisica_frequente_em_horas]]+1,M1043)</f>
        <v>2.6907559999999999</v>
      </c>
      <c r="V1043">
        <f>(Tabela2[[#This Row],[SMOKE]]+Tabela2[[#This Row],[CALC_bebe_alcool_frequentemente]])</f>
        <v>0</v>
      </c>
      <c r="W1043" s="8">
        <f>(Tabela2[[#This Row],[Weight]]/(Tabela2[[#This Row],[Height]] ^2))</f>
        <v>28.20604576456827</v>
      </c>
    </row>
    <row r="1044" spans="1:23" x14ac:dyDescent="0.25">
      <c r="A1044" t="s">
        <v>13</v>
      </c>
      <c r="B1044" s="7">
        <v>36.310291999999997</v>
      </c>
      <c r="C1044" s="4">
        <v>1.701397</v>
      </c>
      <c r="D1044" s="7">
        <v>83</v>
      </c>
      <c r="E1044">
        <v>1</v>
      </c>
      <c r="F1044">
        <v>1</v>
      </c>
      <c r="G1044" s="2">
        <v>2</v>
      </c>
      <c r="H1044" s="2">
        <v>1</v>
      </c>
      <c r="I1044">
        <v>1</v>
      </c>
      <c r="J1044">
        <v>0</v>
      </c>
      <c r="K1044" s="2">
        <v>2</v>
      </c>
      <c r="L1044">
        <v>0</v>
      </c>
      <c r="M1044" s="7">
        <v>1.472172</v>
      </c>
      <c r="N1044" s="7">
        <v>0</v>
      </c>
      <c r="O1044">
        <v>0</v>
      </c>
      <c r="P1044" t="s">
        <v>17</v>
      </c>
      <c r="Q1044">
        <v>3</v>
      </c>
      <c r="R1044" s="8">
        <f>(Tabela2[[#This Row],[FAF_atividade_fisica_frequente_em_horas]]+ 0.1)</f>
        <v>1.5721720000000001</v>
      </c>
      <c r="S1044" s="1">
        <f>(Tabela2[[#This Row],[TUE_tempo_uso_aparelhos_em_horas]]/Tabela2[[#This Row],[FAF_Var]])</f>
        <v>0</v>
      </c>
      <c r="T1044">
        <f>(Tabela2[[#This Row],[CAEC_lanche_entre_refeicoes]]*Tabela2[[#This Row],[FAVC_consumo_frequente_de_alimentos_mt_caloricos]])</f>
        <v>1</v>
      </c>
      <c r="U1044" s="1">
        <f>IF(OR(Tabela2[[#This Row],[MTRANS]]="Walking",Tabela2[[#This Row],[MTRANS]]="Bike"),Tabela2[[#This Row],[FAF_atividade_fisica_frequente_em_horas]]+1,M1044)</f>
        <v>1.472172</v>
      </c>
      <c r="V1044">
        <f>(Tabela2[[#This Row],[SMOKE]]+Tabela2[[#This Row],[CALC_bebe_alcool_frequentemente]])</f>
        <v>0</v>
      </c>
      <c r="W1044" s="8">
        <f>(Tabela2[[#This Row],[Weight]]/(Tabela2[[#This Row],[Height]] ^2))</f>
        <v>28.672579593005104</v>
      </c>
    </row>
    <row r="1045" spans="1:23" x14ac:dyDescent="0.25">
      <c r="A1045" t="s">
        <v>13</v>
      </c>
      <c r="B1045" s="7">
        <v>20</v>
      </c>
      <c r="C1045" s="4">
        <v>1.6252359999999999</v>
      </c>
      <c r="D1045" s="7">
        <v>74.433362000000002</v>
      </c>
      <c r="E1045">
        <v>1</v>
      </c>
      <c r="F1045">
        <v>0</v>
      </c>
      <c r="G1045" s="2">
        <v>2.5223990000000001</v>
      </c>
      <c r="H1045" s="2">
        <v>1.0328870000000001</v>
      </c>
      <c r="I1045">
        <v>1</v>
      </c>
      <c r="J1045">
        <v>0</v>
      </c>
      <c r="K1045" s="2">
        <v>2.397653</v>
      </c>
      <c r="L1045">
        <v>0</v>
      </c>
      <c r="M1045" s="7">
        <v>2.3586990000000001</v>
      </c>
      <c r="N1045" s="7">
        <v>0.44008700000000001</v>
      </c>
      <c r="O1045">
        <v>1</v>
      </c>
      <c r="P1045" t="s">
        <v>14</v>
      </c>
      <c r="Q1045">
        <v>3</v>
      </c>
      <c r="R1045" s="8">
        <f>(Tabela2[[#This Row],[FAF_atividade_fisica_frequente_em_horas]]+ 0.1)</f>
        <v>2.4586990000000002</v>
      </c>
      <c r="S1045" s="1">
        <f>(Tabela2[[#This Row],[TUE_tempo_uso_aparelhos_em_horas]]/Tabela2[[#This Row],[FAF_Var]])</f>
        <v>0.17899181640371595</v>
      </c>
      <c r="T1045">
        <f>(Tabela2[[#This Row],[CAEC_lanche_entre_refeicoes]]*Tabela2[[#This Row],[FAVC_consumo_frequente_de_alimentos_mt_caloricos]])</f>
        <v>0</v>
      </c>
      <c r="U1045" s="1">
        <f>IF(OR(Tabela2[[#This Row],[MTRANS]]="Walking",Tabela2[[#This Row],[MTRANS]]="Bike"),Tabela2[[#This Row],[FAF_atividade_fisica_frequente_em_horas]]+1,M1045)</f>
        <v>2.3586990000000001</v>
      </c>
      <c r="V1045">
        <f>(Tabela2[[#This Row],[SMOKE]]+Tabela2[[#This Row],[CALC_bebe_alcool_frequentemente]])</f>
        <v>1</v>
      </c>
      <c r="W1045" s="8">
        <f>(Tabela2[[#This Row],[Weight]]/(Tabela2[[#This Row],[Height]] ^2))</f>
        <v>28.179596375891656</v>
      </c>
    </row>
    <row r="1046" spans="1:23" x14ac:dyDescent="0.25">
      <c r="A1046" t="s">
        <v>13</v>
      </c>
      <c r="B1046" s="7">
        <v>18.549437000000001</v>
      </c>
      <c r="C1046" s="4">
        <v>1.545196</v>
      </c>
      <c r="D1046" s="7">
        <v>72.467861999999997</v>
      </c>
      <c r="E1046">
        <v>1</v>
      </c>
      <c r="F1046">
        <v>0</v>
      </c>
      <c r="G1046" s="2">
        <v>3</v>
      </c>
      <c r="H1046" s="2">
        <v>3.0148079999999999</v>
      </c>
      <c r="I1046">
        <v>1</v>
      </c>
      <c r="J1046">
        <v>0</v>
      </c>
      <c r="K1046" s="2">
        <v>2</v>
      </c>
      <c r="L1046">
        <v>0</v>
      </c>
      <c r="M1046" s="7">
        <v>1.9975290000000001</v>
      </c>
      <c r="N1046" s="7">
        <v>1</v>
      </c>
      <c r="O1046">
        <v>1</v>
      </c>
      <c r="P1046" t="s">
        <v>14</v>
      </c>
      <c r="Q1046">
        <v>3</v>
      </c>
      <c r="R1046" s="8">
        <f>(Tabela2[[#This Row],[FAF_atividade_fisica_frequente_em_horas]]+ 0.1)</f>
        <v>2.0975290000000002</v>
      </c>
      <c r="S1046" s="1">
        <f>(Tabela2[[#This Row],[TUE_tempo_uso_aparelhos_em_horas]]/Tabela2[[#This Row],[FAF_Var]])</f>
        <v>0.47675145373437028</v>
      </c>
      <c r="T1046">
        <f>(Tabela2[[#This Row],[CAEC_lanche_entre_refeicoes]]*Tabela2[[#This Row],[FAVC_consumo_frequente_de_alimentos_mt_caloricos]])</f>
        <v>0</v>
      </c>
      <c r="U1046" s="1">
        <f>IF(OR(Tabela2[[#This Row],[MTRANS]]="Walking",Tabela2[[#This Row],[MTRANS]]="Bike"),Tabela2[[#This Row],[FAF_atividade_fisica_frequente_em_horas]]+1,M1046)</f>
        <v>1.9975290000000001</v>
      </c>
      <c r="V1046">
        <f>(Tabela2[[#This Row],[SMOKE]]+Tabela2[[#This Row],[CALC_bebe_alcool_frequentemente]])</f>
        <v>1</v>
      </c>
      <c r="W1046" s="8">
        <f>(Tabela2[[#This Row],[Weight]]/(Tabela2[[#This Row],[Height]] ^2))</f>
        <v>30.351369939708</v>
      </c>
    </row>
    <row r="1047" spans="1:23" x14ac:dyDescent="0.25">
      <c r="A1047" t="s">
        <v>15</v>
      </c>
      <c r="B1047" s="7">
        <v>34.243146000000003</v>
      </c>
      <c r="C1047" s="4">
        <v>1.843172</v>
      </c>
      <c r="D1047" s="7">
        <v>92.695509999999999</v>
      </c>
      <c r="E1047">
        <v>1</v>
      </c>
      <c r="F1047">
        <v>1</v>
      </c>
      <c r="G1047" s="2">
        <v>2</v>
      </c>
      <c r="H1047" s="2">
        <v>2.2717339999999999</v>
      </c>
      <c r="I1047">
        <v>1</v>
      </c>
      <c r="J1047">
        <v>0</v>
      </c>
      <c r="K1047" s="2">
        <v>2.6290429999999998</v>
      </c>
      <c r="L1047">
        <v>0</v>
      </c>
      <c r="M1047" s="7">
        <v>1</v>
      </c>
      <c r="N1047" s="7">
        <v>7.5823000000000002E-2</v>
      </c>
      <c r="O1047">
        <v>1</v>
      </c>
      <c r="P1047" t="s">
        <v>17</v>
      </c>
      <c r="Q1047">
        <v>3</v>
      </c>
      <c r="R1047" s="8">
        <f>(Tabela2[[#This Row],[FAF_atividade_fisica_frequente_em_horas]]+ 0.1)</f>
        <v>1.1000000000000001</v>
      </c>
      <c r="S1047" s="1">
        <f>(Tabela2[[#This Row],[TUE_tempo_uso_aparelhos_em_horas]]/Tabela2[[#This Row],[FAF_Var]])</f>
        <v>6.8929999999999991E-2</v>
      </c>
      <c r="T1047">
        <f>(Tabela2[[#This Row],[CAEC_lanche_entre_refeicoes]]*Tabela2[[#This Row],[FAVC_consumo_frequente_de_alimentos_mt_caloricos]])</f>
        <v>1</v>
      </c>
      <c r="U1047" s="1">
        <f>IF(OR(Tabela2[[#This Row],[MTRANS]]="Walking",Tabela2[[#This Row],[MTRANS]]="Bike"),Tabela2[[#This Row],[FAF_atividade_fisica_frequente_em_horas]]+1,M1047)</f>
        <v>1</v>
      </c>
      <c r="V1047">
        <f>(Tabela2[[#This Row],[SMOKE]]+Tabela2[[#This Row],[CALC_bebe_alcool_frequentemente]])</f>
        <v>1</v>
      </c>
      <c r="W1047" s="8">
        <f>(Tabela2[[#This Row],[Weight]]/(Tabela2[[#This Row],[Height]] ^2))</f>
        <v>27.285189197095583</v>
      </c>
    </row>
    <row r="1048" spans="1:23" x14ac:dyDescent="0.25">
      <c r="A1048" t="s">
        <v>15</v>
      </c>
      <c r="B1048" s="7">
        <v>23.320119999999999</v>
      </c>
      <c r="C1048" s="4">
        <v>1.705813</v>
      </c>
      <c r="D1048" s="7">
        <v>82.011961999999997</v>
      </c>
      <c r="E1048">
        <v>1</v>
      </c>
      <c r="F1048">
        <v>1</v>
      </c>
      <c r="G1048" s="2">
        <v>2.7844709999999999</v>
      </c>
      <c r="H1048" s="2">
        <v>2.1225450000000001</v>
      </c>
      <c r="I1048">
        <v>1</v>
      </c>
      <c r="J1048">
        <v>0</v>
      </c>
      <c r="K1048" s="2">
        <v>2.9841530000000001</v>
      </c>
      <c r="L1048">
        <v>0</v>
      </c>
      <c r="M1048" s="7">
        <v>2.164472</v>
      </c>
      <c r="N1048" s="7">
        <v>0.20397799999999999</v>
      </c>
      <c r="O1048">
        <v>1</v>
      </c>
      <c r="P1048" t="s">
        <v>14</v>
      </c>
      <c r="Q1048">
        <v>3</v>
      </c>
      <c r="R1048" s="8">
        <f>(Tabela2[[#This Row],[FAF_atividade_fisica_frequente_em_horas]]+ 0.1)</f>
        <v>2.264472</v>
      </c>
      <c r="S1048" s="1">
        <f>(Tabela2[[#This Row],[TUE_tempo_uso_aparelhos_em_horas]]/Tabela2[[#This Row],[FAF_Var]])</f>
        <v>9.0077510342366787E-2</v>
      </c>
      <c r="T1048">
        <f>(Tabela2[[#This Row],[CAEC_lanche_entre_refeicoes]]*Tabela2[[#This Row],[FAVC_consumo_frequente_de_alimentos_mt_caloricos]])</f>
        <v>1</v>
      </c>
      <c r="U1048" s="1">
        <f>IF(OR(Tabela2[[#This Row],[MTRANS]]="Walking",Tabela2[[#This Row],[MTRANS]]="Bike"),Tabela2[[#This Row],[FAF_atividade_fisica_frequente_em_horas]]+1,M1048)</f>
        <v>2.164472</v>
      </c>
      <c r="V1048">
        <f>(Tabela2[[#This Row],[SMOKE]]+Tabela2[[#This Row],[CALC_bebe_alcool_frequentemente]])</f>
        <v>1</v>
      </c>
      <c r="W1048" s="8">
        <f>(Tabela2[[#This Row],[Weight]]/(Tabela2[[#This Row],[Height]] ^2))</f>
        <v>28.184761366437318</v>
      </c>
    </row>
    <row r="1049" spans="1:23" x14ac:dyDescent="0.25">
      <c r="A1049" t="s">
        <v>15</v>
      </c>
      <c r="B1049" s="7">
        <v>19.703095000000001</v>
      </c>
      <c r="C1049" s="4">
        <v>1.7041409999999999</v>
      </c>
      <c r="D1049" s="7">
        <v>78.790936000000002</v>
      </c>
      <c r="E1049">
        <v>1</v>
      </c>
      <c r="F1049">
        <v>0</v>
      </c>
      <c r="G1049" s="2">
        <v>1.6505050000000001</v>
      </c>
      <c r="H1049" s="2">
        <v>3</v>
      </c>
      <c r="I1049">
        <v>1</v>
      </c>
      <c r="J1049">
        <v>0</v>
      </c>
      <c r="K1049" s="2">
        <v>2</v>
      </c>
      <c r="L1049">
        <v>0</v>
      </c>
      <c r="M1049" s="7">
        <v>1.73234</v>
      </c>
      <c r="N1049" s="7">
        <v>1</v>
      </c>
      <c r="O1049">
        <v>1</v>
      </c>
      <c r="P1049" t="s">
        <v>14</v>
      </c>
      <c r="Q1049">
        <v>3</v>
      </c>
      <c r="R1049" s="8">
        <f>(Tabela2[[#This Row],[FAF_atividade_fisica_frequente_em_horas]]+ 0.1)</f>
        <v>1.8323400000000001</v>
      </c>
      <c r="S1049" s="1">
        <f>(Tabela2[[#This Row],[TUE_tempo_uso_aparelhos_em_horas]]/Tabela2[[#This Row],[FAF_Var]])</f>
        <v>0.54575024285885809</v>
      </c>
      <c r="T1049">
        <f>(Tabela2[[#This Row],[CAEC_lanche_entre_refeicoes]]*Tabela2[[#This Row],[FAVC_consumo_frequente_de_alimentos_mt_caloricos]])</f>
        <v>0</v>
      </c>
      <c r="U1049" s="1">
        <f>IF(OR(Tabela2[[#This Row],[MTRANS]]="Walking",Tabela2[[#This Row],[MTRANS]]="Bike"),Tabela2[[#This Row],[FAF_atividade_fisica_frequente_em_horas]]+1,M1049)</f>
        <v>1.73234</v>
      </c>
      <c r="V1049">
        <f>(Tabela2[[#This Row],[SMOKE]]+Tabela2[[#This Row],[CALC_bebe_alcool_frequentemente]])</f>
        <v>1</v>
      </c>
      <c r="W1049" s="8">
        <f>(Tabela2[[#This Row],[Weight]]/(Tabela2[[#This Row],[Height]] ^2))</f>
        <v>27.130963003792186</v>
      </c>
    </row>
    <row r="1050" spans="1:23" x14ac:dyDescent="0.25">
      <c r="A1050" t="s">
        <v>15</v>
      </c>
      <c r="B1050" s="7">
        <v>19.223258999999999</v>
      </c>
      <c r="C1050" s="4">
        <v>1.7060820000000001</v>
      </c>
      <c r="D1050" s="7">
        <v>78.073527999999996</v>
      </c>
      <c r="E1050">
        <v>1</v>
      </c>
      <c r="F1050">
        <v>0</v>
      </c>
      <c r="G1050" s="2">
        <v>1.961347</v>
      </c>
      <c r="H1050" s="2">
        <v>3</v>
      </c>
      <c r="I1050">
        <v>1</v>
      </c>
      <c r="J1050">
        <v>0</v>
      </c>
      <c r="K1050" s="2">
        <v>2</v>
      </c>
      <c r="L1050">
        <v>0</v>
      </c>
      <c r="M1050" s="7">
        <v>1.6554880000000001</v>
      </c>
      <c r="N1050" s="7">
        <v>1</v>
      </c>
      <c r="O1050">
        <v>1</v>
      </c>
      <c r="P1050" t="s">
        <v>14</v>
      </c>
      <c r="Q1050">
        <v>3</v>
      </c>
      <c r="R1050" s="8">
        <f>(Tabela2[[#This Row],[FAF_atividade_fisica_frequente_em_horas]]+ 0.1)</f>
        <v>1.7554880000000002</v>
      </c>
      <c r="S1050" s="1">
        <f>(Tabela2[[#This Row],[TUE_tempo_uso_aparelhos_em_horas]]/Tabela2[[#This Row],[FAF_Var]])</f>
        <v>0.56964217357224878</v>
      </c>
      <c r="T1050">
        <f>(Tabela2[[#This Row],[CAEC_lanche_entre_refeicoes]]*Tabela2[[#This Row],[FAVC_consumo_frequente_de_alimentos_mt_caloricos]])</f>
        <v>0</v>
      </c>
      <c r="U1050" s="1">
        <f>IF(OR(Tabela2[[#This Row],[MTRANS]]="Walking",Tabela2[[#This Row],[MTRANS]]="Bike"),Tabela2[[#This Row],[FAF_atividade_fisica_frequente_em_horas]]+1,M1050)</f>
        <v>1.6554880000000001</v>
      </c>
      <c r="V1050">
        <f>(Tabela2[[#This Row],[SMOKE]]+Tabela2[[#This Row],[CALC_bebe_alcool_frequentemente]])</f>
        <v>1</v>
      </c>
      <c r="W1050" s="8">
        <f>(Tabela2[[#This Row],[Weight]]/(Tabela2[[#This Row],[Height]] ^2))</f>
        <v>26.8227932966895</v>
      </c>
    </row>
    <row r="1051" spans="1:23" x14ac:dyDescent="0.25">
      <c r="A1051" t="s">
        <v>15</v>
      </c>
      <c r="B1051" s="7">
        <v>29.695602999999998</v>
      </c>
      <c r="C1051" s="4">
        <v>1.842943</v>
      </c>
      <c r="D1051" s="7">
        <v>93.798055000000005</v>
      </c>
      <c r="E1051">
        <v>1</v>
      </c>
      <c r="F1051">
        <v>1</v>
      </c>
      <c r="G1051" s="2">
        <v>2.1339549999999998</v>
      </c>
      <c r="H1051" s="2">
        <v>2.9027660000000002</v>
      </c>
      <c r="I1051">
        <v>1</v>
      </c>
      <c r="J1051">
        <v>0</v>
      </c>
      <c r="K1051" s="2">
        <v>1.7534639999999999</v>
      </c>
      <c r="L1051">
        <v>0</v>
      </c>
      <c r="M1051" s="7">
        <v>1.7299869999999999</v>
      </c>
      <c r="N1051" s="7">
        <v>1</v>
      </c>
      <c r="O1051">
        <v>1</v>
      </c>
      <c r="P1051" t="s">
        <v>14</v>
      </c>
      <c r="Q1051">
        <v>3</v>
      </c>
      <c r="R1051" s="8">
        <f>(Tabela2[[#This Row],[FAF_atividade_fisica_frequente_em_horas]]+ 0.1)</f>
        <v>1.829987</v>
      </c>
      <c r="S1051" s="1">
        <f>(Tabela2[[#This Row],[TUE_tempo_uso_aparelhos_em_horas]]/Tabela2[[#This Row],[FAF_Var]])</f>
        <v>0.54645196933092965</v>
      </c>
      <c r="T1051">
        <f>(Tabela2[[#This Row],[CAEC_lanche_entre_refeicoes]]*Tabela2[[#This Row],[FAVC_consumo_frequente_de_alimentos_mt_caloricos]])</f>
        <v>1</v>
      </c>
      <c r="U1051" s="1">
        <f>IF(OR(Tabela2[[#This Row],[MTRANS]]="Walking",Tabela2[[#This Row],[MTRANS]]="Bike"),Tabela2[[#This Row],[FAF_atividade_fisica_frequente_em_horas]]+1,M1051)</f>
        <v>1.7299869999999999</v>
      </c>
      <c r="V1051">
        <f>(Tabela2[[#This Row],[SMOKE]]+Tabela2[[#This Row],[CALC_bebe_alcool_frequentemente]])</f>
        <v>1</v>
      </c>
      <c r="W1051" s="8">
        <f>(Tabela2[[#This Row],[Weight]]/(Tabela2[[#This Row],[Height]] ^2))</f>
        <v>27.616588352437866</v>
      </c>
    </row>
    <row r="1052" spans="1:23" x14ac:dyDescent="0.25">
      <c r="A1052" t="s">
        <v>15</v>
      </c>
      <c r="B1052" s="7">
        <v>27</v>
      </c>
      <c r="C1052" s="4">
        <v>1.880992</v>
      </c>
      <c r="D1052" s="7">
        <v>99.623778000000001</v>
      </c>
      <c r="E1052">
        <v>1</v>
      </c>
      <c r="F1052">
        <v>1</v>
      </c>
      <c r="G1052" s="2">
        <v>2.6845279999999998</v>
      </c>
      <c r="H1052" s="2">
        <v>1</v>
      </c>
      <c r="I1052">
        <v>1</v>
      </c>
      <c r="J1052">
        <v>0</v>
      </c>
      <c r="K1052" s="2">
        <v>1.0566800000000001</v>
      </c>
      <c r="L1052">
        <v>0</v>
      </c>
      <c r="M1052" s="7">
        <v>1.5161469999999999</v>
      </c>
      <c r="N1052" s="7">
        <v>8.4005999999999997E-2</v>
      </c>
      <c r="O1052">
        <v>1</v>
      </c>
      <c r="P1052" t="s">
        <v>14</v>
      </c>
      <c r="Q1052">
        <v>3</v>
      </c>
      <c r="R1052" s="8">
        <f>(Tabela2[[#This Row],[FAF_atividade_fisica_frequente_em_horas]]+ 0.1)</f>
        <v>1.616147</v>
      </c>
      <c r="S1052" s="1">
        <f>(Tabela2[[#This Row],[TUE_tempo_uso_aparelhos_em_horas]]/Tabela2[[#This Row],[FAF_Var]])</f>
        <v>5.1979182586732516E-2</v>
      </c>
      <c r="T1052">
        <f>(Tabela2[[#This Row],[CAEC_lanche_entre_refeicoes]]*Tabela2[[#This Row],[FAVC_consumo_frequente_de_alimentos_mt_caloricos]])</f>
        <v>1</v>
      </c>
      <c r="U1052" s="1">
        <f>IF(OR(Tabela2[[#This Row],[MTRANS]]="Walking",Tabela2[[#This Row],[MTRANS]]="Bike"),Tabela2[[#This Row],[FAF_atividade_fisica_frequente_em_horas]]+1,M1052)</f>
        <v>1.5161469999999999</v>
      </c>
      <c r="V1052">
        <f>(Tabela2[[#This Row],[SMOKE]]+Tabela2[[#This Row],[CALC_bebe_alcool_frequentemente]])</f>
        <v>1</v>
      </c>
      <c r="W1052" s="8">
        <f>(Tabela2[[#This Row],[Weight]]/(Tabela2[[#This Row],[Height]] ^2))</f>
        <v>28.15717696752521</v>
      </c>
    </row>
    <row r="1053" spans="1:23" x14ac:dyDescent="0.25">
      <c r="A1053" t="s">
        <v>15</v>
      </c>
      <c r="B1053" s="7">
        <v>21.027661999999999</v>
      </c>
      <c r="C1053" s="4">
        <v>1.726774</v>
      </c>
      <c r="D1053" s="7">
        <v>82.853748999999993</v>
      </c>
      <c r="E1053">
        <v>1</v>
      </c>
      <c r="F1053">
        <v>1</v>
      </c>
      <c r="G1053" s="2">
        <v>2.2659729999999998</v>
      </c>
      <c r="H1053" s="2">
        <v>2.6875019999999998</v>
      </c>
      <c r="I1053">
        <v>1</v>
      </c>
      <c r="J1053">
        <v>0</v>
      </c>
      <c r="K1053" s="2">
        <v>2</v>
      </c>
      <c r="L1053">
        <v>0</v>
      </c>
      <c r="M1053" s="7">
        <v>2.2172200000000002</v>
      </c>
      <c r="N1053" s="7">
        <v>0.64852200000000004</v>
      </c>
      <c r="O1053">
        <v>1</v>
      </c>
      <c r="P1053" t="s">
        <v>14</v>
      </c>
      <c r="Q1053">
        <v>3</v>
      </c>
      <c r="R1053" s="8">
        <f>(Tabela2[[#This Row],[FAF_atividade_fisica_frequente_em_horas]]+ 0.1)</f>
        <v>2.3172200000000003</v>
      </c>
      <c r="S1053" s="1">
        <f>(Tabela2[[#This Row],[TUE_tempo_uso_aparelhos_em_horas]]/Tabela2[[#This Row],[FAF_Var]])</f>
        <v>0.27987070714045276</v>
      </c>
      <c r="T1053">
        <f>(Tabela2[[#This Row],[CAEC_lanche_entre_refeicoes]]*Tabela2[[#This Row],[FAVC_consumo_frequente_de_alimentos_mt_caloricos]])</f>
        <v>1</v>
      </c>
      <c r="U1053" s="1">
        <f>IF(OR(Tabela2[[#This Row],[MTRANS]]="Walking",Tabela2[[#This Row],[MTRANS]]="Bike"),Tabela2[[#This Row],[FAF_atividade_fisica_frequente_em_horas]]+1,M1053)</f>
        <v>2.2172200000000002</v>
      </c>
      <c r="V1053">
        <f>(Tabela2[[#This Row],[SMOKE]]+Tabela2[[#This Row],[CALC_bebe_alcool_frequentemente]])</f>
        <v>1</v>
      </c>
      <c r="W1053" s="8">
        <f>(Tabela2[[#This Row],[Weight]]/(Tabela2[[#This Row],[Height]] ^2))</f>
        <v>27.786968106330058</v>
      </c>
    </row>
    <row r="1054" spans="1:23" x14ac:dyDescent="0.25">
      <c r="A1054" t="s">
        <v>15</v>
      </c>
      <c r="B1054" s="7">
        <v>33.015258000000003</v>
      </c>
      <c r="C1054" s="4">
        <v>1.7319599999999999</v>
      </c>
      <c r="D1054" s="7">
        <v>84.315607999999997</v>
      </c>
      <c r="E1054">
        <v>1</v>
      </c>
      <c r="F1054">
        <v>1</v>
      </c>
      <c r="G1054" s="2">
        <v>2</v>
      </c>
      <c r="H1054" s="2">
        <v>3</v>
      </c>
      <c r="I1054">
        <v>1</v>
      </c>
      <c r="J1054">
        <v>0</v>
      </c>
      <c r="K1054" s="2">
        <v>2.205911</v>
      </c>
      <c r="L1054">
        <v>0</v>
      </c>
      <c r="M1054" s="7">
        <v>1.293396</v>
      </c>
      <c r="N1054" s="7">
        <v>0</v>
      </c>
      <c r="O1054">
        <v>0</v>
      </c>
      <c r="P1054" t="s">
        <v>17</v>
      </c>
      <c r="Q1054">
        <v>3</v>
      </c>
      <c r="R1054" s="8">
        <f>(Tabela2[[#This Row],[FAF_atividade_fisica_frequente_em_horas]]+ 0.1)</f>
        <v>1.3933960000000001</v>
      </c>
      <c r="S1054" s="1">
        <f>(Tabela2[[#This Row],[TUE_tempo_uso_aparelhos_em_horas]]/Tabela2[[#This Row],[FAF_Var]])</f>
        <v>0</v>
      </c>
      <c r="T1054">
        <f>(Tabela2[[#This Row],[CAEC_lanche_entre_refeicoes]]*Tabela2[[#This Row],[FAVC_consumo_frequente_de_alimentos_mt_caloricos]])</f>
        <v>1</v>
      </c>
      <c r="U1054" s="1">
        <f>IF(OR(Tabela2[[#This Row],[MTRANS]]="Walking",Tabela2[[#This Row],[MTRANS]]="Bike"),Tabela2[[#This Row],[FAF_atividade_fisica_frequente_em_horas]]+1,M1054)</f>
        <v>1.293396</v>
      </c>
      <c r="V1054">
        <f>(Tabela2[[#This Row],[SMOKE]]+Tabela2[[#This Row],[CALC_bebe_alcool_frequentemente]])</f>
        <v>0</v>
      </c>
      <c r="W1054" s="8">
        <f>(Tabela2[[#This Row],[Weight]]/(Tabela2[[#This Row],[Height]] ^2))</f>
        <v>28.10814988488492</v>
      </c>
    </row>
    <row r="1055" spans="1:23" x14ac:dyDescent="0.25">
      <c r="A1055" t="s">
        <v>15</v>
      </c>
      <c r="B1055" s="7">
        <v>18</v>
      </c>
      <c r="C1055" s="4">
        <v>1.7512779999999999</v>
      </c>
      <c r="D1055" s="7">
        <v>86.963628</v>
      </c>
      <c r="E1055">
        <v>1</v>
      </c>
      <c r="F1055">
        <v>0</v>
      </c>
      <c r="G1055" s="2">
        <v>3</v>
      </c>
      <c r="H1055" s="2">
        <v>3</v>
      </c>
      <c r="I1055">
        <v>1</v>
      </c>
      <c r="J1055">
        <v>0</v>
      </c>
      <c r="K1055" s="2">
        <v>2</v>
      </c>
      <c r="L1055">
        <v>0</v>
      </c>
      <c r="M1055" s="7">
        <v>1.2716670000000001</v>
      </c>
      <c r="N1055" s="7">
        <v>0.155278</v>
      </c>
      <c r="O1055">
        <v>1</v>
      </c>
      <c r="P1055" t="s">
        <v>14</v>
      </c>
      <c r="Q1055">
        <v>3</v>
      </c>
      <c r="R1055" s="8">
        <f>(Tabela2[[#This Row],[FAF_atividade_fisica_frequente_em_horas]]+ 0.1)</f>
        <v>1.3716670000000002</v>
      </c>
      <c r="S1055" s="1">
        <f>(Tabela2[[#This Row],[TUE_tempo_uso_aparelhos_em_horas]]/Tabela2[[#This Row],[FAF_Var]])</f>
        <v>0.11320386070380054</v>
      </c>
      <c r="T1055">
        <f>(Tabela2[[#This Row],[CAEC_lanche_entre_refeicoes]]*Tabela2[[#This Row],[FAVC_consumo_frequente_de_alimentos_mt_caloricos]])</f>
        <v>0</v>
      </c>
      <c r="U1055" s="1">
        <f>IF(OR(Tabela2[[#This Row],[MTRANS]]="Walking",Tabela2[[#This Row],[MTRANS]]="Bike"),Tabela2[[#This Row],[FAF_atividade_fisica_frequente_em_horas]]+1,M1055)</f>
        <v>1.2716670000000001</v>
      </c>
      <c r="V1055">
        <f>(Tabela2[[#This Row],[SMOKE]]+Tabela2[[#This Row],[CALC_bebe_alcool_frequentemente]])</f>
        <v>1</v>
      </c>
      <c r="W1055" s="8">
        <f>(Tabela2[[#This Row],[Weight]]/(Tabela2[[#This Row],[Height]] ^2))</f>
        <v>28.354857277343264</v>
      </c>
    </row>
    <row r="1056" spans="1:23" x14ac:dyDescent="0.25">
      <c r="A1056" t="s">
        <v>15</v>
      </c>
      <c r="B1056" s="7">
        <v>30.553097000000001</v>
      </c>
      <c r="C1056" s="4">
        <v>1.780448</v>
      </c>
      <c r="D1056" s="7">
        <v>88.431954000000005</v>
      </c>
      <c r="E1056">
        <v>1</v>
      </c>
      <c r="F1056">
        <v>1</v>
      </c>
      <c r="G1056" s="2">
        <v>2</v>
      </c>
      <c r="H1056" s="2">
        <v>1.1787080000000001</v>
      </c>
      <c r="I1056">
        <v>1</v>
      </c>
      <c r="J1056">
        <v>0</v>
      </c>
      <c r="K1056" s="2">
        <v>1.7912859999999999</v>
      </c>
      <c r="L1056">
        <v>0</v>
      </c>
      <c r="M1056" s="7">
        <v>0.89336199999999999</v>
      </c>
      <c r="N1056" s="7">
        <v>0.276364</v>
      </c>
      <c r="O1056">
        <v>1</v>
      </c>
      <c r="P1056" t="s">
        <v>14</v>
      </c>
      <c r="Q1056">
        <v>3</v>
      </c>
      <c r="R1056" s="8">
        <f>(Tabela2[[#This Row],[FAF_atividade_fisica_frequente_em_horas]]+ 0.1)</f>
        <v>0.99336199999999997</v>
      </c>
      <c r="S1056" s="1">
        <f>(Tabela2[[#This Row],[TUE_tempo_uso_aparelhos_em_horas]]/Tabela2[[#This Row],[FAF_Var]])</f>
        <v>0.27821076304509335</v>
      </c>
      <c r="T1056">
        <f>(Tabela2[[#This Row],[CAEC_lanche_entre_refeicoes]]*Tabela2[[#This Row],[FAVC_consumo_frequente_de_alimentos_mt_caloricos]])</f>
        <v>1</v>
      </c>
      <c r="U1056" s="1">
        <f>IF(OR(Tabela2[[#This Row],[MTRANS]]="Walking",Tabela2[[#This Row],[MTRANS]]="Bike"),Tabela2[[#This Row],[FAF_atividade_fisica_frequente_em_horas]]+1,M1056)</f>
        <v>0.89336199999999999</v>
      </c>
      <c r="V1056">
        <f>(Tabela2[[#This Row],[SMOKE]]+Tabela2[[#This Row],[CALC_bebe_alcool_frequentemente]])</f>
        <v>1</v>
      </c>
      <c r="W1056" s="8">
        <f>(Tabela2[[#This Row],[Weight]]/(Tabela2[[#This Row],[Height]] ^2))</f>
        <v>27.89655874808513</v>
      </c>
    </row>
    <row r="1057" spans="1:23" x14ac:dyDescent="0.25">
      <c r="A1057" t="s">
        <v>15</v>
      </c>
      <c r="B1057" s="7">
        <v>33</v>
      </c>
      <c r="C1057" s="4">
        <v>1.85</v>
      </c>
      <c r="D1057" s="7">
        <v>97.920349999999999</v>
      </c>
      <c r="E1057">
        <v>1</v>
      </c>
      <c r="F1057">
        <v>1</v>
      </c>
      <c r="G1057" s="2">
        <v>2</v>
      </c>
      <c r="H1057" s="2">
        <v>3</v>
      </c>
      <c r="I1057">
        <v>1</v>
      </c>
      <c r="J1057">
        <v>0</v>
      </c>
      <c r="K1057" s="2">
        <v>1.117464</v>
      </c>
      <c r="L1057">
        <v>0</v>
      </c>
      <c r="M1057" s="7">
        <v>1</v>
      </c>
      <c r="N1057" s="7">
        <v>0.66364900000000004</v>
      </c>
      <c r="O1057">
        <v>1</v>
      </c>
      <c r="P1057" t="s">
        <v>14</v>
      </c>
      <c r="Q1057">
        <v>3</v>
      </c>
      <c r="R1057" s="8">
        <f>(Tabela2[[#This Row],[FAF_atividade_fisica_frequente_em_horas]]+ 0.1)</f>
        <v>1.1000000000000001</v>
      </c>
      <c r="S1057" s="1">
        <f>(Tabela2[[#This Row],[TUE_tempo_uso_aparelhos_em_horas]]/Tabela2[[#This Row],[FAF_Var]])</f>
        <v>0.60331727272727276</v>
      </c>
      <c r="T1057">
        <f>(Tabela2[[#This Row],[CAEC_lanche_entre_refeicoes]]*Tabela2[[#This Row],[FAVC_consumo_frequente_de_alimentos_mt_caloricos]])</f>
        <v>1</v>
      </c>
      <c r="U1057" s="1">
        <f>IF(OR(Tabela2[[#This Row],[MTRANS]]="Walking",Tabela2[[#This Row],[MTRANS]]="Bike"),Tabela2[[#This Row],[FAF_atividade_fisica_frequente_em_horas]]+1,M1057)</f>
        <v>1</v>
      </c>
      <c r="V1057">
        <f>(Tabela2[[#This Row],[SMOKE]]+Tabela2[[#This Row],[CALC_bebe_alcool_frequentemente]])</f>
        <v>1</v>
      </c>
      <c r="W1057" s="8">
        <f>(Tabela2[[#This Row],[Weight]]/(Tabela2[[#This Row],[Height]] ^2))</f>
        <v>28.610766983199412</v>
      </c>
    </row>
    <row r="1058" spans="1:23" x14ac:dyDescent="0.25">
      <c r="A1058" t="s">
        <v>15</v>
      </c>
      <c r="B1058" s="7">
        <v>24.911994</v>
      </c>
      <c r="C1058" s="4">
        <v>1.7852410000000001</v>
      </c>
      <c r="D1058" s="7">
        <v>88.037480000000002</v>
      </c>
      <c r="E1058">
        <v>1</v>
      </c>
      <c r="F1058">
        <v>1</v>
      </c>
      <c r="G1058" s="2">
        <v>1.3068439999999999</v>
      </c>
      <c r="H1058" s="2">
        <v>2.2795459999999999</v>
      </c>
      <c r="I1058">
        <v>1</v>
      </c>
      <c r="J1058">
        <v>0</v>
      </c>
      <c r="K1058" s="2">
        <v>2</v>
      </c>
      <c r="L1058">
        <v>0</v>
      </c>
      <c r="M1058" s="7">
        <v>0</v>
      </c>
      <c r="N1058" s="7">
        <v>0.73960899999999996</v>
      </c>
      <c r="O1058">
        <v>1</v>
      </c>
      <c r="P1058" t="s">
        <v>14</v>
      </c>
      <c r="Q1058">
        <v>3</v>
      </c>
      <c r="R1058" s="8">
        <f>(Tabela2[[#This Row],[FAF_atividade_fisica_frequente_em_horas]]+ 0.1)</f>
        <v>0.1</v>
      </c>
      <c r="S1058" s="1">
        <f>(Tabela2[[#This Row],[TUE_tempo_uso_aparelhos_em_horas]]/Tabela2[[#This Row],[FAF_Var]])</f>
        <v>7.3960899999999992</v>
      </c>
      <c r="T1058">
        <f>(Tabela2[[#This Row],[CAEC_lanche_entre_refeicoes]]*Tabela2[[#This Row],[FAVC_consumo_frequente_de_alimentos_mt_caloricos]])</f>
        <v>1</v>
      </c>
      <c r="U1058" s="1">
        <f>IF(OR(Tabela2[[#This Row],[MTRANS]]="Walking",Tabela2[[#This Row],[MTRANS]]="Bike"),Tabela2[[#This Row],[FAF_atividade_fisica_frequente_em_horas]]+1,M1058)</f>
        <v>0</v>
      </c>
      <c r="V1058">
        <f>(Tabela2[[#This Row],[SMOKE]]+Tabela2[[#This Row],[CALC_bebe_alcool_frequentemente]])</f>
        <v>1</v>
      </c>
      <c r="W1058" s="8">
        <f>(Tabela2[[#This Row],[Weight]]/(Tabela2[[#This Row],[Height]] ^2))</f>
        <v>27.623194290404982</v>
      </c>
    </row>
    <row r="1059" spans="1:23" x14ac:dyDescent="0.25">
      <c r="A1059" t="s">
        <v>15</v>
      </c>
      <c r="B1059" s="7">
        <v>24.444845999999998</v>
      </c>
      <c r="C1059" s="4">
        <v>1.718845</v>
      </c>
      <c r="D1059" s="7">
        <v>86.319886999999994</v>
      </c>
      <c r="E1059">
        <v>1</v>
      </c>
      <c r="F1059">
        <v>1</v>
      </c>
      <c r="G1059" s="2">
        <v>2</v>
      </c>
      <c r="H1059" s="2">
        <v>2.6776930000000001</v>
      </c>
      <c r="I1059">
        <v>1</v>
      </c>
      <c r="J1059">
        <v>0</v>
      </c>
      <c r="K1059" s="2">
        <v>2.693978</v>
      </c>
      <c r="L1059">
        <v>0</v>
      </c>
      <c r="M1059" s="7">
        <v>0</v>
      </c>
      <c r="N1059" s="7">
        <v>0.68801299999999999</v>
      </c>
      <c r="O1059">
        <v>1</v>
      </c>
      <c r="P1059" t="s">
        <v>14</v>
      </c>
      <c r="Q1059">
        <v>3</v>
      </c>
      <c r="R1059" s="8">
        <f>(Tabela2[[#This Row],[FAF_atividade_fisica_frequente_em_horas]]+ 0.1)</f>
        <v>0.1</v>
      </c>
      <c r="S1059" s="1">
        <f>(Tabela2[[#This Row],[TUE_tempo_uso_aparelhos_em_horas]]/Tabela2[[#This Row],[FAF_Var]])</f>
        <v>6.8801299999999994</v>
      </c>
      <c r="T1059">
        <f>(Tabela2[[#This Row],[CAEC_lanche_entre_refeicoes]]*Tabela2[[#This Row],[FAVC_consumo_frequente_de_alimentos_mt_caloricos]])</f>
        <v>1</v>
      </c>
      <c r="U1059" s="1">
        <f>IF(OR(Tabela2[[#This Row],[MTRANS]]="Walking",Tabela2[[#This Row],[MTRANS]]="Bike"),Tabela2[[#This Row],[FAF_atividade_fisica_frequente_em_horas]]+1,M1059)</f>
        <v>0</v>
      </c>
      <c r="V1059">
        <f>(Tabela2[[#This Row],[SMOKE]]+Tabela2[[#This Row],[CALC_bebe_alcool_frequentemente]])</f>
        <v>1</v>
      </c>
      <c r="W1059" s="8">
        <f>(Tabela2[[#This Row],[Weight]]/(Tabela2[[#This Row],[Height]] ^2))</f>
        <v>29.217121921460002</v>
      </c>
    </row>
    <row r="1060" spans="1:23" x14ac:dyDescent="0.25">
      <c r="A1060" t="s">
        <v>13</v>
      </c>
      <c r="B1060" s="7">
        <v>19.911245999999998</v>
      </c>
      <c r="C1060" s="4">
        <v>1.5302480000000001</v>
      </c>
      <c r="D1060" s="7">
        <v>68.850970000000004</v>
      </c>
      <c r="E1060">
        <v>1</v>
      </c>
      <c r="F1060">
        <v>0</v>
      </c>
      <c r="G1060" s="2">
        <v>2.2587950000000001</v>
      </c>
      <c r="H1060" s="2">
        <v>3.53009</v>
      </c>
      <c r="I1060">
        <v>1</v>
      </c>
      <c r="J1060">
        <v>0</v>
      </c>
      <c r="K1060" s="2">
        <v>1.172186</v>
      </c>
      <c r="L1060">
        <v>0</v>
      </c>
      <c r="M1060" s="7">
        <v>0.67894299999999996</v>
      </c>
      <c r="N1060" s="7">
        <v>1</v>
      </c>
      <c r="O1060">
        <v>0</v>
      </c>
      <c r="P1060" t="s">
        <v>14</v>
      </c>
      <c r="Q1060">
        <v>3</v>
      </c>
      <c r="R1060" s="8">
        <f>(Tabela2[[#This Row],[FAF_atividade_fisica_frequente_em_horas]]+ 0.1)</f>
        <v>0.77894299999999994</v>
      </c>
      <c r="S1060" s="1">
        <f>(Tabela2[[#This Row],[TUE_tempo_uso_aparelhos_em_horas]]/Tabela2[[#This Row],[FAF_Var]])</f>
        <v>1.2837909834224071</v>
      </c>
      <c r="T1060">
        <f>(Tabela2[[#This Row],[CAEC_lanche_entre_refeicoes]]*Tabela2[[#This Row],[FAVC_consumo_frequente_de_alimentos_mt_caloricos]])</f>
        <v>0</v>
      </c>
      <c r="U1060" s="1">
        <f>IF(OR(Tabela2[[#This Row],[MTRANS]]="Walking",Tabela2[[#This Row],[MTRANS]]="Bike"),Tabela2[[#This Row],[FAF_atividade_fisica_frequente_em_horas]]+1,M1060)</f>
        <v>0.67894299999999996</v>
      </c>
      <c r="V1060">
        <f>(Tabela2[[#This Row],[SMOKE]]+Tabela2[[#This Row],[CALC_bebe_alcool_frequentemente]])</f>
        <v>0</v>
      </c>
      <c r="W1060" s="8">
        <f>(Tabela2[[#This Row],[Weight]]/(Tabela2[[#This Row],[Height]] ^2))</f>
        <v>29.40264646557727</v>
      </c>
    </row>
    <row r="1061" spans="1:23" x14ac:dyDescent="0.25">
      <c r="A1061" t="s">
        <v>13</v>
      </c>
      <c r="B1061" s="7">
        <v>34.204408000000001</v>
      </c>
      <c r="C1061" s="4">
        <v>1.664927</v>
      </c>
      <c r="D1061" s="7">
        <v>80.386077999999998</v>
      </c>
      <c r="E1061">
        <v>1</v>
      </c>
      <c r="F1061">
        <v>1</v>
      </c>
      <c r="G1061" s="2">
        <v>2</v>
      </c>
      <c r="H1061" s="2">
        <v>3</v>
      </c>
      <c r="I1061">
        <v>1</v>
      </c>
      <c r="J1061">
        <v>0</v>
      </c>
      <c r="K1061" s="2">
        <v>2.641642</v>
      </c>
      <c r="L1061">
        <v>0</v>
      </c>
      <c r="M1061" s="7">
        <v>0.285889</v>
      </c>
      <c r="N1061" s="7">
        <v>1.50301</v>
      </c>
      <c r="O1061">
        <v>0</v>
      </c>
      <c r="P1061" t="s">
        <v>17</v>
      </c>
      <c r="Q1061">
        <v>3</v>
      </c>
      <c r="R1061" s="8">
        <f>(Tabela2[[#This Row],[FAF_atividade_fisica_frequente_em_horas]]+ 0.1)</f>
        <v>0.38588900000000004</v>
      </c>
      <c r="S1061" s="1">
        <f>(Tabela2[[#This Row],[TUE_tempo_uso_aparelhos_em_horas]]/Tabela2[[#This Row],[FAF_Var]])</f>
        <v>3.8949283343137528</v>
      </c>
      <c r="T1061">
        <f>(Tabela2[[#This Row],[CAEC_lanche_entre_refeicoes]]*Tabela2[[#This Row],[FAVC_consumo_frequente_de_alimentos_mt_caloricos]])</f>
        <v>1</v>
      </c>
      <c r="U1061" s="1">
        <f>IF(OR(Tabela2[[#This Row],[MTRANS]]="Walking",Tabela2[[#This Row],[MTRANS]]="Bike"),Tabela2[[#This Row],[FAF_atividade_fisica_frequente_em_horas]]+1,M1061)</f>
        <v>0.285889</v>
      </c>
      <c r="V1061">
        <f>(Tabela2[[#This Row],[SMOKE]]+Tabela2[[#This Row],[CALC_bebe_alcool_frequentemente]])</f>
        <v>0</v>
      </c>
      <c r="W1061" s="8">
        <f>(Tabela2[[#This Row],[Weight]]/(Tabela2[[#This Row],[Height]] ^2))</f>
        <v>28.999495832013451</v>
      </c>
    </row>
    <row r="1062" spans="1:23" x14ac:dyDescent="0.25">
      <c r="A1062" t="s">
        <v>13</v>
      </c>
      <c r="B1062" s="7">
        <v>34.281680999999999</v>
      </c>
      <c r="C1062" s="4">
        <v>1.673333</v>
      </c>
      <c r="D1062" s="7">
        <v>77.205685000000003</v>
      </c>
      <c r="E1062">
        <v>1</v>
      </c>
      <c r="F1062">
        <v>1</v>
      </c>
      <c r="G1062" s="2">
        <v>2.6899289999999998</v>
      </c>
      <c r="H1062" s="2">
        <v>1.8355429999999999</v>
      </c>
      <c r="I1062">
        <v>1</v>
      </c>
      <c r="J1062">
        <v>0</v>
      </c>
      <c r="K1062" s="2">
        <v>1.718569</v>
      </c>
      <c r="L1062">
        <v>0</v>
      </c>
      <c r="M1062" s="7">
        <v>0.67434799999999995</v>
      </c>
      <c r="N1062" s="7">
        <v>0.70724600000000004</v>
      </c>
      <c r="O1062">
        <v>0</v>
      </c>
      <c r="P1062" t="s">
        <v>17</v>
      </c>
      <c r="Q1062">
        <v>3</v>
      </c>
      <c r="R1062" s="8">
        <f>(Tabela2[[#This Row],[FAF_atividade_fisica_frequente_em_horas]]+ 0.1)</f>
        <v>0.77434799999999993</v>
      </c>
      <c r="S1062" s="1">
        <f>(Tabela2[[#This Row],[TUE_tempo_uso_aparelhos_em_horas]]/Tabela2[[#This Row],[FAF_Var]])</f>
        <v>0.9133438712310229</v>
      </c>
      <c r="T1062">
        <f>(Tabela2[[#This Row],[CAEC_lanche_entre_refeicoes]]*Tabela2[[#This Row],[FAVC_consumo_frequente_de_alimentos_mt_caloricos]])</f>
        <v>1</v>
      </c>
      <c r="U1062" s="1">
        <f>IF(OR(Tabela2[[#This Row],[MTRANS]]="Walking",Tabela2[[#This Row],[MTRANS]]="Bike"),Tabela2[[#This Row],[FAF_atividade_fisica_frequente_em_horas]]+1,M1062)</f>
        <v>0.67434799999999995</v>
      </c>
      <c r="V1062">
        <f>(Tabela2[[#This Row],[SMOKE]]+Tabela2[[#This Row],[CALC_bebe_alcool_frequentemente]])</f>
        <v>0</v>
      </c>
      <c r="W1062" s="8">
        <f>(Tabela2[[#This Row],[Weight]]/(Tabela2[[#This Row],[Height]] ^2))</f>
        <v>27.573032246837997</v>
      </c>
    </row>
    <row r="1063" spans="1:23" x14ac:dyDescent="0.25">
      <c r="A1063" t="s">
        <v>15</v>
      </c>
      <c r="B1063" s="7">
        <v>23.384374000000001</v>
      </c>
      <c r="C1063" s="4">
        <v>1.725587</v>
      </c>
      <c r="D1063" s="7">
        <v>82.480214000000004</v>
      </c>
      <c r="E1063">
        <v>1</v>
      </c>
      <c r="F1063">
        <v>1</v>
      </c>
      <c r="G1063" s="2">
        <v>2.7127469999999998</v>
      </c>
      <c r="H1063" s="2">
        <v>2.8536760000000001</v>
      </c>
      <c r="I1063">
        <v>1</v>
      </c>
      <c r="J1063">
        <v>0</v>
      </c>
      <c r="K1063" s="2">
        <v>1.526313</v>
      </c>
      <c r="L1063">
        <v>0</v>
      </c>
      <c r="M1063" s="7">
        <v>1</v>
      </c>
      <c r="N1063" s="7">
        <v>0.17366500000000001</v>
      </c>
      <c r="O1063">
        <v>1</v>
      </c>
      <c r="P1063" t="s">
        <v>14</v>
      </c>
      <c r="Q1063">
        <v>3</v>
      </c>
      <c r="R1063" s="8">
        <f>(Tabela2[[#This Row],[FAF_atividade_fisica_frequente_em_horas]]+ 0.1)</f>
        <v>1.1000000000000001</v>
      </c>
      <c r="S1063" s="1">
        <f>(Tabela2[[#This Row],[TUE_tempo_uso_aparelhos_em_horas]]/Tabela2[[#This Row],[FAF_Var]])</f>
        <v>0.15787727272727273</v>
      </c>
      <c r="T1063">
        <f>(Tabela2[[#This Row],[CAEC_lanche_entre_refeicoes]]*Tabela2[[#This Row],[FAVC_consumo_frequente_de_alimentos_mt_caloricos]])</f>
        <v>1</v>
      </c>
      <c r="U1063" s="1">
        <f>IF(OR(Tabela2[[#This Row],[MTRANS]]="Walking",Tabela2[[#This Row],[MTRANS]]="Bike"),Tabela2[[#This Row],[FAF_atividade_fisica_frequente_em_horas]]+1,M1063)</f>
        <v>1</v>
      </c>
      <c r="V1063">
        <f>(Tabela2[[#This Row],[SMOKE]]+Tabela2[[#This Row],[CALC_bebe_alcool_frequentemente]])</f>
        <v>1</v>
      </c>
      <c r="W1063" s="8">
        <f>(Tabela2[[#This Row],[Weight]]/(Tabela2[[#This Row],[Height]] ^2))</f>
        <v>27.699763337046242</v>
      </c>
    </row>
    <row r="1064" spans="1:23" x14ac:dyDescent="0.25">
      <c r="A1064" t="s">
        <v>13</v>
      </c>
      <c r="B1064" s="7">
        <v>43.238402000000001</v>
      </c>
      <c r="C1064" s="4">
        <v>1.7338750000000001</v>
      </c>
      <c r="D1064" s="7">
        <v>86.94538</v>
      </c>
      <c r="E1064">
        <v>1</v>
      </c>
      <c r="F1064">
        <v>1</v>
      </c>
      <c r="G1064" s="2">
        <v>2.3536030000000001</v>
      </c>
      <c r="H1064" s="2">
        <v>2.3370350000000002</v>
      </c>
      <c r="I1064">
        <v>1</v>
      </c>
      <c r="J1064">
        <v>0</v>
      </c>
      <c r="K1064" s="2">
        <v>1.830614</v>
      </c>
      <c r="L1064">
        <v>0</v>
      </c>
      <c r="M1064" s="7">
        <v>0.706287</v>
      </c>
      <c r="N1064" s="7">
        <v>0</v>
      </c>
      <c r="O1064">
        <v>0</v>
      </c>
      <c r="P1064" t="s">
        <v>17</v>
      </c>
      <c r="Q1064">
        <v>3</v>
      </c>
      <c r="R1064" s="8">
        <f>(Tabela2[[#This Row],[FAF_atividade_fisica_frequente_em_horas]]+ 0.1)</f>
        <v>0.80628699999999998</v>
      </c>
      <c r="S1064" s="1">
        <f>(Tabela2[[#This Row],[TUE_tempo_uso_aparelhos_em_horas]]/Tabela2[[#This Row],[FAF_Var]])</f>
        <v>0</v>
      </c>
      <c r="T1064">
        <f>(Tabela2[[#This Row],[CAEC_lanche_entre_refeicoes]]*Tabela2[[#This Row],[FAVC_consumo_frequente_de_alimentos_mt_caloricos]])</f>
        <v>1</v>
      </c>
      <c r="U1064" s="1">
        <f>IF(OR(Tabela2[[#This Row],[MTRANS]]="Walking",Tabela2[[#This Row],[MTRANS]]="Bike"),Tabela2[[#This Row],[FAF_atividade_fisica_frequente_em_horas]]+1,M1064)</f>
        <v>0.706287</v>
      </c>
      <c r="V1064">
        <f>(Tabela2[[#This Row],[SMOKE]]+Tabela2[[#This Row],[CALC_bebe_alcool_frequentemente]])</f>
        <v>0</v>
      </c>
      <c r="W1064" s="8">
        <f>(Tabela2[[#This Row],[Weight]]/(Tabela2[[#This Row],[Height]] ^2))</f>
        <v>28.920842507120192</v>
      </c>
    </row>
    <row r="1065" spans="1:23" x14ac:dyDescent="0.25">
      <c r="A1065" t="s">
        <v>13</v>
      </c>
      <c r="B1065" s="7">
        <v>45</v>
      </c>
      <c r="C1065" s="4">
        <v>1.675953</v>
      </c>
      <c r="D1065" s="7">
        <v>79.668319999999994</v>
      </c>
      <c r="E1065">
        <v>1</v>
      </c>
      <c r="F1065">
        <v>1</v>
      </c>
      <c r="G1065" s="2">
        <v>2.5980509999999999</v>
      </c>
      <c r="H1065" s="2">
        <v>3</v>
      </c>
      <c r="I1065">
        <v>1</v>
      </c>
      <c r="J1065">
        <v>0</v>
      </c>
      <c r="K1065" s="2">
        <v>1</v>
      </c>
      <c r="L1065">
        <v>0</v>
      </c>
      <c r="M1065" s="7">
        <v>0</v>
      </c>
      <c r="N1065" s="7">
        <v>0</v>
      </c>
      <c r="O1065">
        <v>0</v>
      </c>
      <c r="P1065" t="s">
        <v>17</v>
      </c>
      <c r="Q1065">
        <v>3</v>
      </c>
      <c r="R1065" s="8">
        <f>(Tabela2[[#This Row],[FAF_atividade_fisica_frequente_em_horas]]+ 0.1)</f>
        <v>0.1</v>
      </c>
      <c r="S1065" s="1">
        <f>(Tabela2[[#This Row],[TUE_tempo_uso_aparelhos_em_horas]]/Tabela2[[#This Row],[FAF_Var]])</f>
        <v>0</v>
      </c>
      <c r="T1065">
        <f>(Tabela2[[#This Row],[CAEC_lanche_entre_refeicoes]]*Tabela2[[#This Row],[FAVC_consumo_frequente_de_alimentos_mt_caloricos]])</f>
        <v>1</v>
      </c>
      <c r="U1065" s="1">
        <f>IF(OR(Tabela2[[#This Row],[MTRANS]]="Walking",Tabela2[[#This Row],[MTRANS]]="Bike"),Tabela2[[#This Row],[FAF_atividade_fisica_frequente_em_horas]]+1,M1065)</f>
        <v>0</v>
      </c>
      <c r="V1065">
        <f>(Tabela2[[#This Row],[SMOKE]]+Tabela2[[#This Row],[CALC_bebe_alcool_frequentemente]])</f>
        <v>0</v>
      </c>
      <c r="W1065" s="8">
        <f>(Tabela2[[#This Row],[Weight]]/(Tabela2[[#This Row],[Height]] ^2))</f>
        <v>28.36364157575327</v>
      </c>
    </row>
    <row r="1066" spans="1:23" x14ac:dyDescent="0.25">
      <c r="A1066" t="s">
        <v>15</v>
      </c>
      <c r="B1066" s="7">
        <v>22.087389000000002</v>
      </c>
      <c r="C1066" s="4">
        <v>1.786238</v>
      </c>
      <c r="D1066" s="7">
        <v>89.802492000000001</v>
      </c>
      <c r="E1066">
        <v>1</v>
      </c>
      <c r="F1066">
        <v>1</v>
      </c>
      <c r="G1066" s="2">
        <v>1.718156</v>
      </c>
      <c r="H1066" s="2">
        <v>1.631184</v>
      </c>
      <c r="I1066">
        <v>1</v>
      </c>
      <c r="J1066">
        <v>0</v>
      </c>
      <c r="K1066" s="2">
        <v>2</v>
      </c>
      <c r="L1066">
        <v>0</v>
      </c>
      <c r="M1066" s="7">
        <v>0</v>
      </c>
      <c r="N1066" s="7">
        <v>0.30612400000000001</v>
      </c>
      <c r="O1066">
        <v>1</v>
      </c>
      <c r="P1066" t="s">
        <v>14</v>
      </c>
      <c r="Q1066">
        <v>3</v>
      </c>
      <c r="R1066" s="8">
        <f>(Tabela2[[#This Row],[FAF_atividade_fisica_frequente_em_horas]]+ 0.1)</f>
        <v>0.1</v>
      </c>
      <c r="S1066" s="1">
        <f>(Tabela2[[#This Row],[TUE_tempo_uso_aparelhos_em_horas]]/Tabela2[[#This Row],[FAF_Var]])</f>
        <v>3.0612399999999997</v>
      </c>
      <c r="T1066">
        <f>(Tabela2[[#This Row],[CAEC_lanche_entre_refeicoes]]*Tabela2[[#This Row],[FAVC_consumo_frequente_de_alimentos_mt_caloricos]])</f>
        <v>1</v>
      </c>
      <c r="U1066" s="1">
        <f>IF(OR(Tabela2[[#This Row],[MTRANS]]="Walking",Tabela2[[#This Row],[MTRANS]]="Bike"),Tabela2[[#This Row],[FAF_atividade_fisica_frequente_em_horas]]+1,M1066)</f>
        <v>0</v>
      </c>
      <c r="V1066">
        <f>(Tabela2[[#This Row],[SMOKE]]+Tabela2[[#This Row],[CALC_bebe_alcool_frequentemente]])</f>
        <v>1</v>
      </c>
      <c r="W1066" s="8">
        <f>(Tabela2[[#This Row],[Weight]]/(Tabela2[[#This Row],[Height]] ^2))</f>
        <v>28.145550016494674</v>
      </c>
    </row>
    <row r="1067" spans="1:23" x14ac:dyDescent="0.25">
      <c r="A1067" t="s">
        <v>15</v>
      </c>
      <c r="B1067" s="7">
        <v>21.378039000000001</v>
      </c>
      <c r="C1067" s="4">
        <v>1.718534</v>
      </c>
      <c r="D1067" s="7">
        <v>80</v>
      </c>
      <c r="E1067">
        <v>1</v>
      </c>
      <c r="F1067">
        <v>1</v>
      </c>
      <c r="G1067" s="2">
        <v>2</v>
      </c>
      <c r="H1067" s="2">
        <v>3</v>
      </c>
      <c r="I1067">
        <v>1</v>
      </c>
      <c r="J1067">
        <v>0</v>
      </c>
      <c r="K1067" s="2">
        <v>2</v>
      </c>
      <c r="L1067">
        <v>0</v>
      </c>
      <c r="M1067" s="7">
        <v>2.7216459999999998</v>
      </c>
      <c r="N1067" s="7">
        <v>1.2699819999999999</v>
      </c>
      <c r="O1067">
        <v>0</v>
      </c>
      <c r="P1067" t="s">
        <v>14</v>
      </c>
      <c r="Q1067">
        <v>3</v>
      </c>
      <c r="R1067" s="8">
        <f>(Tabela2[[#This Row],[FAF_atividade_fisica_frequente_em_horas]]+ 0.1)</f>
        <v>2.8216459999999999</v>
      </c>
      <c r="S1067" s="1">
        <f>(Tabela2[[#This Row],[TUE_tempo_uso_aparelhos_em_horas]]/Tabela2[[#This Row],[FAF_Var]])</f>
        <v>0.45008551746037595</v>
      </c>
      <c r="T1067">
        <f>(Tabela2[[#This Row],[CAEC_lanche_entre_refeicoes]]*Tabela2[[#This Row],[FAVC_consumo_frequente_de_alimentos_mt_caloricos]])</f>
        <v>1</v>
      </c>
      <c r="U1067" s="1">
        <f>IF(OR(Tabela2[[#This Row],[MTRANS]]="Walking",Tabela2[[#This Row],[MTRANS]]="Bike"),Tabela2[[#This Row],[FAF_atividade_fisica_frequente_em_horas]]+1,M1067)</f>
        <v>2.7216459999999998</v>
      </c>
      <c r="V1067">
        <f>(Tabela2[[#This Row],[SMOKE]]+Tabela2[[#This Row],[CALC_bebe_alcool_frequentemente]])</f>
        <v>0</v>
      </c>
      <c r="W1067" s="8">
        <f>(Tabela2[[#This Row],[Weight]]/(Tabela2[[#This Row],[Height]] ^2))</f>
        <v>27.087799703051385</v>
      </c>
    </row>
    <row r="1068" spans="1:23" x14ac:dyDescent="0.25">
      <c r="A1068" t="s">
        <v>15</v>
      </c>
      <c r="B1068" s="7">
        <v>31.398281000000001</v>
      </c>
      <c r="C1068" s="4">
        <v>1.919543</v>
      </c>
      <c r="D1068" s="7">
        <v>101.544589</v>
      </c>
      <c r="E1068">
        <v>1</v>
      </c>
      <c r="F1068">
        <v>1</v>
      </c>
      <c r="G1068" s="2">
        <v>2</v>
      </c>
      <c r="H1068" s="2">
        <v>1.0053909999999999</v>
      </c>
      <c r="I1068">
        <v>1</v>
      </c>
      <c r="J1068">
        <v>0</v>
      </c>
      <c r="K1068" s="2">
        <v>2.0019360000000002</v>
      </c>
      <c r="L1068">
        <v>0</v>
      </c>
      <c r="M1068" s="7">
        <v>1</v>
      </c>
      <c r="N1068" s="7">
        <v>0</v>
      </c>
      <c r="O1068">
        <v>1</v>
      </c>
      <c r="P1068" t="s">
        <v>14</v>
      </c>
      <c r="Q1068">
        <v>3</v>
      </c>
      <c r="R1068" s="8">
        <f>(Tabela2[[#This Row],[FAF_atividade_fisica_frequente_em_horas]]+ 0.1)</f>
        <v>1.1000000000000001</v>
      </c>
      <c r="S1068" s="1">
        <f>(Tabela2[[#This Row],[TUE_tempo_uso_aparelhos_em_horas]]/Tabela2[[#This Row],[FAF_Var]])</f>
        <v>0</v>
      </c>
      <c r="T1068">
        <f>(Tabela2[[#This Row],[CAEC_lanche_entre_refeicoes]]*Tabela2[[#This Row],[FAVC_consumo_frequente_de_alimentos_mt_caloricos]])</f>
        <v>1</v>
      </c>
      <c r="U1068" s="1">
        <f>IF(OR(Tabela2[[#This Row],[MTRANS]]="Walking",Tabela2[[#This Row],[MTRANS]]="Bike"),Tabela2[[#This Row],[FAF_atividade_fisica_frequente_em_horas]]+1,M1068)</f>
        <v>1</v>
      </c>
      <c r="V1068">
        <f>(Tabela2[[#This Row],[SMOKE]]+Tabela2[[#This Row],[CALC_bebe_alcool_frequentemente]])</f>
        <v>1</v>
      </c>
      <c r="W1068" s="8">
        <f>(Tabela2[[#This Row],[Weight]]/(Tabela2[[#This Row],[Height]] ^2))</f>
        <v>27.558850292850366</v>
      </c>
    </row>
    <row r="1069" spans="1:23" x14ac:dyDescent="0.25">
      <c r="A1069" t="s">
        <v>15</v>
      </c>
      <c r="B1069" s="7">
        <v>31.484494000000002</v>
      </c>
      <c r="C1069" s="4">
        <v>1.707613</v>
      </c>
      <c r="D1069" s="7">
        <v>82.586893000000003</v>
      </c>
      <c r="E1069">
        <v>1</v>
      </c>
      <c r="F1069">
        <v>1</v>
      </c>
      <c r="G1069" s="2">
        <v>2.795086</v>
      </c>
      <c r="H1069" s="2">
        <v>3.250467</v>
      </c>
      <c r="I1069">
        <v>1</v>
      </c>
      <c r="J1069">
        <v>0</v>
      </c>
      <c r="K1069" s="2">
        <v>1.3678760000000001</v>
      </c>
      <c r="L1069">
        <v>0</v>
      </c>
      <c r="M1069" s="7">
        <v>2.2957999999999999E-2</v>
      </c>
      <c r="N1069" s="7">
        <v>0</v>
      </c>
      <c r="O1069">
        <v>0</v>
      </c>
      <c r="P1069" t="s">
        <v>17</v>
      </c>
      <c r="Q1069">
        <v>3</v>
      </c>
      <c r="R1069" s="8">
        <f>(Tabela2[[#This Row],[FAF_atividade_fisica_frequente_em_horas]]+ 0.1)</f>
        <v>0.12295800000000001</v>
      </c>
      <c r="S1069" s="1">
        <f>(Tabela2[[#This Row],[TUE_tempo_uso_aparelhos_em_horas]]/Tabela2[[#This Row],[FAF_Var]])</f>
        <v>0</v>
      </c>
      <c r="T1069">
        <f>(Tabela2[[#This Row],[CAEC_lanche_entre_refeicoes]]*Tabela2[[#This Row],[FAVC_consumo_frequente_de_alimentos_mt_caloricos]])</f>
        <v>1</v>
      </c>
      <c r="U1069" s="1">
        <f>IF(OR(Tabela2[[#This Row],[MTRANS]]="Walking",Tabela2[[#This Row],[MTRANS]]="Bike"),Tabela2[[#This Row],[FAF_atividade_fisica_frequente_em_horas]]+1,M1069)</f>
        <v>2.2957999999999999E-2</v>
      </c>
      <c r="V1069">
        <f>(Tabela2[[#This Row],[SMOKE]]+Tabela2[[#This Row],[CALC_bebe_alcool_frequentemente]])</f>
        <v>0</v>
      </c>
      <c r="W1069" s="8">
        <f>(Tabela2[[#This Row],[Weight]]/(Tabela2[[#This Row],[Height]] ^2))</f>
        <v>28.322541577157889</v>
      </c>
    </row>
    <row r="1070" spans="1:23" x14ac:dyDescent="0.25">
      <c r="A1070" t="s">
        <v>15</v>
      </c>
      <c r="B1070" s="7">
        <v>21.709159</v>
      </c>
      <c r="C1070" s="4">
        <v>1.658393</v>
      </c>
      <c r="D1070" s="7">
        <v>80</v>
      </c>
      <c r="E1070">
        <v>1</v>
      </c>
      <c r="F1070">
        <v>1</v>
      </c>
      <c r="G1070" s="2">
        <v>2</v>
      </c>
      <c r="H1070" s="2">
        <v>3</v>
      </c>
      <c r="I1070">
        <v>1</v>
      </c>
      <c r="J1070">
        <v>0</v>
      </c>
      <c r="K1070" s="2">
        <v>2</v>
      </c>
      <c r="L1070">
        <v>0</v>
      </c>
      <c r="M1070" s="7">
        <v>2.9397329999999999</v>
      </c>
      <c r="N1070" s="7">
        <v>1.6922870000000001</v>
      </c>
      <c r="O1070">
        <v>0</v>
      </c>
      <c r="P1070" t="s">
        <v>14</v>
      </c>
      <c r="Q1070">
        <v>3</v>
      </c>
      <c r="R1070" s="8">
        <f>(Tabela2[[#This Row],[FAF_atividade_fisica_frequente_em_horas]]+ 0.1)</f>
        <v>3.039733</v>
      </c>
      <c r="S1070" s="1">
        <f>(Tabela2[[#This Row],[TUE_tempo_uso_aparelhos_em_horas]]/Tabela2[[#This Row],[FAF_Var]])</f>
        <v>0.55672225159249189</v>
      </c>
      <c r="T1070">
        <f>(Tabela2[[#This Row],[CAEC_lanche_entre_refeicoes]]*Tabela2[[#This Row],[FAVC_consumo_frequente_de_alimentos_mt_caloricos]])</f>
        <v>1</v>
      </c>
      <c r="U1070" s="1">
        <f>IF(OR(Tabela2[[#This Row],[MTRANS]]="Walking",Tabela2[[#This Row],[MTRANS]]="Bike"),Tabela2[[#This Row],[FAF_atividade_fisica_frequente_em_horas]]+1,M1070)</f>
        <v>2.9397329999999999</v>
      </c>
      <c r="V1070">
        <f>(Tabela2[[#This Row],[SMOKE]]+Tabela2[[#This Row],[CALC_bebe_alcool_frequentemente]])</f>
        <v>0</v>
      </c>
      <c r="W1070" s="8">
        <f>(Tabela2[[#This Row],[Weight]]/(Tabela2[[#This Row],[Height]] ^2))</f>
        <v>29.088081280405014</v>
      </c>
    </row>
    <row r="1071" spans="1:23" x14ac:dyDescent="0.25">
      <c r="A1071" t="s">
        <v>13</v>
      </c>
      <c r="B1071" s="7">
        <v>30.711380999999999</v>
      </c>
      <c r="C1071" s="4">
        <v>1.5368189999999999</v>
      </c>
      <c r="D1071" s="7">
        <v>65.912688000000003</v>
      </c>
      <c r="E1071">
        <v>1</v>
      </c>
      <c r="F1071">
        <v>0</v>
      </c>
      <c r="G1071" s="2">
        <v>2.0302560000000001</v>
      </c>
      <c r="H1071" s="2">
        <v>2.9487209999999999</v>
      </c>
      <c r="I1071">
        <v>1</v>
      </c>
      <c r="J1071">
        <v>0</v>
      </c>
      <c r="K1071" s="2">
        <v>1.9843230000000001</v>
      </c>
      <c r="L1071">
        <v>0</v>
      </c>
      <c r="M1071" s="7">
        <v>0.98641400000000001</v>
      </c>
      <c r="N1071" s="7">
        <v>0.333673</v>
      </c>
      <c r="O1071">
        <v>0</v>
      </c>
      <c r="P1071" t="s">
        <v>14</v>
      </c>
      <c r="Q1071">
        <v>3</v>
      </c>
      <c r="R1071" s="8">
        <f>(Tabela2[[#This Row],[FAF_atividade_fisica_frequente_em_horas]]+ 0.1)</f>
        <v>1.086414</v>
      </c>
      <c r="S1071" s="1">
        <f>(Tabela2[[#This Row],[TUE_tempo_uso_aparelhos_em_horas]]/Tabela2[[#This Row],[FAF_Var]])</f>
        <v>0.30713245595141447</v>
      </c>
      <c r="T1071">
        <f>(Tabela2[[#This Row],[CAEC_lanche_entre_refeicoes]]*Tabela2[[#This Row],[FAVC_consumo_frequente_de_alimentos_mt_caloricos]])</f>
        <v>0</v>
      </c>
      <c r="U1071" s="1">
        <f>IF(OR(Tabela2[[#This Row],[MTRANS]]="Walking",Tabela2[[#This Row],[MTRANS]]="Bike"),Tabela2[[#This Row],[FAF_atividade_fisica_frequente_em_horas]]+1,M1071)</f>
        <v>0.98641400000000001</v>
      </c>
      <c r="V1071">
        <f>(Tabela2[[#This Row],[SMOKE]]+Tabela2[[#This Row],[CALC_bebe_alcool_frequentemente]])</f>
        <v>0</v>
      </c>
      <c r="W1071" s="8">
        <f>(Tabela2[[#This Row],[Weight]]/(Tabela2[[#This Row],[Height]] ^2))</f>
        <v>27.907670116702235</v>
      </c>
    </row>
    <row r="1072" spans="1:23" x14ac:dyDescent="0.25">
      <c r="A1072" t="s">
        <v>15</v>
      </c>
      <c r="B1072" s="7">
        <v>34.821441999999998</v>
      </c>
      <c r="C1072" s="4">
        <v>1.8054589999999999</v>
      </c>
      <c r="D1072" s="7">
        <v>90.138679999999994</v>
      </c>
      <c r="E1072">
        <v>1</v>
      </c>
      <c r="F1072">
        <v>1</v>
      </c>
      <c r="G1072" s="2">
        <v>2</v>
      </c>
      <c r="H1072" s="2">
        <v>1.80993</v>
      </c>
      <c r="I1072">
        <v>1</v>
      </c>
      <c r="J1072">
        <v>0</v>
      </c>
      <c r="K1072" s="2">
        <v>2.1748349999999999</v>
      </c>
      <c r="L1072">
        <v>0</v>
      </c>
      <c r="M1072" s="7">
        <v>0.34091500000000002</v>
      </c>
      <c r="N1072" s="7">
        <v>2.0153000000000001E-2</v>
      </c>
      <c r="O1072">
        <v>1</v>
      </c>
      <c r="P1072" t="s">
        <v>17</v>
      </c>
      <c r="Q1072">
        <v>3</v>
      </c>
      <c r="R1072" s="8">
        <f>(Tabela2[[#This Row],[FAF_atividade_fisica_frequente_em_horas]]+ 0.1)</f>
        <v>0.44091500000000006</v>
      </c>
      <c r="S1072" s="1">
        <f>(Tabela2[[#This Row],[TUE_tempo_uso_aparelhos_em_horas]]/Tabela2[[#This Row],[FAF_Var]])</f>
        <v>4.5707222480523453E-2</v>
      </c>
      <c r="T1072">
        <f>(Tabela2[[#This Row],[CAEC_lanche_entre_refeicoes]]*Tabela2[[#This Row],[FAVC_consumo_frequente_de_alimentos_mt_caloricos]])</f>
        <v>1</v>
      </c>
      <c r="U1072" s="1">
        <f>IF(OR(Tabela2[[#This Row],[MTRANS]]="Walking",Tabela2[[#This Row],[MTRANS]]="Bike"),Tabela2[[#This Row],[FAF_atividade_fisica_frequente_em_horas]]+1,M1072)</f>
        <v>0.34091500000000002</v>
      </c>
      <c r="V1072">
        <f>(Tabela2[[#This Row],[SMOKE]]+Tabela2[[#This Row],[CALC_bebe_alcool_frequentemente]])</f>
        <v>1</v>
      </c>
      <c r="W1072" s="8">
        <f>(Tabela2[[#This Row],[Weight]]/(Tabela2[[#This Row],[Height]] ^2))</f>
        <v>27.652597538854735</v>
      </c>
    </row>
    <row r="1073" spans="1:23" x14ac:dyDescent="0.25">
      <c r="A1073" t="s">
        <v>13</v>
      </c>
      <c r="B1073" s="7">
        <v>20.843363</v>
      </c>
      <c r="C1073" s="4">
        <v>1.5210079999999999</v>
      </c>
      <c r="D1073" s="7">
        <v>67.083121000000006</v>
      </c>
      <c r="E1073">
        <v>1</v>
      </c>
      <c r="F1073">
        <v>0</v>
      </c>
      <c r="G1073" s="2">
        <v>2.4934479999999999</v>
      </c>
      <c r="H1073" s="2">
        <v>3</v>
      </c>
      <c r="I1073">
        <v>1</v>
      </c>
      <c r="J1073">
        <v>0</v>
      </c>
      <c r="K1073" s="2">
        <v>1.8499969999999999</v>
      </c>
      <c r="L1073">
        <v>0</v>
      </c>
      <c r="M1073" s="7">
        <v>0.95445899999999995</v>
      </c>
      <c r="N1073" s="7">
        <v>1.4445319999999999</v>
      </c>
      <c r="O1073">
        <v>0</v>
      </c>
      <c r="P1073" t="s">
        <v>14</v>
      </c>
      <c r="Q1073">
        <v>3</v>
      </c>
      <c r="R1073" s="8">
        <f>(Tabela2[[#This Row],[FAF_atividade_fisica_frequente_em_horas]]+ 0.1)</f>
        <v>1.054459</v>
      </c>
      <c r="S1073" s="1">
        <f>(Tabela2[[#This Row],[TUE_tempo_uso_aparelhos_em_horas]]/Tabela2[[#This Row],[FAF_Var]])</f>
        <v>1.3699271379920888</v>
      </c>
      <c r="T1073">
        <f>(Tabela2[[#This Row],[CAEC_lanche_entre_refeicoes]]*Tabela2[[#This Row],[FAVC_consumo_frequente_de_alimentos_mt_caloricos]])</f>
        <v>0</v>
      </c>
      <c r="U1073" s="1">
        <f>IF(OR(Tabela2[[#This Row],[MTRANS]]="Walking",Tabela2[[#This Row],[MTRANS]]="Bike"),Tabela2[[#This Row],[FAF_atividade_fisica_frequente_em_horas]]+1,M1073)</f>
        <v>0.95445899999999995</v>
      </c>
      <c r="V1073">
        <f>(Tabela2[[#This Row],[SMOKE]]+Tabela2[[#This Row],[CALC_bebe_alcool_frequentemente]])</f>
        <v>0</v>
      </c>
      <c r="W1073" s="8">
        <f>(Tabela2[[#This Row],[Weight]]/(Tabela2[[#This Row],[Height]] ^2))</f>
        <v>28.996812683665048</v>
      </c>
    </row>
    <row r="1074" spans="1:23" x14ac:dyDescent="0.25">
      <c r="A1074" t="s">
        <v>15</v>
      </c>
      <c r="B1074" s="7">
        <v>19.443639000000001</v>
      </c>
      <c r="C1074" s="4">
        <v>1.7447330000000001</v>
      </c>
      <c r="D1074" s="7">
        <v>87.279889999999995</v>
      </c>
      <c r="E1074">
        <v>1</v>
      </c>
      <c r="F1074">
        <v>1</v>
      </c>
      <c r="G1074" s="2">
        <v>2.442536</v>
      </c>
      <c r="H1074" s="2">
        <v>3</v>
      </c>
      <c r="I1074">
        <v>1</v>
      </c>
      <c r="J1074">
        <v>0</v>
      </c>
      <c r="K1074" s="2">
        <v>2.8256290000000002</v>
      </c>
      <c r="L1074">
        <v>0</v>
      </c>
      <c r="M1074" s="7">
        <v>3</v>
      </c>
      <c r="N1074" s="7">
        <v>0</v>
      </c>
      <c r="O1074">
        <v>1</v>
      </c>
      <c r="P1074" t="s">
        <v>14</v>
      </c>
      <c r="Q1074">
        <v>3</v>
      </c>
      <c r="R1074" s="8">
        <f>(Tabela2[[#This Row],[FAF_atividade_fisica_frequente_em_horas]]+ 0.1)</f>
        <v>3.1</v>
      </c>
      <c r="S1074" s="1">
        <f>(Tabela2[[#This Row],[TUE_tempo_uso_aparelhos_em_horas]]/Tabela2[[#This Row],[FAF_Var]])</f>
        <v>0</v>
      </c>
      <c r="T1074">
        <f>(Tabela2[[#This Row],[CAEC_lanche_entre_refeicoes]]*Tabela2[[#This Row],[FAVC_consumo_frequente_de_alimentos_mt_caloricos]])</f>
        <v>1</v>
      </c>
      <c r="U1074" s="1">
        <f>IF(OR(Tabela2[[#This Row],[MTRANS]]="Walking",Tabela2[[#This Row],[MTRANS]]="Bike"),Tabela2[[#This Row],[FAF_atividade_fisica_frequente_em_horas]]+1,M1074)</f>
        <v>3</v>
      </c>
      <c r="V1074">
        <f>(Tabela2[[#This Row],[SMOKE]]+Tabela2[[#This Row],[CALC_bebe_alcool_frequentemente]])</f>
        <v>1</v>
      </c>
      <c r="W1074" s="8">
        <f>(Tabela2[[#This Row],[Weight]]/(Tabela2[[#This Row],[Height]] ^2))</f>
        <v>28.671884558648383</v>
      </c>
    </row>
    <row r="1075" spans="1:23" x14ac:dyDescent="0.25">
      <c r="A1075" t="s">
        <v>13</v>
      </c>
      <c r="B1075" s="7">
        <v>20.492076999999998</v>
      </c>
      <c r="C1075" s="4">
        <v>1.529223</v>
      </c>
      <c r="D1075" s="7">
        <v>65.140407999999994</v>
      </c>
      <c r="E1075">
        <v>1</v>
      </c>
      <c r="F1075">
        <v>0</v>
      </c>
      <c r="G1075" s="2">
        <v>2.0039509999999998</v>
      </c>
      <c r="H1075" s="2">
        <v>3</v>
      </c>
      <c r="I1075">
        <v>1</v>
      </c>
      <c r="J1075">
        <v>0</v>
      </c>
      <c r="K1075" s="2">
        <v>1.207978</v>
      </c>
      <c r="L1075">
        <v>0</v>
      </c>
      <c r="M1075" s="7">
        <v>1.9167510000000001</v>
      </c>
      <c r="N1075" s="7">
        <v>1.2289950000000001</v>
      </c>
      <c r="O1075">
        <v>0</v>
      </c>
      <c r="P1075" t="s">
        <v>14</v>
      </c>
      <c r="Q1075">
        <v>3</v>
      </c>
      <c r="R1075" s="8">
        <f>(Tabela2[[#This Row],[FAF_atividade_fisica_frequente_em_horas]]+ 0.1)</f>
        <v>2.0167510000000002</v>
      </c>
      <c r="S1075" s="1">
        <f>(Tabela2[[#This Row],[TUE_tempo_uso_aparelhos_em_horas]]/Tabela2[[#This Row],[FAF_Var]])</f>
        <v>0.60939352453525497</v>
      </c>
      <c r="T1075">
        <f>(Tabela2[[#This Row],[CAEC_lanche_entre_refeicoes]]*Tabela2[[#This Row],[FAVC_consumo_frequente_de_alimentos_mt_caloricos]])</f>
        <v>0</v>
      </c>
      <c r="U1075" s="1">
        <f>IF(OR(Tabela2[[#This Row],[MTRANS]]="Walking",Tabela2[[#This Row],[MTRANS]]="Bike"),Tabela2[[#This Row],[FAF_atividade_fisica_frequente_em_horas]]+1,M1075)</f>
        <v>1.9167510000000001</v>
      </c>
      <c r="V1075">
        <f>(Tabela2[[#This Row],[SMOKE]]+Tabela2[[#This Row],[CALC_bebe_alcool_frequentemente]])</f>
        <v>0</v>
      </c>
      <c r="W1075" s="8">
        <f>(Tabela2[[#This Row],[Weight]]/(Tabela2[[#This Row],[Height]] ^2))</f>
        <v>27.855363600543857</v>
      </c>
    </row>
    <row r="1076" spans="1:23" x14ac:dyDescent="0.25">
      <c r="A1076" t="s">
        <v>15</v>
      </c>
      <c r="B1076" s="7">
        <v>22.944348999999999</v>
      </c>
      <c r="C1076" s="4">
        <v>1.799742</v>
      </c>
      <c r="D1076" s="7">
        <v>89.981679999999997</v>
      </c>
      <c r="E1076">
        <v>1</v>
      </c>
      <c r="F1076">
        <v>1</v>
      </c>
      <c r="G1076" s="2">
        <v>1.34138</v>
      </c>
      <c r="H1076" s="2">
        <v>1.9467099999999999</v>
      </c>
      <c r="I1076">
        <v>1</v>
      </c>
      <c r="J1076">
        <v>0</v>
      </c>
      <c r="K1076" s="2">
        <v>2</v>
      </c>
      <c r="L1076">
        <v>0</v>
      </c>
      <c r="M1076" s="7">
        <v>0</v>
      </c>
      <c r="N1076" s="7">
        <v>0.97550400000000004</v>
      </c>
      <c r="O1076">
        <v>1</v>
      </c>
      <c r="P1076" t="s">
        <v>14</v>
      </c>
      <c r="Q1076">
        <v>3</v>
      </c>
      <c r="R1076" s="8">
        <f>(Tabela2[[#This Row],[FAF_atividade_fisica_frequente_em_horas]]+ 0.1)</f>
        <v>0.1</v>
      </c>
      <c r="S1076" s="1">
        <f>(Tabela2[[#This Row],[TUE_tempo_uso_aparelhos_em_horas]]/Tabela2[[#This Row],[FAF_Var]])</f>
        <v>9.7550399999999993</v>
      </c>
      <c r="T1076">
        <f>(Tabela2[[#This Row],[CAEC_lanche_entre_refeicoes]]*Tabela2[[#This Row],[FAVC_consumo_frequente_de_alimentos_mt_caloricos]])</f>
        <v>1</v>
      </c>
      <c r="U1076" s="1">
        <f>IF(OR(Tabela2[[#This Row],[MTRANS]]="Walking",Tabela2[[#This Row],[MTRANS]]="Bike"),Tabela2[[#This Row],[FAF_atividade_fisica_frequente_em_horas]]+1,M1076)</f>
        <v>0</v>
      </c>
      <c r="V1076">
        <f>(Tabela2[[#This Row],[SMOKE]]+Tabela2[[#This Row],[CALC_bebe_alcool_frequentemente]])</f>
        <v>1</v>
      </c>
      <c r="W1076" s="8">
        <f>(Tabela2[[#This Row],[Weight]]/(Tabela2[[#This Row],[Height]] ^2))</f>
        <v>27.780086510863462</v>
      </c>
    </row>
    <row r="1077" spans="1:23" x14ac:dyDescent="0.25">
      <c r="A1077" t="s">
        <v>13</v>
      </c>
      <c r="B1077" s="7">
        <v>23</v>
      </c>
      <c r="C1077" s="4">
        <v>1.681314</v>
      </c>
      <c r="D1077" s="7">
        <v>80.037201999999994</v>
      </c>
      <c r="E1077">
        <v>1</v>
      </c>
      <c r="F1077">
        <v>1</v>
      </c>
      <c r="G1077" s="2">
        <v>2</v>
      </c>
      <c r="H1077" s="2">
        <v>2.9796</v>
      </c>
      <c r="I1077">
        <v>1</v>
      </c>
      <c r="J1077">
        <v>0</v>
      </c>
      <c r="K1077" s="2">
        <v>1.9644349999999999</v>
      </c>
      <c r="L1077">
        <v>0</v>
      </c>
      <c r="M1077" s="7">
        <v>0.18995699999999999</v>
      </c>
      <c r="N1077" s="7">
        <v>1.7321599999999999</v>
      </c>
      <c r="O1077">
        <v>0</v>
      </c>
      <c r="P1077" t="s">
        <v>14</v>
      </c>
      <c r="Q1077">
        <v>3</v>
      </c>
      <c r="R1077" s="8">
        <f>(Tabela2[[#This Row],[FAF_atividade_fisica_frequente_em_horas]]+ 0.1)</f>
        <v>0.28995700000000002</v>
      </c>
      <c r="S1077" s="1">
        <f>(Tabela2[[#This Row],[TUE_tempo_uso_aparelhos_em_horas]]/Tabela2[[#This Row],[FAF_Var]])</f>
        <v>5.9738512951920448</v>
      </c>
      <c r="T1077">
        <f>(Tabela2[[#This Row],[CAEC_lanche_entre_refeicoes]]*Tabela2[[#This Row],[FAVC_consumo_frequente_de_alimentos_mt_caloricos]])</f>
        <v>1</v>
      </c>
      <c r="U1077" s="1">
        <f>IF(OR(Tabela2[[#This Row],[MTRANS]]="Walking",Tabela2[[#This Row],[MTRANS]]="Bike"),Tabela2[[#This Row],[FAF_atividade_fisica_frequente_em_horas]]+1,M1077)</f>
        <v>0.18995699999999999</v>
      </c>
      <c r="V1077">
        <f>(Tabela2[[#This Row],[SMOKE]]+Tabela2[[#This Row],[CALC_bebe_alcool_frequentemente]])</f>
        <v>0</v>
      </c>
      <c r="W1077" s="8">
        <f>(Tabela2[[#This Row],[Weight]]/(Tabela2[[#This Row],[Height]] ^2))</f>
        <v>28.313544388792945</v>
      </c>
    </row>
    <row r="1078" spans="1:23" x14ac:dyDescent="0.25">
      <c r="A1078" t="s">
        <v>15</v>
      </c>
      <c r="B1078" s="7">
        <v>24.068940000000001</v>
      </c>
      <c r="C1078" s="4">
        <v>1.706912</v>
      </c>
      <c r="D1078" s="7">
        <v>85.743727000000007</v>
      </c>
      <c r="E1078">
        <v>1</v>
      </c>
      <c r="F1078">
        <v>1</v>
      </c>
      <c r="G1078" s="2">
        <v>2</v>
      </c>
      <c r="H1078" s="2">
        <v>2.9941979999999999</v>
      </c>
      <c r="I1078">
        <v>1</v>
      </c>
      <c r="J1078">
        <v>0</v>
      </c>
      <c r="K1078" s="2">
        <v>2.7473019999999999</v>
      </c>
      <c r="L1078">
        <v>0</v>
      </c>
      <c r="M1078" s="7">
        <v>0</v>
      </c>
      <c r="N1078" s="7">
        <v>0.79975600000000002</v>
      </c>
      <c r="O1078">
        <v>1</v>
      </c>
      <c r="P1078" t="s">
        <v>14</v>
      </c>
      <c r="Q1078">
        <v>3</v>
      </c>
      <c r="R1078" s="8">
        <f>(Tabela2[[#This Row],[FAF_atividade_fisica_frequente_em_horas]]+ 0.1)</f>
        <v>0.1</v>
      </c>
      <c r="S1078" s="1">
        <f>(Tabela2[[#This Row],[TUE_tempo_uso_aparelhos_em_horas]]/Tabela2[[#This Row],[FAF_Var]])</f>
        <v>7.99756</v>
      </c>
      <c r="T1078">
        <f>(Tabela2[[#This Row],[CAEC_lanche_entre_refeicoes]]*Tabela2[[#This Row],[FAVC_consumo_frequente_de_alimentos_mt_caloricos]])</f>
        <v>1</v>
      </c>
      <c r="U1078" s="1">
        <f>IF(OR(Tabela2[[#This Row],[MTRANS]]="Walking",Tabela2[[#This Row],[MTRANS]]="Bike"),Tabela2[[#This Row],[FAF_atividade_fisica_frequente_em_horas]]+1,M1078)</f>
        <v>0</v>
      </c>
      <c r="V1078">
        <f>(Tabela2[[#This Row],[SMOKE]]+Tabela2[[#This Row],[CALC_bebe_alcool_frequentemente]])</f>
        <v>1</v>
      </c>
      <c r="W1078" s="8">
        <f>(Tabela2[[#This Row],[Weight]]/(Tabela2[[#This Row],[Height]] ^2))</f>
        <v>29.429310948798786</v>
      </c>
    </row>
    <row r="1079" spans="1:23" x14ac:dyDescent="0.25">
      <c r="A1079" t="s">
        <v>13</v>
      </c>
      <c r="B1079" s="7">
        <v>23.728707</v>
      </c>
      <c r="C1079" s="4">
        <v>1.6635089999999999</v>
      </c>
      <c r="D1079" s="7">
        <v>80</v>
      </c>
      <c r="E1079">
        <v>1</v>
      </c>
      <c r="F1079">
        <v>1</v>
      </c>
      <c r="G1079" s="2">
        <v>2</v>
      </c>
      <c r="H1079" s="2">
        <v>3</v>
      </c>
      <c r="I1079">
        <v>1</v>
      </c>
      <c r="J1079">
        <v>0</v>
      </c>
      <c r="K1079" s="2">
        <v>2.1375500000000001</v>
      </c>
      <c r="L1079">
        <v>0</v>
      </c>
      <c r="M1079" s="7">
        <v>0</v>
      </c>
      <c r="N1079" s="7">
        <v>0.124977</v>
      </c>
      <c r="O1079">
        <v>0</v>
      </c>
      <c r="P1079" t="s">
        <v>14</v>
      </c>
      <c r="Q1079">
        <v>3</v>
      </c>
      <c r="R1079" s="8">
        <f>(Tabela2[[#This Row],[FAF_atividade_fisica_frequente_em_horas]]+ 0.1)</f>
        <v>0.1</v>
      </c>
      <c r="S1079" s="1">
        <f>(Tabela2[[#This Row],[TUE_tempo_uso_aparelhos_em_horas]]/Tabela2[[#This Row],[FAF_Var]])</f>
        <v>1.24977</v>
      </c>
      <c r="T1079">
        <f>(Tabela2[[#This Row],[CAEC_lanche_entre_refeicoes]]*Tabela2[[#This Row],[FAVC_consumo_frequente_de_alimentos_mt_caloricos]])</f>
        <v>1</v>
      </c>
      <c r="U1079" s="1">
        <f>IF(OR(Tabela2[[#This Row],[MTRANS]]="Walking",Tabela2[[#This Row],[MTRANS]]="Bike"),Tabela2[[#This Row],[FAF_atividade_fisica_frequente_em_horas]]+1,M1079)</f>
        <v>0</v>
      </c>
      <c r="V1079">
        <f>(Tabela2[[#This Row],[SMOKE]]+Tabela2[[#This Row],[CALC_bebe_alcool_frequentemente]])</f>
        <v>0</v>
      </c>
      <c r="W1079" s="8">
        <f>(Tabela2[[#This Row],[Weight]]/(Tabela2[[#This Row],[Height]] ^2))</f>
        <v>28.909439878889835</v>
      </c>
    </row>
    <row r="1080" spans="1:23" x14ac:dyDescent="0.25">
      <c r="A1080" t="s">
        <v>15</v>
      </c>
      <c r="B1080" s="7">
        <v>29.216018999999999</v>
      </c>
      <c r="C1080" s="4">
        <v>1.752265</v>
      </c>
      <c r="D1080" s="7">
        <v>88.096062000000003</v>
      </c>
      <c r="E1080">
        <v>1</v>
      </c>
      <c r="F1080">
        <v>1</v>
      </c>
      <c r="G1080" s="2">
        <v>2</v>
      </c>
      <c r="H1080" s="2">
        <v>1.8943840000000001</v>
      </c>
      <c r="I1080">
        <v>1</v>
      </c>
      <c r="J1080">
        <v>0</v>
      </c>
      <c r="K1080" s="2">
        <v>2</v>
      </c>
      <c r="L1080">
        <v>0</v>
      </c>
      <c r="M1080" s="7">
        <v>0</v>
      </c>
      <c r="N1080" s="7">
        <v>0</v>
      </c>
      <c r="O1080">
        <v>1</v>
      </c>
      <c r="P1080" t="s">
        <v>14</v>
      </c>
      <c r="Q1080">
        <v>3</v>
      </c>
      <c r="R1080" s="8">
        <f>(Tabela2[[#This Row],[FAF_atividade_fisica_frequente_em_horas]]+ 0.1)</f>
        <v>0.1</v>
      </c>
      <c r="S1080" s="1">
        <f>(Tabela2[[#This Row],[TUE_tempo_uso_aparelhos_em_horas]]/Tabela2[[#This Row],[FAF_Var]])</f>
        <v>0</v>
      </c>
      <c r="T1080">
        <f>(Tabela2[[#This Row],[CAEC_lanche_entre_refeicoes]]*Tabela2[[#This Row],[FAVC_consumo_frequente_de_alimentos_mt_caloricos]])</f>
        <v>1</v>
      </c>
      <c r="U1080" s="1">
        <f>IF(OR(Tabela2[[#This Row],[MTRANS]]="Walking",Tabela2[[#This Row],[MTRANS]]="Bike"),Tabela2[[#This Row],[FAF_atividade_fisica_frequente_em_horas]]+1,M1080)</f>
        <v>0</v>
      </c>
      <c r="V1080">
        <f>(Tabela2[[#This Row],[SMOKE]]+Tabela2[[#This Row],[CALC_bebe_alcool_frequentemente]])</f>
        <v>1</v>
      </c>
      <c r="W1080" s="8">
        <f>(Tabela2[[#This Row],[Weight]]/(Tabela2[[#This Row],[Height]] ^2))</f>
        <v>28.6917423729777</v>
      </c>
    </row>
    <row r="1081" spans="1:23" x14ac:dyDescent="0.25">
      <c r="A1081" t="s">
        <v>15</v>
      </c>
      <c r="B1081" s="7">
        <v>24.751511000000001</v>
      </c>
      <c r="C1081" s="4">
        <v>1.7353430000000001</v>
      </c>
      <c r="D1081" s="7">
        <v>83.337721000000002</v>
      </c>
      <c r="E1081">
        <v>1</v>
      </c>
      <c r="F1081">
        <v>1</v>
      </c>
      <c r="G1081" s="2">
        <v>2.607335</v>
      </c>
      <c r="H1081" s="2">
        <v>3</v>
      </c>
      <c r="I1081">
        <v>1</v>
      </c>
      <c r="J1081">
        <v>0</v>
      </c>
      <c r="K1081" s="2">
        <v>2</v>
      </c>
      <c r="L1081">
        <v>0</v>
      </c>
      <c r="M1081" s="7">
        <v>0.45100899999999999</v>
      </c>
      <c r="N1081" s="7">
        <v>0.63086600000000004</v>
      </c>
      <c r="O1081">
        <v>1</v>
      </c>
      <c r="P1081" t="s">
        <v>14</v>
      </c>
      <c r="Q1081">
        <v>3</v>
      </c>
      <c r="R1081" s="8">
        <f>(Tabela2[[#This Row],[FAF_atividade_fisica_frequente_em_horas]]+ 0.1)</f>
        <v>0.55100899999999997</v>
      </c>
      <c r="S1081" s="1">
        <f>(Tabela2[[#This Row],[TUE_tempo_uso_aparelhos_em_horas]]/Tabela2[[#This Row],[FAF_Var]])</f>
        <v>1.1449286672268513</v>
      </c>
      <c r="T1081">
        <f>(Tabela2[[#This Row],[CAEC_lanche_entre_refeicoes]]*Tabela2[[#This Row],[FAVC_consumo_frequente_de_alimentos_mt_caloricos]])</f>
        <v>1</v>
      </c>
      <c r="U1081" s="1">
        <f>IF(OR(Tabela2[[#This Row],[MTRANS]]="Walking",Tabela2[[#This Row],[MTRANS]]="Bike"),Tabela2[[#This Row],[FAF_atividade_fisica_frequente_em_horas]]+1,M1081)</f>
        <v>0.45100899999999999</v>
      </c>
      <c r="V1081">
        <f>(Tabela2[[#This Row],[SMOKE]]+Tabela2[[#This Row],[CALC_bebe_alcool_frequentemente]])</f>
        <v>1</v>
      </c>
      <c r="W1081" s="8">
        <f>(Tabela2[[#This Row],[Weight]]/(Tabela2[[#This Row],[Height]] ^2))</f>
        <v>27.673937976885249</v>
      </c>
    </row>
    <row r="1082" spans="1:23" x14ac:dyDescent="0.25">
      <c r="A1082" t="s">
        <v>13</v>
      </c>
      <c r="B1082" s="7">
        <v>28.977792000000001</v>
      </c>
      <c r="C1082" s="4">
        <v>1.7</v>
      </c>
      <c r="D1082" s="7">
        <v>78</v>
      </c>
      <c r="E1082">
        <v>1</v>
      </c>
      <c r="F1082">
        <v>1</v>
      </c>
      <c r="G1082" s="2">
        <v>3</v>
      </c>
      <c r="H1082" s="2">
        <v>3</v>
      </c>
      <c r="I1082">
        <v>1</v>
      </c>
      <c r="J1082">
        <v>0</v>
      </c>
      <c r="K1082" s="2">
        <v>1.507638</v>
      </c>
      <c r="L1082">
        <v>0</v>
      </c>
      <c r="M1082" s="7">
        <v>1.8243400000000001</v>
      </c>
      <c r="N1082" s="7">
        <v>1</v>
      </c>
      <c r="O1082">
        <v>2</v>
      </c>
      <c r="P1082" t="s">
        <v>17</v>
      </c>
      <c r="Q1082">
        <v>3</v>
      </c>
      <c r="R1082" s="8">
        <f>(Tabela2[[#This Row],[FAF_atividade_fisica_frequente_em_horas]]+ 0.1)</f>
        <v>1.9243400000000002</v>
      </c>
      <c r="S1082" s="1">
        <f>(Tabela2[[#This Row],[TUE_tempo_uso_aparelhos_em_horas]]/Tabela2[[#This Row],[FAF_Var]])</f>
        <v>0.5196586881736075</v>
      </c>
      <c r="T1082">
        <f>(Tabela2[[#This Row],[CAEC_lanche_entre_refeicoes]]*Tabela2[[#This Row],[FAVC_consumo_frequente_de_alimentos_mt_caloricos]])</f>
        <v>1</v>
      </c>
      <c r="U1082" s="1">
        <f>IF(OR(Tabela2[[#This Row],[MTRANS]]="Walking",Tabela2[[#This Row],[MTRANS]]="Bike"),Tabela2[[#This Row],[FAF_atividade_fisica_frequente_em_horas]]+1,M1082)</f>
        <v>1.8243400000000001</v>
      </c>
      <c r="V1082">
        <f>(Tabela2[[#This Row],[SMOKE]]+Tabela2[[#This Row],[CALC_bebe_alcool_frequentemente]])</f>
        <v>2</v>
      </c>
      <c r="W1082" s="8">
        <f>(Tabela2[[#This Row],[Weight]]/(Tabela2[[#This Row],[Height]] ^2))</f>
        <v>26.989619377162633</v>
      </c>
    </row>
    <row r="1083" spans="1:23" x14ac:dyDescent="0.25">
      <c r="A1083" t="s">
        <v>15</v>
      </c>
      <c r="B1083" s="7">
        <v>17.441593000000001</v>
      </c>
      <c r="C1083" s="4">
        <v>1.7</v>
      </c>
      <c r="D1083" s="7">
        <v>83.414072000000004</v>
      </c>
      <c r="E1083">
        <v>1</v>
      </c>
      <c r="F1083">
        <v>0</v>
      </c>
      <c r="G1083" s="2">
        <v>2.0613839999999999</v>
      </c>
      <c r="H1083" s="2">
        <v>2.579291</v>
      </c>
      <c r="I1083">
        <v>1</v>
      </c>
      <c r="J1083">
        <v>0</v>
      </c>
      <c r="K1083" s="2">
        <v>1.9092530000000001</v>
      </c>
      <c r="L1083">
        <v>0</v>
      </c>
      <c r="M1083" s="7">
        <v>1</v>
      </c>
      <c r="N1083" s="7">
        <v>0.96246799999999999</v>
      </c>
      <c r="O1083">
        <v>1</v>
      </c>
      <c r="P1083" t="s">
        <v>14</v>
      </c>
      <c r="Q1083">
        <v>3</v>
      </c>
      <c r="R1083" s="8">
        <f>(Tabela2[[#This Row],[FAF_atividade_fisica_frequente_em_horas]]+ 0.1)</f>
        <v>1.1000000000000001</v>
      </c>
      <c r="S1083" s="1">
        <f>(Tabela2[[#This Row],[TUE_tempo_uso_aparelhos_em_horas]]/Tabela2[[#This Row],[FAF_Var]])</f>
        <v>0.87497090909090902</v>
      </c>
      <c r="T1083">
        <f>(Tabela2[[#This Row],[CAEC_lanche_entre_refeicoes]]*Tabela2[[#This Row],[FAVC_consumo_frequente_de_alimentos_mt_caloricos]])</f>
        <v>0</v>
      </c>
      <c r="U1083" s="1">
        <f>IF(OR(Tabela2[[#This Row],[MTRANS]]="Walking",Tabela2[[#This Row],[MTRANS]]="Bike"),Tabela2[[#This Row],[FAF_atividade_fisica_frequente_em_horas]]+1,M1083)</f>
        <v>1</v>
      </c>
      <c r="V1083">
        <f>(Tabela2[[#This Row],[SMOKE]]+Tabela2[[#This Row],[CALC_bebe_alcool_frequentemente]])</f>
        <v>1</v>
      </c>
      <c r="W1083" s="8">
        <f>(Tabela2[[#This Row],[Weight]]/(Tabela2[[#This Row],[Height]] ^2))</f>
        <v>28.863000692041528</v>
      </c>
    </row>
    <row r="1084" spans="1:23" x14ac:dyDescent="0.25">
      <c r="A1084" t="s">
        <v>13</v>
      </c>
      <c r="B1084" s="7">
        <v>19.126145000000001</v>
      </c>
      <c r="C1084" s="4">
        <v>1.633794</v>
      </c>
      <c r="D1084" s="7">
        <v>77.858531999999997</v>
      </c>
      <c r="E1084">
        <v>1</v>
      </c>
      <c r="F1084">
        <v>0</v>
      </c>
      <c r="G1084" s="2">
        <v>2.6963810000000001</v>
      </c>
      <c r="H1084" s="2">
        <v>3</v>
      </c>
      <c r="I1084">
        <v>1</v>
      </c>
      <c r="J1084">
        <v>0</v>
      </c>
      <c r="K1084" s="2">
        <v>2.4729640000000002</v>
      </c>
      <c r="L1084">
        <v>0</v>
      </c>
      <c r="M1084" s="7">
        <v>1.8561190000000001</v>
      </c>
      <c r="N1084" s="7">
        <v>1</v>
      </c>
      <c r="O1084">
        <v>1</v>
      </c>
      <c r="P1084" t="s">
        <v>14</v>
      </c>
      <c r="Q1084">
        <v>3</v>
      </c>
      <c r="R1084" s="8">
        <f>(Tabela2[[#This Row],[FAF_atividade_fisica_frequente_em_horas]]+ 0.1)</f>
        <v>1.9561190000000002</v>
      </c>
      <c r="S1084" s="1">
        <f>(Tabela2[[#This Row],[TUE_tempo_uso_aparelhos_em_horas]]/Tabela2[[#This Row],[FAF_Var]])</f>
        <v>0.51121634215505285</v>
      </c>
      <c r="T1084">
        <f>(Tabela2[[#This Row],[CAEC_lanche_entre_refeicoes]]*Tabela2[[#This Row],[FAVC_consumo_frequente_de_alimentos_mt_caloricos]])</f>
        <v>0</v>
      </c>
      <c r="U1084" s="1">
        <f>IF(OR(Tabela2[[#This Row],[MTRANS]]="Walking",Tabela2[[#This Row],[MTRANS]]="Bike"),Tabela2[[#This Row],[FAF_atividade_fisica_frequente_em_horas]]+1,M1084)</f>
        <v>1.8561190000000001</v>
      </c>
      <c r="V1084">
        <f>(Tabela2[[#This Row],[SMOKE]]+Tabela2[[#This Row],[CALC_bebe_alcool_frequentemente]])</f>
        <v>1</v>
      </c>
      <c r="W1084" s="8">
        <f>(Tabela2[[#This Row],[Weight]]/(Tabela2[[#This Row],[Height]] ^2))</f>
        <v>29.168333529725388</v>
      </c>
    </row>
    <row r="1085" spans="1:23" x14ac:dyDescent="0.25">
      <c r="A1085" t="s">
        <v>15</v>
      </c>
      <c r="B1085" s="7">
        <v>24.122589000000001</v>
      </c>
      <c r="C1085" s="4">
        <v>1.856759</v>
      </c>
      <c r="D1085" s="7">
        <v>95.887056000000001</v>
      </c>
      <c r="E1085">
        <v>1</v>
      </c>
      <c r="F1085">
        <v>1</v>
      </c>
      <c r="G1085" s="2">
        <v>1.1160680000000001</v>
      </c>
      <c r="H1085" s="2">
        <v>2.4490669999999999</v>
      </c>
      <c r="I1085">
        <v>1</v>
      </c>
      <c r="J1085">
        <v>0</v>
      </c>
      <c r="K1085" s="2">
        <v>2</v>
      </c>
      <c r="L1085">
        <v>0</v>
      </c>
      <c r="M1085" s="7">
        <v>0.92635000000000001</v>
      </c>
      <c r="N1085" s="7">
        <v>1.9711700000000001</v>
      </c>
      <c r="O1085">
        <v>1</v>
      </c>
      <c r="P1085" t="s">
        <v>14</v>
      </c>
      <c r="Q1085">
        <v>3</v>
      </c>
      <c r="R1085" s="8">
        <f>(Tabela2[[#This Row],[FAF_atividade_fisica_frequente_em_horas]]+ 0.1)</f>
        <v>1.0263500000000001</v>
      </c>
      <c r="S1085" s="1">
        <f>(Tabela2[[#This Row],[TUE_tempo_uso_aparelhos_em_horas]]/Tabela2[[#This Row],[FAF_Var]])</f>
        <v>1.9205631607151556</v>
      </c>
      <c r="T1085">
        <f>(Tabela2[[#This Row],[CAEC_lanche_entre_refeicoes]]*Tabela2[[#This Row],[FAVC_consumo_frequente_de_alimentos_mt_caloricos]])</f>
        <v>1</v>
      </c>
      <c r="U1085" s="1">
        <f>IF(OR(Tabela2[[#This Row],[MTRANS]]="Walking",Tabela2[[#This Row],[MTRANS]]="Bike"),Tabela2[[#This Row],[FAF_atividade_fisica_frequente_em_horas]]+1,M1085)</f>
        <v>0.92635000000000001</v>
      </c>
      <c r="V1085">
        <f>(Tabela2[[#This Row],[SMOKE]]+Tabela2[[#This Row],[CALC_bebe_alcool_frequentemente]])</f>
        <v>1</v>
      </c>
      <c r="W1085" s="8">
        <f>(Tabela2[[#This Row],[Weight]]/(Tabela2[[#This Row],[Height]] ^2))</f>
        <v>27.813068756212733</v>
      </c>
    </row>
    <row r="1086" spans="1:23" x14ac:dyDescent="0.25">
      <c r="A1086" t="s">
        <v>15</v>
      </c>
      <c r="B1086" s="7">
        <v>23</v>
      </c>
      <c r="C1086" s="4">
        <v>1.77433</v>
      </c>
      <c r="D1086" s="7">
        <v>90</v>
      </c>
      <c r="E1086">
        <v>1</v>
      </c>
      <c r="F1086">
        <v>1</v>
      </c>
      <c r="G1086" s="2">
        <v>2.1164320000000001</v>
      </c>
      <c r="H1086" s="2">
        <v>3</v>
      </c>
      <c r="I1086">
        <v>1</v>
      </c>
      <c r="J1086">
        <v>0</v>
      </c>
      <c r="K1086" s="2">
        <v>1.002292</v>
      </c>
      <c r="L1086">
        <v>0</v>
      </c>
      <c r="M1086" s="7">
        <v>0</v>
      </c>
      <c r="N1086" s="7">
        <v>1.066708</v>
      </c>
      <c r="O1086">
        <v>1</v>
      </c>
      <c r="P1086" t="s">
        <v>14</v>
      </c>
      <c r="Q1086">
        <v>3</v>
      </c>
      <c r="R1086" s="8">
        <f>(Tabela2[[#This Row],[FAF_atividade_fisica_frequente_em_horas]]+ 0.1)</f>
        <v>0.1</v>
      </c>
      <c r="S1086" s="1">
        <f>(Tabela2[[#This Row],[TUE_tempo_uso_aparelhos_em_horas]]/Tabela2[[#This Row],[FAF_Var]])</f>
        <v>10.667079999999999</v>
      </c>
      <c r="T1086">
        <f>(Tabela2[[#This Row],[CAEC_lanche_entre_refeicoes]]*Tabela2[[#This Row],[FAVC_consumo_frequente_de_alimentos_mt_caloricos]])</f>
        <v>1</v>
      </c>
      <c r="U1086" s="1">
        <f>IF(OR(Tabela2[[#This Row],[MTRANS]]="Walking",Tabela2[[#This Row],[MTRANS]]="Bike"),Tabela2[[#This Row],[FAF_atividade_fisica_frequente_em_horas]]+1,M1086)</f>
        <v>0</v>
      </c>
      <c r="V1086">
        <f>(Tabela2[[#This Row],[SMOKE]]+Tabela2[[#This Row],[CALC_bebe_alcool_frequentemente]])</f>
        <v>1</v>
      </c>
      <c r="W1086" s="8">
        <f>(Tabela2[[#This Row],[Weight]]/(Tabela2[[#This Row],[Height]] ^2))</f>
        <v>28.58733811572376</v>
      </c>
    </row>
    <row r="1087" spans="1:23" x14ac:dyDescent="0.25">
      <c r="A1087" t="s">
        <v>13</v>
      </c>
      <c r="B1087" s="7">
        <v>28.824193999999999</v>
      </c>
      <c r="C1087" s="4">
        <v>1.7</v>
      </c>
      <c r="D1087" s="7">
        <v>78</v>
      </c>
      <c r="E1087">
        <v>1</v>
      </c>
      <c r="F1087">
        <v>1</v>
      </c>
      <c r="G1087" s="2">
        <v>3</v>
      </c>
      <c r="H1087" s="2">
        <v>3</v>
      </c>
      <c r="I1087">
        <v>1</v>
      </c>
      <c r="J1087">
        <v>0</v>
      </c>
      <c r="K1087" s="2">
        <v>2.1470739999999999</v>
      </c>
      <c r="L1087">
        <v>0</v>
      </c>
      <c r="M1087" s="7">
        <v>1.4160759999999999</v>
      </c>
      <c r="N1087" s="7">
        <v>1</v>
      </c>
      <c r="O1087">
        <v>2</v>
      </c>
      <c r="P1087" t="s">
        <v>17</v>
      </c>
      <c r="Q1087">
        <v>3</v>
      </c>
      <c r="R1087" s="8">
        <f>(Tabela2[[#This Row],[FAF_atividade_fisica_frequente_em_horas]]+ 0.1)</f>
        <v>1.516076</v>
      </c>
      <c r="S1087" s="1">
        <f>(Tabela2[[#This Row],[TUE_tempo_uso_aparelhos_em_horas]]/Tabela2[[#This Row],[FAF_Var]])</f>
        <v>0.65959753996501491</v>
      </c>
      <c r="T1087">
        <f>(Tabela2[[#This Row],[CAEC_lanche_entre_refeicoes]]*Tabela2[[#This Row],[FAVC_consumo_frequente_de_alimentos_mt_caloricos]])</f>
        <v>1</v>
      </c>
      <c r="U1087" s="1">
        <f>IF(OR(Tabela2[[#This Row],[MTRANS]]="Walking",Tabela2[[#This Row],[MTRANS]]="Bike"),Tabela2[[#This Row],[FAF_atividade_fisica_frequente_em_horas]]+1,M1087)</f>
        <v>1.4160759999999999</v>
      </c>
      <c r="V1087">
        <f>(Tabela2[[#This Row],[SMOKE]]+Tabela2[[#This Row],[CALC_bebe_alcool_frequentemente]])</f>
        <v>2</v>
      </c>
      <c r="W1087" s="8">
        <f>(Tabela2[[#This Row],[Weight]]/(Tabela2[[#This Row],[Height]] ^2))</f>
        <v>26.989619377162633</v>
      </c>
    </row>
    <row r="1088" spans="1:23" x14ac:dyDescent="0.25">
      <c r="A1088" t="s">
        <v>15</v>
      </c>
      <c r="B1088" s="7">
        <v>34.204611</v>
      </c>
      <c r="C1088" s="4">
        <v>1.719509</v>
      </c>
      <c r="D1088" s="7">
        <v>84.416515000000004</v>
      </c>
      <c r="E1088">
        <v>1</v>
      </c>
      <c r="F1088">
        <v>1</v>
      </c>
      <c r="G1088" s="2">
        <v>2.0312459999999999</v>
      </c>
      <c r="H1088" s="2">
        <v>3</v>
      </c>
      <c r="I1088">
        <v>1</v>
      </c>
      <c r="J1088">
        <v>0</v>
      </c>
      <c r="K1088" s="2">
        <v>2.8030020000000002</v>
      </c>
      <c r="L1088">
        <v>0</v>
      </c>
      <c r="M1088" s="7">
        <v>1.98448</v>
      </c>
      <c r="N1088" s="7">
        <v>0.41862300000000002</v>
      </c>
      <c r="O1088">
        <v>0</v>
      </c>
      <c r="P1088" t="s">
        <v>17</v>
      </c>
      <c r="Q1088">
        <v>3</v>
      </c>
      <c r="R1088" s="8">
        <f>(Tabela2[[#This Row],[FAF_atividade_fisica_frequente_em_horas]]+ 0.1)</f>
        <v>2.0844800000000001</v>
      </c>
      <c r="S1088" s="1">
        <f>(Tabela2[[#This Row],[TUE_tempo_uso_aparelhos_em_horas]]/Tabela2[[#This Row],[FAF_Var]])</f>
        <v>0.20082850399140315</v>
      </c>
      <c r="T1088">
        <f>(Tabela2[[#This Row],[CAEC_lanche_entre_refeicoes]]*Tabela2[[#This Row],[FAVC_consumo_frequente_de_alimentos_mt_caloricos]])</f>
        <v>1</v>
      </c>
      <c r="U1088" s="1">
        <f>IF(OR(Tabela2[[#This Row],[MTRANS]]="Walking",Tabela2[[#This Row],[MTRANS]]="Bike"),Tabela2[[#This Row],[FAF_atividade_fisica_frequente_em_horas]]+1,M1088)</f>
        <v>1.98448</v>
      </c>
      <c r="V1088">
        <f>(Tabela2[[#This Row],[SMOKE]]+Tabela2[[#This Row],[CALC_bebe_alcool_frequentemente]])</f>
        <v>0</v>
      </c>
      <c r="W1088" s="8">
        <f>(Tabela2[[#This Row],[Weight]]/(Tabela2[[#This Row],[Height]] ^2))</f>
        <v>28.550815165558468</v>
      </c>
    </row>
    <row r="1089" spans="1:23" x14ac:dyDescent="0.25">
      <c r="A1089" t="s">
        <v>13</v>
      </c>
      <c r="B1089" s="7">
        <v>28.167798999999999</v>
      </c>
      <c r="C1089" s="4">
        <v>1.658202</v>
      </c>
      <c r="D1089" s="7">
        <v>78</v>
      </c>
      <c r="E1089">
        <v>1</v>
      </c>
      <c r="F1089">
        <v>1</v>
      </c>
      <c r="G1089" s="2">
        <v>2.9380310000000001</v>
      </c>
      <c r="H1089" s="2">
        <v>1.5328329999999999</v>
      </c>
      <c r="I1089">
        <v>1</v>
      </c>
      <c r="J1089">
        <v>0</v>
      </c>
      <c r="K1089" s="2">
        <v>1.9312419999999999</v>
      </c>
      <c r="L1089">
        <v>0</v>
      </c>
      <c r="M1089" s="7">
        <v>0.52500199999999997</v>
      </c>
      <c r="N1089" s="7">
        <v>0.37194100000000002</v>
      </c>
      <c r="O1089">
        <v>2</v>
      </c>
      <c r="P1089" t="s">
        <v>17</v>
      </c>
      <c r="Q1089">
        <v>3</v>
      </c>
      <c r="R1089" s="8">
        <f>(Tabela2[[#This Row],[FAF_atividade_fisica_frequente_em_horas]]+ 0.1)</f>
        <v>0.62500199999999995</v>
      </c>
      <c r="S1089" s="1">
        <f>(Tabela2[[#This Row],[TUE_tempo_uso_aparelhos_em_horas]]/Tabela2[[#This Row],[FAF_Var]])</f>
        <v>0.59510369566817389</v>
      </c>
      <c r="T1089">
        <f>(Tabela2[[#This Row],[CAEC_lanche_entre_refeicoes]]*Tabela2[[#This Row],[FAVC_consumo_frequente_de_alimentos_mt_caloricos]])</f>
        <v>1</v>
      </c>
      <c r="U1089" s="1">
        <f>IF(OR(Tabela2[[#This Row],[MTRANS]]="Walking",Tabela2[[#This Row],[MTRANS]]="Bike"),Tabela2[[#This Row],[FAF_atividade_fisica_frequente_em_horas]]+1,M1089)</f>
        <v>0.52500199999999997</v>
      </c>
      <c r="V1089">
        <f>(Tabela2[[#This Row],[SMOKE]]+Tabela2[[#This Row],[CALC_bebe_alcool_frequentemente]])</f>
        <v>2</v>
      </c>
      <c r="W1089" s="8">
        <f>(Tabela2[[#This Row],[Weight]]/(Tabela2[[#This Row],[Height]] ^2))</f>
        <v>28.367413120517668</v>
      </c>
    </row>
    <row r="1090" spans="1:23" x14ac:dyDescent="0.25">
      <c r="A1090" t="s">
        <v>15</v>
      </c>
      <c r="B1090" s="7">
        <v>55.137881</v>
      </c>
      <c r="C1090" s="4">
        <v>1.6572210000000001</v>
      </c>
      <c r="D1090" s="7">
        <v>80.993212999999997</v>
      </c>
      <c r="E1090">
        <v>1</v>
      </c>
      <c r="F1090">
        <v>1</v>
      </c>
      <c r="G1090" s="2">
        <v>2</v>
      </c>
      <c r="H1090" s="2">
        <v>3</v>
      </c>
      <c r="I1090">
        <v>1</v>
      </c>
      <c r="J1090">
        <v>0</v>
      </c>
      <c r="K1090" s="2">
        <v>2</v>
      </c>
      <c r="L1090">
        <v>0</v>
      </c>
      <c r="M1090" s="7">
        <v>1</v>
      </c>
      <c r="N1090" s="7">
        <v>0</v>
      </c>
      <c r="O1090">
        <v>0</v>
      </c>
      <c r="P1090" t="s">
        <v>17</v>
      </c>
      <c r="Q1090">
        <v>3</v>
      </c>
      <c r="R1090" s="8">
        <f>(Tabela2[[#This Row],[FAF_atividade_fisica_frequente_em_horas]]+ 0.1)</f>
        <v>1.1000000000000001</v>
      </c>
      <c r="S1090" s="1">
        <f>(Tabela2[[#This Row],[TUE_tempo_uso_aparelhos_em_horas]]/Tabela2[[#This Row],[FAF_Var]])</f>
        <v>0</v>
      </c>
      <c r="T1090">
        <f>(Tabela2[[#This Row],[CAEC_lanche_entre_refeicoes]]*Tabela2[[#This Row],[FAVC_consumo_frequente_de_alimentos_mt_caloricos]])</f>
        <v>1</v>
      </c>
      <c r="U1090" s="1">
        <f>IF(OR(Tabela2[[#This Row],[MTRANS]]="Walking",Tabela2[[#This Row],[MTRANS]]="Bike"),Tabela2[[#This Row],[FAF_atividade_fisica_frequente_em_horas]]+1,M1090)</f>
        <v>1</v>
      </c>
      <c r="V1090">
        <f>(Tabela2[[#This Row],[SMOKE]]+Tabela2[[#This Row],[CALC_bebe_alcool_frequentemente]])</f>
        <v>0</v>
      </c>
      <c r="W1090" s="8">
        <f>(Tabela2[[#This Row],[Weight]]/(Tabela2[[#This Row],[Height]] ^2))</f>
        <v>29.490882707180102</v>
      </c>
    </row>
    <row r="1091" spans="1:23" x14ac:dyDescent="0.25">
      <c r="A1091" t="s">
        <v>15</v>
      </c>
      <c r="B1091" s="7">
        <v>34.970367000000003</v>
      </c>
      <c r="C1091" s="4">
        <v>1.7133480000000001</v>
      </c>
      <c r="D1091" s="7">
        <v>84.722222000000002</v>
      </c>
      <c r="E1091">
        <v>1</v>
      </c>
      <c r="F1091">
        <v>1</v>
      </c>
      <c r="G1091" s="2">
        <v>2.8842120000000002</v>
      </c>
      <c r="H1091" s="2">
        <v>3</v>
      </c>
      <c r="I1091">
        <v>1</v>
      </c>
      <c r="J1091">
        <v>0</v>
      </c>
      <c r="K1091" s="2">
        <v>3</v>
      </c>
      <c r="L1091">
        <v>0</v>
      </c>
      <c r="M1091" s="7">
        <v>2</v>
      </c>
      <c r="N1091" s="7">
        <v>0.83240000000000003</v>
      </c>
      <c r="O1091">
        <v>0</v>
      </c>
      <c r="P1091" t="s">
        <v>17</v>
      </c>
      <c r="Q1091">
        <v>3</v>
      </c>
      <c r="R1091" s="8">
        <f>(Tabela2[[#This Row],[FAF_atividade_fisica_frequente_em_horas]]+ 0.1)</f>
        <v>2.1</v>
      </c>
      <c r="S1091" s="1">
        <f>(Tabela2[[#This Row],[TUE_tempo_uso_aparelhos_em_horas]]/Tabela2[[#This Row],[FAF_Var]])</f>
        <v>0.39638095238095239</v>
      </c>
      <c r="T1091">
        <f>(Tabela2[[#This Row],[CAEC_lanche_entre_refeicoes]]*Tabela2[[#This Row],[FAVC_consumo_frequente_de_alimentos_mt_caloricos]])</f>
        <v>1</v>
      </c>
      <c r="U1091" s="1">
        <f>IF(OR(Tabela2[[#This Row],[MTRANS]]="Walking",Tabela2[[#This Row],[MTRANS]]="Bike"),Tabela2[[#This Row],[FAF_atividade_fisica_frequente_em_horas]]+1,M1091)</f>
        <v>2</v>
      </c>
      <c r="V1091">
        <f>(Tabela2[[#This Row],[SMOKE]]+Tabela2[[#This Row],[CALC_bebe_alcool_frequentemente]])</f>
        <v>0</v>
      </c>
      <c r="W1091" s="8">
        <f>(Tabela2[[#This Row],[Weight]]/(Tabela2[[#This Row],[Height]] ^2))</f>
        <v>28.860654351048073</v>
      </c>
    </row>
    <row r="1092" spans="1:23" x14ac:dyDescent="0.25">
      <c r="A1092" t="s">
        <v>15</v>
      </c>
      <c r="B1092" s="7">
        <v>20.986834000000002</v>
      </c>
      <c r="C1092" s="4">
        <v>1.6771780000000001</v>
      </c>
      <c r="D1092" s="7">
        <v>80.379575000000003</v>
      </c>
      <c r="E1092">
        <v>1</v>
      </c>
      <c r="F1092">
        <v>1</v>
      </c>
      <c r="G1092" s="2">
        <v>2</v>
      </c>
      <c r="H1092" s="2">
        <v>2.9617059999999999</v>
      </c>
      <c r="I1092">
        <v>1</v>
      </c>
      <c r="J1092">
        <v>0</v>
      </c>
      <c r="K1092" s="2">
        <v>2</v>
      </c>
      <c r="L1092">
        <v>0</v>
      </c>
      <c r="M1092" s="7">
        <v>1.661556</v>
      </c>
      <c r="N1092" s="7">
        <v>1.114716</v>
      </c>
      <c r="O1092">
        <v>0</v>
      </c>
      <c r="P1092" t="s">
        <v>14</v>
      </c>
      <c r="Q1092">
        <v>3</v>
      </c>
      <c r="R1092" s="8">
        <f>(Tabela2[[#This Row],[FAF_atividade_fisica_frequente_em_horas]]+ 0.1)</f>
        <v>1.7615560000000001</v>
      </c>
      <c r="S1092" s="1">
        <f>(Tabela2[[#This Row],[TUE_tempo_uso_aparelhos_em_horas]]/Tabela2[[#This Row],[FAF_Var]])</f>
        <v>0.63280190922116586</v>
      </c>
      <c r="T1092">
        <f>(Tabela2[[#This Row],[CAEC_lanche_entre_refeicoes]]*Tabela2[[#This Row],[FAVC_consumo_frequente_de_alimentos_mt_caloricos]])</f>
        <v>1</v>
      </c>
      <c r="U1092" s="1">
        <f>IF(OR(Tabela2[[#This Row],[MTRANS]]="Walking",Tabela2[[#This Row],[MTRANS]]="Bike"),Tabela2[[#This Row],[FAF_atividade_fisica_frequente_em_horas]]+1,M1092)</f>
        <v>1.661556</v>
      </c>
      <c r="V1092">
        <f>(Tabela2[[#This Row],[SMOKE]]+Tabela2[[#This Row],[CALC_bebe_alcool_frequentemente]])</f>
        <v>0</v>
      </c>
      <c r="W1092" s="8">
        <f>(Tabela2[[#This Row],[Weight]]/(Tabela2[[#This Row],[Height]] ^2))</f>
        <v>28.575075829128242</v>
      </c>
    </row>
    <row r="1093" spans="1:23" x14ac:dyDescent="0.25">
      <c r="A1093" t="s">
        <v>13</v>
      </c>
      <c r="B1093" s="7">
        <v>38.378056000000001</v>
      </c>
      <c r="C1093" s="4">
        <v>1.67805</v>
      </c>
      <c r="D1093" s="7">
        <v>77.224574000000004</v>
      </c>
      <c r="E1093">
        <v>1</v>
      </c>
      <c r="F1093">
        <v>1</v>
      </c>
      <c r="G1093" s="2">
        <v>2.4445990000000002</v>
      </c>
      <c r="H1093" s="2">
        <v>3</v>
      </c>
      <c r="I1093">
        <v>1</v>
      </c>
      <c r="J1093">
        <v>0</v>
      </c>
      <c r="K1093" s="2">
        <v>1.029798</v>
      </c>
      <c r="L1093">
        <v>0</v>
      </c>
      <c r="M1093" s="7">
        <v>0</v>
      </c>
      <c r="N1093" s="7">
        <v>0</v>
      </c>
      <c r="O1093">
        <v>0</v>
      </c>
      <c r="P1093" t="s">
        <v>17</v>
      </c>
      <c r="Q1093">
        <v>3</v>
      </c>
      <c r="R1093" s="8">
        <f>(Tabela2[[#This Row],[FAF_atividade_fisica_frequente_em_horas]]+ 0.1)</f>
        <v>0.1</v>
      </c>
      <c r="S1093" s="1">
        <f>(Tabela2[[#This Row],[TUE_tempo_uso_aparelhos_em_horas]]/Tabela2[[#This Row],[FAF_Var]])</f>
        <v>0</v>
      </c>
      <c r="T1093">
        <f>(Tabela2[[#This Row],[CAEC_lanche_entre_refeicoes]]*Tabela2[[#This Row],[FAVC_consumo_frequente_de_alimentos_mt_caloricos]])</f>
        <v>1</v>
      </c>
      <c r="U1093" s="1">
        <f>IF(OR(Tabela2[[#This Row],[MTRANS]]="Walking",Tabela2[[#This Row],[MTRANS]]="Bike"),Tabela2[[#This Row],[FAF_atividade_fisica_frequente_em_horas]]+1,M1093)</f>
        <v>0</v>
      </c>
      <c r="V1093">
        <f>(Tabela2[[#This Row],[SMOKE]]+Tabela2[[#This Row],[CALC_bebe_alcool_frequentemente]])</f>
        <v>0</v>
      </c>
      <c r="W1093" s="8">
        <f>(Tabela2[[#This Row],[Weight]]/(Tabela2[[#This Row],[Height]] ^2))</f>
        <v>27.424942580940389</v>
      </c>
    </row>
    <row r="1094" spans="1:23" x14ac:dyDescent="0.25">
      <c r="A1094" t="s">
        <v>15</v>
      </c>
      <c r="B1094" s="7">
        <v>22.18881</v>
      </c>
      <c r="C1094" s="4">
        <v>1.717722</v>
      </c>
      <c r="D1094" s="7">
        <v>81.929910000000007</v>
      </c>
      <c r="E1094">
        <v>1</v>
      </c>
      <c r="F1094">
        <v>1</v>
      </c>
      <c r="G1094" s="2">
        <v>2</v>
      </c>
      <c r="H1094" s="2">
        <v>1.1525209999999999</v>
      </c>
      <c r="I1094">
        <v>1</v>
      </c>
      <c r="J1094">
        <v>0</v>
      </c>
      <c r="K1094" s="2">
        <v>1.7231590000000001</v>
      </c>
      <c r="L1094">
        <v>0</v>
      </c>
      <c r="M1094" s="7">
        <v>1.3901600000000001</v>
      </c>
      <c r="N1094" s="7">
        <v>1.0949409999999999</v>
      </c>
      <c r="O1094">
        <v>1</v>
      </c>
      <c r="P1094" t="s">
        <v>14</v>
      </c>
      <c r="Q1094">
        <v>3</v>
      </c>
      <c r="R1094" s="8">
        <f>(Tabela2[[#This Row],[FAF_atividade_fisica_frequente_em_horas]]+ 0.1)</f>
        <v>1.4901600000000002</v>
      </c>
      <c r="S1094" s="1">
        <f>(Tabela2[[#This Row],[TUE_tempo_uso_aparelhos_em_horas]]/Tabela2[[#This Row],[FAF_Var]])</f>
        <v>0.73478082890427865</v>
      </c>
      <c r="T1094">
        <f>(Tabela2[[#This Row],[CAEC_lanche_entre_refeicoes]]*Tabela2[[#This Row],[FAVC_consumo_frequente_de_alimentos_mt_caloricos]])</f>
        <v>1</v>
      </c>
      <c r="U1094" s="1">
        <f>IF(OR(Tabela2[[#This Row],[MTRANS]]="Walking",Tabela2[[#This Row],[MTRANS]]="Bike"),Tabela2[[#This Row],[FAF_atividade_fisica_frequente_em_horas]]+1,M1094)</f>
        <v>1.3901600000000001</v>
      </c>
      <c r="V1094">
        <f>(Tabela2[[#This Row],[SMOKE]]+Tabela2[[#This Row],[CALC_bebe_alcool_frequentemente]])</f>
        <v>1</v>
      </c>
      <c r="W1094" s="8">
        <f>(Tabela2[[#This Row],[Weight]]/(Tabela2[[#This Row],[Height]] ^2))</f>
        <v>27.767496245522828</v>
      </c>
    </row>
    <row r="1095" spans="1:23" x14ac:dyDescent="0.25">
      <c r="A1095" t="s">
        <v>13</v>
      </c>
      <c r="B1095" s="7">
        <v>21.082384000000001</v>
      </c>
      <c r="C1095" s="4">
        <v>1.4864839999999999</v>
      </c>
      <c r="D1095" s="7">
        <v>60.117992999999998</v>
      </c>
      <c r="E1095">
        <v>1</v>
      </c>
      <c r="F1095">
        <v>0</v>
      </c>
      <c r="G1095" s="2">
        <v>2</v>
      </c>
      <c r="H1095" s="2">
        <v>1.1046419999999999</v>
      </c>
      <c r="I1095">
        <v>1</v>
      </c>
      <c r="J1095">
        <v>0</v>
      </c>
      <c r="K1095" s="2">
        <v>1</v>
      </c>
      <c r="L1095">
        <v>0</v>
      </c>
      <c r="M1095" s="7">
        <v>0</v>
      </c>
      <c r="N1095" s="7">
        <v>0.96909699999999999</v>
      </c>
      <c r="O1095">
        <v>0</v>
      </c>
      <c r="P1095" t="s">
        <v>14</v>
      </c>
      <c r="Q1095">
        <v>3</v>
      </c>
      <c r="R1095" s="8">
        <f>(Tabela2[[#This Row],[FAF_atividade_fisica_frequente_em_horas]]+ 0.1)</f>
        <v>0.1</v>
      </c>
      <c r="S1095" s="1">
        <f>(Tabela2[[#This Row],[TUE_tempo_uso_aparelhos_em_horas]]/Tabela2[[#This Row],[FAF_Var]])</f>
        <v>9.6909700000000001</v>
      </c>
      <c r="T1095">
        <f>(Tabela2[[#This Row],[CAEC_lanche_entre_refeicoes]]*Tabela2[[#This Row],[FAVC_consumo_frequente_de_alimentos_mt_caloricos]])</f>
        <v>0</v>
      </c>
      <c r="U1095" s="1">
        <f>IF(OR(Tabela2[[#This Row],[MTRANS]]="Walking",Tabela2[[#This Row],[MTRANS]]="Bike"),Tabela2[[#This Row],[FAF_atividade_fisica_frequente_em_horas]]+1,M1095)</f>
        <v>0</v>
      </c>
      <c r="V1095">
        <f>(Tabela2[[#This Row],[SMOKE]]+Tabela2[[#This Row],[CALC_bebe_alcool_frequentemente]])</f>
        <v>0</v>
      </c>
      <c r="W1095" s="8">
        <f>(Tabela2[[#This Row],[Weight]]/(Tabela2[[#This Row],[Height]] ^2))</f>
        <v>27.207209174785646</v>
      </c>
    </row>
    <row r="1096" spans="1:23" x14ac:dyDescent="0.25">
      <c r="A1096" t="s">
        <v>13</v>
      </c>
      <c r="B1096" s="7">
        <v>25.293202000000001</v>
      </c>
      <c r="C1096" s="4">
        <v>1.503379</v>
      </c>
      <c r="D1096" s="7">
        <v>64.342459000000005</v>
      </c>
      <c r="E1096">
        <v>1</v>
      </c>
      <c r="F1096">
        <v>0</v>
      </c>
      <c r="G1096" s="2">
        <v>2</v>
      </c>
      <c r="H1096" s="2">
        <v>1</v>
      </c>
      <c r="I1096">
        <v>1</v>
      </c>
      <c r="J1096">
        <v>0</v>
      </c>
      <c r="K1096" s="2">
        <v>1.639807</v>
      </c>
      <c r="L1096">
        <v>0</v>
      </c>
      <c r="M1096" s="7">
        <v>7.2117000000000001E-2</v>
      </c>
      <c r="N1096" s="7">
        <v>0</v>
      </c>
      <c r="O1096">
        <v>0</v>
      </c>
      <c r="P1096" t="s">
        <v>14</v>
      </c>
      <c r="Q1096">
        <v>3</v>
      </c>
      <c r="R1096" s="8">
        <f>(Tabela2[[#This Row],[FAF_atividade_fisica_frequente_em_horas]]+ 0.1)</f>
        <v>0.17211700000000002</v>
      </c>
      <c r="S1096" s="1">
        <f>(Tabela2[[#This Row],[TUE_tempo_uso_aparelhos_em_horas]]/Tabela2[[#This Row],[FAF_Var]])</f>
        <v>0</v>
      </c>
      <c r="T1096">
        <f>(Tabela2[[#This Row],[CAEC_lanche_entre_refeicoes]]*Tabela2[[#This Row],[FAVC_consumo_frequente_de_alimentos_mt_caloricos]])</f>
        <v>0</v>
      </c>
      <c r="U1096" s="1">
        <f>IF(OR(Tabela2[[#This Row],[MTRANS]]="Walking",Tabela2[[#This Row],[MTRANS]]="Bike"),Tabela2[[#This Row],[FAF_atividade_fisica_frequente_em_horas]]+1,M1096)</f>
        <v>7.2117000000000001E-2</v>
      </c>
      <c r="V1096">
        <f>(Tabela2[[#This Row],[SMOKE]]+Tabela2[[#This Row],[CALC_bebe_alcool_frequentemente]])</f>
        <v>0</v>
      </c>
      <c r="W1096" s="8">
        <f>(Tabela2[[#This Row],[Weight]]/(Tabela2[[#This Row],[Height]] ^2))</f>
        <v>28.468245048772769</v>
      </c>
    </row>
    <row r="1097" spans="1:23" x14ac:dyDescent="0.25">
      <c r="A1097" t="s">
        <v>15</v>
      </c>
      <c r="B1097" s="7">
        <v>23</v>
      </c>
      <c r="C1097" s="4">
        <v>1.7189810000000001</v>
      </c>
      <c r="D1097" s="7">
        <v>81.66995</v>
      </c>
      <c r="E1097">
        <v>1</v>
      </c>
      <c r="F1097">
        <v>1</v>
      </c>
      <c r="G1097" s="2">
        <v>2</v>
      </c>
      <c r="H1097" s="2">
        <v>1.7295529999999999</v>
      </c>
      <c r="I1097">
        <v>1</v>
      </c>
      <c r="J1097">
        <v>0</v>
      </c>
      <c r="K1097" s="2">
        <v>1.400247</v>
      </c>
      <c r="L1097">
        <v>0</v>
      </c>
      <c r="M1097" s="7">
        <v>0.88792300000000002</v>
      </c>
      <c r="N1097" s="7">
        <v>1.0119830000000001</v>
      </c>
      <c r="O1097">
        <v>1</v>
      </c>
      <c r="P1097" t="s">
        <v>14</v>
      </c>
      <c r="Q1097">
        <v>3</v>
      </c>
      <c r="R1097" s="8">
        <f>(Tabela2[[#This Row],[FAF_atividade_fisica_frequente_em_horas]]+ 0.1)</f>
        <v>0.987923</v>
      </c>
      <c r="S1097" s="1">
        <f>(Tabela2[[#This Row],[TUE_tempo_uso_aparelhos_em_horas]]/Tabela2[[#This Row],[FAF_Var]])</f>
        <v>1.0243541247647845</v>
      </c>
      <c r="T1097">
        <f>(Tabela2[[#This Row],[CAEC_lanche_entre_refeicoes]]*Tabela2[[#This Row],[FAVC_consumo_frequente_de_alimentos_mt_caloricos]])</f>
        <v>1</v>
      </c>
      <c r="U1097" s="1">
        <f>IF(OR(Tabela2[[#This Row],[MTRANS]]="Walking",Tabela2[[#This Row],[MTRANS]]="Bike"),Tabela2[[#This Row],[FAF_atividade_fisica_frequente_em_horas]]+1,M1097)</f>
        <v>0.88792300000000002</v>
      </c>
      <c r="V1097">
        <f>(Tabela2[[#This Row],[SMOKE]]+Tabela2[[#This Row],[CALC_bebe_alcool_frequentemente]])</f>
        <v>1</v>
      </c>
      <c r="W1097" s="8">
        <f>(Tabela2[[#This Row],[Weight]]/(Tabela2[[#This Row],[Height]] ^2))</f>
        <v>27.63886068739323</v>
      </c>
    </row>
    <row r="1098" spans="1:23" x14ac:dyDescent="0.25">
      <c r="A1098" t="s">
        <v>13</v>
      </c>
      <c r="B1098" s="7">
        <v>39.170029</v>
      </c>
      <c r="C1098" s="4">
        <v>1.6883539999999999</v>
      </c>
      <c r="D1098" s="7">
        <v>79.278896000000003</v>
      </c>
      <c r="E1098">
        <v>1</v>
      </c>
      <c r="F1098">
        <v>1</v>
      </c>
      <c r="G1098" s="2">
        <v>3</v>
      </c>
      <c r="H1098" s="2">
        <v>3</v>
      </c>
      <c r="I1098">
        <v>1</v>
      </c>
      <c r="J1098">
        <v>0</v>
      </c>
      <c r="K1098" s="2">
        <v>2.9945149999999998</v>
      </c>
      <c r="L1098">
        <v>0</v>
      </c>
      <c r="M1098" s="7">
        <v>0</v>
      </c>
      <c r="N1098" s="7">
        <v>0</v>
      </c>
      <c r="O1098">
        <v>0</v>
      </c>
      <c r="P1098" t="s">
        <v>17</v>
      </c>
      <c r="Q1098">
        <v>3</v>
      </c>
      <c r="R1098" s="8">
        <f>(Tabela2[[#This Row],[FAF_atividade_fisica_frequente_em_horas]]+ 0.1)</f>
        <v>0.1</v>
      </c>
      <c r="S1098" s="1">
        <f>(Tabela2[[#This Row],[TUE_tempo_uso_aparelhos_em_horas]]/Tabela2[[#This Row],[FAF_Var]])</f>
        <v>0</v>
      </c>
      <c r="T1098">
        <f>(Tabela2[[#This Row],[CAEC_lanche_entre_refeicoes]]*Tabela2[[#This Row],[FAVC_consumo_frequente_de_alimentos_mt_caloricos]])</f>
        <v>1</v>
      </c>
      <c r="U1098" s="1">
        <f>IF(OR(Tabela2[[#This Row],[MTRANS]]="Walking",Tabela2[[#This Row],[MTRANS]]="Bike"),Tabela2[[#This Row],[FAF_atividade_fisica_frequente_em_horas]]+1,M1098)</f>
        <v>0</v>
      </c>
      <c r="V1098">
        <f>(Tabela2[[#This Row],[SMOKE]]+Tabela2[[#This Row],[CALC_bebe_alcool_frequentemente]])</f>
        <v>0</v>
      </c>
      <c r="W1098" s="8">
        <f>(Tabela2[[#This Row],[Weight]]/(Tabela2[[#This Row],[Height]] ^2))</f>
        <v>27.811894389898765</v>
      </c>
    </row>
    <row r="1099" spans="1:23" x14ac:dyDescent="0.25">
      <c r="A1099" t="s">
        <v>13</v>
      </c>
      <c r="B1099" s="7">
        <v>34.044229000000001</v>
      </c>
      <c r="C1099" s="4">
        <v>1.665807</v>
      </c>
      <c r="D1099" s="7">
        <v>77.098973000000001</v>
      </c>
      <c r="E1099">
        <v>1</v>
      </c>
      <c r="F1099">
        <v>1</v>
      </c>
      <c r="G1099" s="2">
        <v>2.9769749999999999</v>
      </c>
      <c r="H1099" s="2">
        <v>1.3469869999999999</v>
      </c>
      <c r="I1099">
        <v>1</v>
      </c>
      <c r="J1099">
        <v>0</v>
      </c>
      <c r="K1099" s="2">
        <v>1.868349</v>
      </c>
      <c r="L1099">
        <v>0</v>
      </c>
      <c r="M1099" s="7">
        <v>0.702538</v>
      </c>
      <c r="N1099" s="7">
        <v>0.87933300000000003</v>
      </c>
      <c r="O1099">
        <v>0</v>
      </c>
      <c r="P1099" t="s">
        <v>17</v>
      </c>
      <c r="Q1099">
        <v>3</v>
      </c>
      <c r="R1099" s="8">
        <f>(Tabela2[[#This Row],[FAF_atividade_fisica_frequente_em_horas]]+ 0.1)</f>
        <v>0.80253799999999997</v>
      </c>
      <c r="S1099" s="1">
        <f>(Tabela2[[#This Row],[TUE_tempo_uso_aparelhos_em_horas]]/Tabela2[[#This Row],[FAF_Var]])</f>
        <v>1.095690172926391</v>
      </c>
      <c r="T1099">
        <f>(Tabela2[[#This Row],[CAEC_lanche_entre_refeicoes]]*Tabela2[[#This Row],[FAVC_consumo_frequente_de_alimentos_mt_caloricos]])</f>
        <v>1</v>
      </c>
      <c r="U1099" s="1">
        <f>IF(OR(Tabela2[[#This Row],[MTRANS]]="Walking",Tabela2[[#This Row],[MTRANS]]="Bike"),Tabela2[[#This Row],[FAF_atividade_fisica_frequente_em_horas]]+1,M1099)</f>
        <v>0.702538</v>
      </c>
      <c r="V1099">
        <f>(Tabela2[[#This Row],[SMOKE]]+Tabela2[[#This Row],[CALC_bebe_alcool_frequentemente]])</f>
        <v>0</v>
      </c>
      <c r="W1099" s="8">
        <f>(Tabela2[[#This Row],[Weight]]/(Tabela2[[#This Row],[Height]] ^2))</f>
        <v>27.784285156568451</v>
      </c>
    </row>
    <row r="1100" spans="1:23" x14ac:dyDescent="0.25">
      <c r="A1100" t="s">
        <v>15</v>
      </c>
      <c r="B1100" s="7">
        <v>33.182127000000001</v>
      </c>
      <c r="C1100" s="4">
        <v>1.838441</v>
      </c>
      <c r="D1100" s="7">
        <v>97.029248999999993</v>
      </c>
      <c r="E1100">
        <v>1</v>
      </c>
      <c r="F1100">
        <v>1</v>
      </c>
      <c r="G1100" s="2">
        <v>2</v>
      </c>
      <c r="H1100" s="2">
        <v>1.9772209999999999</v>
      </c>
      <c r="I1100">
        <v>1</v>
      </c>
      <c r="J1100">
        <v>0</v>
      </c>
      <c r="K1100" s="2">
        <v>3</v>
      </c>
      <c r="L1100">
        <v>0</v>
      </c>
      <c r="M1100" s="7">
        <v>1</v>
      </c>
      <c r="N1100" s="7">
        <v>0</v>
      </c>
      <c r="O1100">
        <v>1</v>
      </c>
      <c r="P1100" t="s">
        <v>17</v>
      </c>
      <c r="Q1100">
        <v>3</v>
      </c>
      <c r="R1100" s="8">
        <f>(Tabela2[[#This Row],[FAF_atividade_fisica_frequente_em_horas]]+ 0.1)</f>
        <v>1.1000000000000001</v>
      </c>
      <c r="S1100" s="1">
        <f>(Tabela2[[#This Row],[TUE_tempo_uso_aparelhos_em_horas]]/Tabela2[[#This Row],[FAF_Var]])</f>
        <v>0</v>
      </c>
      <c r="T1100">
        <f>(Tabela2[[#This Row],[CAEC_lanche_entre_refeicoes]]*Tabela2[[#This Row],[FAVC_consumo_frequente_de_alimentos_mt_caloricos]])</f>
        <v>1</v>
      </c>
      <c r="U1100" s="1">
        <f>IF(OR(Tabela2[[#This Row],[MTRANS]]="Walking",Tabela2[[#This Row],[MTRANS]]="Bike"),Tabela2[[#This Row],[FAF_atividade_fisica_frequente_em_horas]]+1,M1100)</f>
        <v>1</v>
      </c>
      <c r="V1100">
        <f>(Tabela2[[#This Row],[SMOKE]]+Tabela2[[#This Row],[CALC_bebe_alcool_frequentemente]])</f>
        <v>1</v>
      </c>
      <c r="W1100" s="8">
        <f>(Tabela2[[#This Row],[Weight]]/(Tabela2[[#This Row],[Height]] ^2))</f>
        <v>28.708022387493138</v>
      </c>
    </row>
    <row r="1101" spans="1:23" x14ac:dyDescent="0.25">
      <c r="A1101" t="s">
        <v>13</v>
      </c>
      <c r="B1101" s="7">
        <v>19.821995999999999</v>
      </c>
      <c r="C1101" s="4">
        <v>1.6534310000000001</v>
      </c>
      <c r="D1101" s="7">
        <v>75.090439000000003</v>
      </c>
      <c r="E1101">
        <v>1</v>
      </c>
      <c r="F1101">
        <v>0</v>
      </c>
      <c r="G1101" s="2">
        <v>2.7660360000000002</v>
      </c>
      <c r="H1101" s="2">
        <v>2.4438119999999999</v>
      </c>
      <c r="I1101">
        <v>1</v>
      </c>
      <c r="J1101">
        <v>0</v>
      </c>
      <c r="K1101" s="2">
        <v>2.7079270000000002</v>
      </c>
      <c r="L1101">
        <v>0</v>
      </c>
      <c r="M1101" s="7">
        <v>0.70283899999999999</v>
      </c>
      <c r="N1101" s="7">
        <v>0.82743900000000004</v>
      </c>
      <c r="O1101">
        <v>1</v>
      </c>
      <c r="P1101" t="s">
        <v>14</v>
      </c>
      <c r="Q1101">
        <v>3</v>
      </c>
      <c r="R1101" s="8">
        <f>(Tabela2[[#This Row],[FAF_atividade_fisica_frequente_em_horas]]+ 0.1)</f>
        <v>0.80283899999999997</v>
      </c>
      <c r="S1101" s="1">
        <f>(Tabela2[[#This Row],[TUE_tempo_uso_aparelhos_em_horas]]/Tabela2[[#This Row],[FAF_Var]])</f>
        <v>1.0306412618221088</v>
      </c>
      <c r="T1101">
        <f>(Tabela2[[#This Row],[CAEC_lanche_entre_refeicoes]]*Tabela2[[#This Row],[FAVC_consumo_frequente_de_alimentos_mt_caloricos]])</f>
        <v>0</v>
      </c>
      <c r="U1101" s="1">
        <f>IF(OR(Tabela2[[#This Row],[MTRANS]]="Walking",Tabela2[[#This Row],[MTRANS]]="Bike"),Tabela2[[#This Row],[FAF_atividade_fisica_frequente_em_horas]]+1,M1101)</f>
        <v>0.70283899999999999</v>
      </c>
      <c r="V1101">
        <f>(Tabela2[[#This Row],[SMOKE]]+Tabela2[[#This Row],[CALC_bebe_alcool_frequentemente]])</f>
        <v>1</v>
      </c>
      <c r="W1101" s="8">
        <f>(Tabela2[[#This Row],[Weight]]/(Tabela2[[#This Row],[Height]] ^2))</f>
        <v>27.467079943015879</v>
      </c>
    </row>
    <row r="1102" spans="1:23" x14ac:dyDescent="0.25">
      <c r="A1102" t="s">
        <v>15</v>
      </c>
      <c r="B1102" s="7">
        <v>19.149705999999998</v>
      </c>
      <c r="C1102" s="4">
        <v>1.6998180000000001</v>
      </c>
      <c r="D1102" s="7">
        <v>78</v>
      </c>
      <c r="E1102">
        <v>1</v>
      </c>
      <c r="F1102">
        <v>0</v>
      </c>
      <c r="G1102" s="2">
        <v>1.096455</v>
      </c>
      <c r="H1102" s="2">
        <v>2.4913150000000002</v>
      </c>
      <c r="I1102">
        <v>1</v>
      </c>
      <c r="J1102">
        <v>0</v>
      </c>
      <c r="K1102" s="2">
        <v>2.4500690000000001</v>
      </c>
      <c r="L1102">
        <v>0</v>
      </c>
      <c r="M1102" s="7">
        <v>0</v>
      </c>
      <c r="N1102" s="7">
        <v>0.72611800000000004</v>
      </c>
      <c r="O1102">
        <v>1</v>
      </c>
      <c r="P1102" t="s">
        <v>14</v>
      </c>
      <c r="Q1102">
        <v>3</v>
      </c>
      <c r="R1102" s="8">
        <f>(Tabela2[[#This Row],[FAF_atividade_fisica_frequente_em_horas]]+ 0.1)</f>
        <v>0.1</v>
      </c>
      <c r="S1102" s="1">
        <f>(Tabela2[[#This Row],[TUE_tempo_uso_aparelhos_em_horas]]/Tabela2[[#This Row],[FAF_Var]])</f>
        <v>7.2611800000000004</v>
      </c>
      <c r="T1102">
        <f>(Tabela2[[#This Row],[CAEC_lanche_entre_refeicoes]]*Tabela2[[#This Row],[FAVC_consumo_frequente_de_alimentos_mt_caloricos]])</f>
        <v>0</v>
      </c>
      <c r="U1102" s="1">
        <f>IF(OR(Tabela2[[#This Row],[MTRANS]]="Walking",Tabela2[[#This Row],[MTRANS]]="Bike"),Tabela2[[#This Row],[FAF_atividade_fisica_frequente_em_horas]]+1,M1102)</f>
        <v>0</v>
      </c>
      <c r="V1102">
        <f>(Tabela2[[#This Row],[SMOKE]]+Tabela2[[#This Row],[CALC_bebe_alcool_frequentemente]])</f>
        <v>1</v>
      </c>
      <c r="W1102" s="8">
        <f>(Tabela2[[#This Row],[Weight]]/(Tabela2[[#This Row],[Height]] ^2))</f>
        <v>26.995399259123161</v>
      </c>
    </row>
    <row r="1103" spans="1:23" x14ac:dyDescent="0.25">
      <c r="A1103" t="s">
        <v>15</v>
      </c>
      <c r="B1103" s="7">
        <v>46.491858999999998</v>
      </c>
      <c r="C1103" s="4">
        <v>1.718097</v>
      </c>
      <c r="D1103" s="7">
        <v>88.600877999999994</v>
      </c>
      <c r="E1103">
        <v>1</v>
      </c>
      <c r="F1103">
        <v>1</v>
      </c>
      <c r="G1103" s="2">
        <v>2.129969</v>
      </c>
      <c r="H1103" s="2">
        <v>3</v>
      </c>
      <c r="I1103">
        <v>1</v>
      </c>
      <c r="J1103">
        <v>0</v>
      </c>
      <c r="K1103" s="2">
        <v>1.5680350000000001</v>
      </c>
      <c r="L1103">
        <v>0</v>
      </c>
      <c r="M1103" s="7">
        <v>0.87012699999999998</v>
      </c>
      <c r="N1103" s="7">
        <v>0</v>
      </c>
      <c r="O1103">
        <v>0</v>
      </c>
      <c r="P1103" t="s">
        <v>17</v>
      </c>
      <c r="Q1103">
        <v>3</v>
      </c>
      <c r="R1103" s="8">
        <f>(Tabela2[[#This Row],[FAF_atividade_fisica_frequente_em_horas]]+ 0.1)</f>
        <v>0.97012699999999996</v>
      </c>
      <c r="S1103" s="1">
        <f>(Tabela2[[#This Row],[TUE_tempo_uso_aparelhos_em_horas]]/Tabela2[[#This Row],[FAF_Var]])</f>
        <v>0</v>
      </c>
      <c r="T1103">
        <f>(Tabela2[[#This Row],[CAEC_lanche_entre_refeicoes]]*Tabela2[[#This Row],[FAVC_consumo_frequente_de_alimentos_mt_caloricos]])</f>
        <v>1</v>
      </c>
      <c r="U1103" s="1">
        <f>IF(OR(Tabela2[[#This Row],[MTRANS]]="Walking",Tabela2[[#This Row],[MTRANS]]="Bike"),Tabela2[[#This Row],[FAF_atividade_fisica_frequente_em_horas]]+1,M1103)</f>
        <v>0.87012699999999998</v>
      </c>
      <c r="V1103">
        <f>(Tabela2[[#This Row],[SMOKE]]+Tabela2[[#This Row],[CALC_bebe_alcool_frequentemente]])</f>
        <v>0</v>
      </c>
      <c r="W1103" s="8">
        <f>(Tabela2[[#This Row],[Weight]]/(Tabela2[[#This Row],[Height]] ^2))</f>
        <v>30.015298489431871</v>
      </c>
    </row>
    <row r="1104" spans="1:23" x14ac:dyDescent="0.25">
      <c r="A1104" t="s">
        <v>15</v>
      </c>
      <c r="B1104" s="7">
        <v>17.894784000000001</v>
      </c>
      <c r="C1104" s="4">
        <v>1.7313890000000001</v>
      </c>
      <c r="D1104" s="7">
        <v>84.064875000000001</v>
      </c>
      <c r="E1104">
        <v>1</v>
      </c>
      <c r="F1104">
        <v>0</v>
      </c>
      <c r="G1104" s="2">
        <v>2.0196740000000002</v>
      </c>
      <c r="H1104" s="2">
        <v>2.8433190000000002</v>
      </c>
      <c r="I1104">
        <v>1</v>
      </c>
      <c r="J1104">
        <v>0</v>
      </c>
      <c r="K1104" s="2">
        <v>2.832004</v>
      </c>
      <c r="L1104">
        <v>0</v>
      </c>
      <c r="M1104" s="7">
        <v>1</v>
      </c>
      <c r="N1104" s="7">
        <v>0.60860700000000001</v>
      </c>
      <c r="O1104">
        <v>1</v>
      </c>
      <c r="P1104" t="s">
        <v>14</v>
      </c>
      <c r="Q1104">
        <v>3</v>
      </c>
      <c r="R1104" s="8">
        <f>(Tabela2[[#This Row],[FAF_atividade_fisica_frequente_em_horas]]+ 0.1)</f>
        <v>1.1000000000000001</v>
      </c>
      <c r="S1104" s="1">
        <f>(Tabela2[[#This Row],[TUE_tempo_uso_aparelhos_em_horas]]/Tabela2[[#This Row],[FAF_Var]])</f>
        <v>0.55327909090909089</v>
      </c>
      <c r="T1104">
        <f>(Tabela2[[#This Row],[CAEC_lanche_entre_refeicoes]]*Tabela2[[#This Row],[FAVC_consumo_frequente_de_alimentos_mt_caloricos]])</f>
        <v>0</v>
      </c>
      <c r="U1104" s="1">
        <f>IF(OR(Tabela2[[#This Row],[MTRANS]]="Walking",Tabela2[[#This Row],[MTRANS]]="Bike"),Tabela2[[#This Row],[FAF_atividade_fisica_frequente_em_horas]]+1,M1104)</f>
        <v>1</v>
      </c>
      <c r="V1104">
        <f>(Tabela2[[#This Row],[SMOKE]]+Tabela2[[#This Row],[CALC_bebe_alcool_frequentemente]])</f>
        <v>1</v>
      </c>
      <c r="W1104" s="8">
        <f>(Tabela2[[#This Row],[Weight]]/(Tabela2[[#This Row],[Height]] ^2))</f>
        <v>28.043051112595979</v>
      </c>
    </row>
    <row r="1105" spans="1:23" x14ac:dyDescent="0.25">
      <c r="A1105" t="s">
        <v>15</v>
      </c>
      <c r="B1105" s="7">
        <v>18.88485</v>
      </c>
      <c r="C1105" s="4">
        <v>1.699667</v>
      </c>
      <c r="D1105" s="7">
        <v>79.677930000000003</v>
      </c>
      <c r="E1105">
        <v>1</v>
      </c>
      <c r="F1105">
        <v>0</v>
      </c>
      <c r="G1105" s="2">
        <v>2.7352970000000001</v>
      </c>
      <c r="H1105" s="2">
        <v>2.1571639999999999</v>
      </c>
      <c r="I1105">
        <v>1</v>
      </c>
      <c r="J1105">
        <v>0</v>
      </c>
      <c r="K1105" s="2">
        <v>1.0871660000000001</v>
      </c>
      <c r="L1105">
        <v>0</v>
      </c>
      <c r="M1105" s="7">
        <v>0.11017399999999999</v>
      </c>
      <c r="N1105" s="7">
        <v>3.6949999999999999E-3</v>
      </c>
      <c r="O1105">
        <v>0</v>
      </c>
      <c r="P1105" t="s">
        <v>14</v>
      </c>
      <c r="Q1105">
        <v>3</v>
      </c>
      <c r="R1105" s="8">
        <f>(Tabela2[[#This Row],[FAF_atividade_fisica_frequente_em_horas]]+ 0.1)</f>
        <v>0.210174</v>
      </c>
      <c r="S1105" s="1">
        <f>(Tabela2[[#This Row],[TUE_tempo_uso_aparelhos_em_horas]]/Tabela2[[#This Row],[FAF_Var]])</f>
        <v>1.7580671253342468E-2</v>
      </c>
      <c r="T1105">
        <f>(Tabela2[[#This Row],[CAEC_lanche_entre_refeicoes]]*Tabela2[[#This Row],[FAVC_consumo_frequente_de_alimentos_mt_caloricos]])</f>
        <v>0</v>
      </c>
      <c r="U1105" s="1">
        <f>IF(OR(Tabela2[[#This Row],[MTRANS]]="Walking",Tabela2[[#This Row],[MTRANS]]="Bike"),Tabela2[[#This Row],[FAF_atividade_fisica_frequente_em_horas]]+1,M1105)</f>
        <v>0.11017399999999999</v>
      </c>
      <c r="V1105">
        <f>(Tabela2[[#This Row],[SMOKE]]+Tabela2[[#This Row],[CALC_bebe_alcool_frequentemente]])</f>
        <v>0</v>
      </c>
      <c r="W1105" s="8">
        <f>(Tabela2[[#This Row],[Weight]]/(Tabela2[[#This Row],[Height]] ^2))</f>
        <v>27.581022205851035</v>
      </c>
    </row>
    <row r="1106" spans="1:23" x14ac:dyDescent="0.25">
      <c r="A1106" t="s">
        <v>13</v>
      </c>
      <c r="B1106" s="7">
        <v>38.384177000000001</v>
      </c>
      <c r="C1106" s="4">
        <v>1.698626</v>
      </c>
      <c r="D1106" s="7">
        <v>78.637307000000007</v>
      </c>
      <c r="E1106">
        <v>1</v>
      </c>
      <c r="F1106">
        <v>1</v>
      </c>
      <c r="G1106" s="2">
        <v>3</v>
      </c>
      <c r="H1106" s="2">
        <v>3</v>
      </c>
      <c r="I1106">
        <v>1</v>
      </c>
      <c r="J1106">
        <v>0</v>
      </c>
      <c r="K1106" s="2">
        <v>2.5031979999999998</v>
      </c>
      <c r="L1106">
        <v>0</v>
      </c>
      <c r="M1106" s="7">
        <v>0</v>
      </c>
      <c r="N1106" s="7">
        <v>0</v>
      </c>
      <c r="O1106">
        <v>0</v>
      </c>
      <c r="P1106" t="s">
        <v>17</v>
      </c>
      <c r="Q1106">
        <v>3</v>
      </c>
      <c r="R1106" s="8">
        <f>(Tabela2[[#This Row],[FAF_atividade_fisica_frequente_em_horas]]+ 0.1)</f>
        <v>0.1</v>
      </c>
      <c r="S1106" s="1">
        <f>(Tabela2[[#This Row],[TUE_tempo_uso_aparelhos_em_horas]]/Tabela2[[#This Row],[FAF_Var]])</f>
        <v>0</v>
      </c>
      <c r="T1106">
        <f>(Tabela2[[#This Row],[CAEC_lanche_entre_refeicoes]]*Tabela2[[#This Row],[FAVC_consumo_frequente_de_alimentos_mt_caloricos]])</f>
        <v>1</v>
      </c>
      <c r="U1106" s="1">
        <f>IF(OR(Tabela2[[#This Row],[MTRANS]]="Walking",Tabela2[[#This Row],[MTRANS]]="Bike"),Tabela2[[#This Row],[FAF_atividade_fisica_frequente_em_horas]]+1,M1106)</f>
        <v>0</v>
      </c>
      <c r="V1106">
        <f>(Tabela2[[#This Row],[SMOKE]]+Tabela2[[#This Row],[CALC_bebe_alcool_frequentemente]])</f>
        <v>0</v>
      </c>
      <c r="W1106" s="8">
        <f>(Tabela2[[#This Row],[Weight]]/(Tabela2[[#This Row],[Height]] ^2))</f>
        <v>27.254178604934648</v>
      </c>
    </row>
    <row r="1107" spans="1:23" x14ac:dyDescent="0.25">
      <c r="A1107" t="s">
        <v>15</v>
      </c>
      <c r="B1107" s="7">
        <v>22.675678999999999</v>
      </c>
      <c r="C1107" s="4">
        <v>1.8237650000000001</v>
      </c>
      <c r="D1107" s="7">
        <v>96.945262</v>
      </c>
      <c r="E1107">
        <v>1</v>
      </c>
      <c r="F1107">
        <v>1</v>
      </c>
      <c r="G1107" s="2">
        <v>1.5887819999999999</v>
      </c>
      <c r="H1107" s="2">
        <v>2.6016750000000002</v>
      </c>
      <c r="I1107">
        <v>1</v>
      </c>
      <c r="J1107">
        <v>0</v>
      </c>
      <c r="K1107" s="2">
        <v>2.4694690000000001</v>
      </c>
      <c r="L1107">
        <v>0</v>
      </c>
      <c r="M1107" s="7">
        <v>1.7365379999999999</v>
      </c>
      <c r="N1107" s="7">
        <v>1.8868549999999999</v>
      </c>
      <c r="O1107">
        <v>1</v>
      </c>
      <c r="P1107" t="s">
        <v>14</v>
      </c>
      <c r="Q1107">
        <v>3</v>
      </c>
      <c r="R1107" s="8">
        <f>(Tabela2[[#This Row],[FAF_atividade_fisica_frequente_em_horas]]+ 0.1)</f>
        <v>1.836538</v>
      </c>
      <c r="S1107" s="1">
        <f>(Tabela2[[#This Row],[TUE_tempo_uso_aparelhos_em_horas]]/Tabela2[[#This Row],[FAF_Var]])</f>
        <v>1.0273977451051926</v>
      </c>
      <c r="T1107">
        <f>(Tabela2[[#This Row],[CAEC_lanche_entre_refeicoes]]*Tabela2[[#This Row],[FAVC_consumo_frequente_de_alimentos_mt_caloricos]])</f>
        <v>1</v>
      </c>
      <c r="U1107" s="1">
        <f>IF(OR(Tabela2[[#This Row],[MTRANS]]="Walking",Tabela2[[#This Row],[MTRANS]]="Bike"),Tabela2[[#This Row],[FAF_atividade_fisica_frequente_em_horas]]+1,M1107)</f>
        <v>1.7365379999999999</v>
      </c>
      <c r="V1107">
        <f>(Tabela2[[#This Row],[SMOKE]]+Tabela2[[#This Row],[CALC_bebe_alcool_frequentemente]])</f>
        <v>1</v>
      </c>
      <c r="W1107" s="8">
        <f>(Tabela2[[#This Row],[Weight]]/(Tabela2[[#This Row],[Height]] ^2))</f>
        <v>29.146662687486856</v>
      </c>
    </row>
    <row r="1108" spans="1:23" x14ac:dyDescent="0.25">
      <c r="A1108" t="s">
        <v>15</v>
      </c>
      <c r="B1108" s="7">
        <v>33.049121</v>
      </c>
      <c r="C1108" s="4">
        <v>1.708742</v>
      </c>
      <c r="D1108" s="7">
        <v>83.001642000000004</v>
      </c>
      <c r="E1108">
        <v>1</v>
      </c>
      <c r="F1108">
        <v>1</v>
      </c>
      <c r="G1108" s="2">
        <v>2</v>
      </c>
      <c r="H1108" s="2">
        <v>1.171027</v>
      </c>
      <c r="I1108">
        <v>1</v>
      </c>
      <c r="J1108">
        <v>0</v>
      </c>
      <c r="K1108" s="2">
        <v>2.4051719999999999</v>
      </c>
      <c r="L1108">
        <v>0</v>
      </c>
      <c r="M1108" s="7">
        <v>2.3002820000000002</v>
      </c>
      <c r="N1108" s="7">
        <v>0</v>
      </c>
      <c r="O1108">
        <v>0</v>
      </c>
      <c r="P1108" t="s">
        <v>17</v>
      </c>
      <c r="Q1108">
        <v>3</v>
      </c>
      <c r="R1108" s="8">
        <f>(Tabela2[[#This Row],[FAF_atividade_fisica_frequente_em_horas]]+ 0.1)</f>
        <v>2.4002820000000002</v>
      </c>
      <c r="S1108" s="1">
        <f>(Tabela2[[#This Row],[TUE_tempo_uso_aparelhos_em_horas]]/Tabela2[[#This Row],[FAF_Var]])</f>
        <v>0</v>
      </c>
      <c r="T1108">
        <f>(Tabela2[[#This Row],[CAEC_lanche_entre_refeicoes]]*Tabela2[[#This Row],[FAVC_consumo_frequente_de_alimentos_mt_caloricos]])</f>
        <v>1</v>
      </c>
      <c r="U1108" s="1">
        <f>IF(OR(Tabela2[[#This Row],[MTRANS]]="Walking",Tabela2[[#This Row],[MTRANS]]="Bike"),Tabela2[[#This Row],[FAF_atividade_fisica_frequente_em_horas]]+1,M1108)</f>
        <v>2.3002820000000002</v>
      </c>
      <c r="V1108">
        <f>(Tabela2[[#This Row],[SMOKE]]+Tabela2[[#This Row],[CALC_bebe_alcool_frequentemente]])</f>
        <v>0</v>
      </c>
      <c r="W1108" s="8">
        <f>(Tabela2[[#This Row],[Weight]]/(Tabela2[[#This Row],[Height]] ^2))</f>
        <v>28.427174498359079</v>
      </c>
    </row>
    <row r="1109" spans="1:23" x14ac:dyDescent="0.25">
      <c r="A1109" t="s">
        <v>13</v>
      </c>
      <c r="B1109" s="7">
        <v>37.205173000000002</v>
      </c>
      <c r="C1109" s="4">
        <v>1.6674690000000001</v>
      </c>
      <c r="D1109" s="7">
        <v>80.993373000000005</v>
      </c>
      <c r="E1109">
        <v>1</v>
      </c>
      <c r="F1109">
        <v>1</v>
      </c>
      <c r="G1109" s="2">
        <v>2.0105400000000002</v>
      </c>
      <c r="H1109" s="2">
        <v>2.77684</v>
      </c>
      <c r="I1109">
        <v>1</v>
      </c>
      <c r="J1109">
        <v>0</v>
      </c>
      <c r="K1109" s="2">
        <v>1.651548</v>
      </c>
      <c r="L1109">
        <v>0</v>
      </c>
      <c r="M1109" s="7">
        <v>0</v>
      </c>
      <c r="N1109" s="7">
        <v>0.79096699999999998</v>
      </c>
      <c r="O1109">
        <v>0</v>
      </c>
      <c r="P1109" t="s">
        <v>17</v>
      </c>
      <c r="Q1109">
        <v>3</v>
      </c>
      <c r="R1109" s="8">
        <f>(Tabela2[[#This Row],[FAF_atividade_fisica_frequente_em_horas]]+ 0.1)</f>
        <v>0.1</v>
      </c>
      <c r="S1109" s="1">
        <f>(Tabela2[[#This Row],[TUE_tempo_uso_aparelhos_em_horas]]/Tabela2[[#This Row],[FAF_Var]])</f>
        <v>7.9096699999999993</v>
      </c>
      <c r="T1109">
        <f>(Tabela2[[#This Row],[CAEC_lanche_entre_refeicoes]]*Tabela2[[#This Row],[FAVC_consumo_frequente_de_alimentos_mt_caloricos]])</f>
        <v>1</v>
      </c>
      <c r="U1109" s="1">
        <f>IF(OR(Tabela2[[#This Row],[MTRANS]]="Walking",Tabela2[[#This Row],[MTRANS]]="Bike"),Tabela2[[#This Row],[FAF_atividade_fisica_frequente_em_horas]]+1,M1109)</f>
        <v>0</v>
      </c>
      <c r="V1109">
        <f>(Tabela2[[#This Row],[SMOKE]]+Tabela2[[#This Row],[CALC_bebe_alcool_frequentemente]])</f>
        <v>0</v>
      </c>
      <c r="W1109" s="8">
        <f>(Tabela2[[#This Row],[Weight]]/(Tabela2[[#This Row],[Height]] ^2))</f>
        <v>29.129561587445394</v>
      </c>
    </row>
    <row r="1110" spans="1:23" x14ac:dyDescent="0.25">
      <c r="A1110" t="s">
        <v>13</v>
      </c>
      <c r="B1110" s="7">
        <v>19.027417</v>
      </c>
      <c r="C1110" s="4">
        <v>1.588147</v>
      </c>
      <c r="D1110" s="7">
        <v>73.939267999999998</v>
      </c>
      <c r="E1110">
        <v>1</v>
      </c>
      <c r="F1110">
        <v>0</v>
      </c>
      <c r="G1110" s="2">
        <v>3</v>
      </c>
      <c r="H1110" s="2">
        <v>3.3627579999999999</v>
      </c>
      <c r="I1110">
        <v>1</v>
      </c>
      <c r="J1110">
        <v>0</v>
      </c>
      <c r="K1110" s="2">
        <v>2</v>
      </c>
      <c r="L1110">
        <v>0</v>
      </c>
      <c r="M1110" s="7">
        <v>2.892922</v>
      </c>
      <c r="N1110" s="7">
        <v>1</v>
      </c>
      <c r="O1110">
        <v>1</v>
      </c>
      <c r="P1110" t="s">
        <v>14</v>
      </c>
      <c r="Q1110">
        <v>3</v>
      </c>
      <c r="R1110" s="8">
        <f>(Tabela2[[#This Row],[FAF_atividade_fisica_frequente_em_horas]]+ 0.1)</f>
        <v>2.9929220000000001</v>
      </c>
      <c r="S1110" s="1">
        <f>(Tabela2[[#This Row],[TUE_tempo_uso_aparelhos_em_horas]]/Tabela2[[#This Row],[FAF_Var]])</f>
        <v>0.3341216376504299</v>
      </c>
      <c r="T1110">
        <f>(Tabela2[[#This Row],[CAEC_lanche_entre_refeicoes]]*Tabela2[[#This Row],[FAVC_consumo_frequente_de_alimentos_mt_caloricos]])</f>
        <v>0</v>
      </c>
      <c r="U1110" s="1">
        <f>IF(OR(Tabela2[[#This Row],[MTRANS]]="Walking",Tabela2[[#This Row],[MTRANS]]="Bike"),Tabela2[[#This Row],[FAF_atividade_fisica_frequente_em_horas]]+1,M1110)</f>
        <v>2.892922</v>
      </c>
      <c r="V1110">
        <f>(Tabela2[[#This Row],[SMOKE]]+Tabela2[[#This Row],[CALC_bebe_alcool_frequentemente]])</f>
        <v>1</v>
      </c>
      <c r="W1110" s="8">
        <f>(Tabela2[[#This Row],[Weight]]/(Tabela2[[#This Row],[Height]] ^2))</f>
        <v>29.315259952034076</v>
      </c>
    </row>
    <row r="1111" spans="1:23" x14ac:dyDescent="0.25">
      <c r="A1111" t="s">
        <v>15</v>
      </c>
      <c r="B1111" s="7">
        <v>37.492443999999999</v>
      </c>
      <c r="C1111" s="4">
        <v>1.835024</v>
      </c>
      <c r="D1111" s="7">
        <v>92.368358999999998</v>
      </c>
      <c r="E1111">
        <v>1</v>
      </c>
      <c r="F1111">
        <v>1</v>
      </c>
      <c r="G1111" s="2">
        <v>2</v>
      </c>
      <c r="H1111" s="2">
        <v>1.672706</v>
      </c>
      <c r="I1111">
        <v>1</v>
      </c>
      <c r="J1111">
        <v>0</v>
      </c>
      <c r="K1111" s="2">
        <v>2.7666740000000001</v>
      </c>
      <c r="L1111">
        <v>0</v>
      </c>
      <c r="M1111" s="7">
        <v>1</v>
      </c>
      <c r="N1111" s="7">
        <v>2.7092999999999999E-2</v>
      </c>
      <c r="O1111">
        <v>1</v>
      </c>
      <c r="P1111" t="s">
        <v>17</v>
      </c>
      <c r="Q1111">
        <v>3</v>
      </c>
      <c r="R1111" s="8">
        <f>(Tabela2[[#This Row],[FAF_atividade_fisica_frequente_em_horas]]+ 0.1)</f>
        <v>1.1000000000000001</v>
      </c>
      <c r="S1111" s="1">
        <f>(Tabela2[[#This Row],[TUE_tempo_uso_aparelhos_em_horas]]/Tabela2[[#This Row],[FAF_Var]])</f>
        <v>2.4629999999999996E-2</v>
      </c>
      <c r="T1111">
        <f>(Tabela2[[#This Row],[CAEC_lanche_entre_refeicoes]]*Tabela2[[#This Row],[FAVC_consumo_frequente_de_alimentos_mt_caloricos]])</f>
        <v>1</v>
      </c>
      <c r="U1111" s="1">
        <f>IF(OR(Tabela2[[#This Row],[MTRANS]]="Walking",Tabela2[[#This Row],[MTRANS]]="Bike"),Tabela2[[#This Row],[FAF_atividade_fisica_frequente_em_horas]]+1,M1111)</f>
        <v>1</v>
      </c>
      <c r="V1111">
        <f>(Tabela2[[#This Row],[SMOKE]]+Tabela2[[#This Row],[CALC_bebe_alcool_frequentemente]])</f>
        <v>1</v>
      </c>
      <c r="W1111" s="8">
        <f>(Tabela2[[#This Row],[Weight]]/(Tabela2[[#This Row],[Height]] ^2))</f>
        <v>27.430879395449566</v>
      </c>
    </row>
    <row r="1112" spans="1:23" x14ac:dyDescent="0.25">
      <c r="A1112" t="s">
        <v>15</v>
      </c>
      <c r="B1112" s="7">
        <v>24.657598</v>
      </c>
      <c r="C1112" s="4">
        <v>1.7088000000000001</v>
      </c>
      <c r="D1112" s="7">
        <v>83.520112999999995</v>
      </c>
      <c r="E1112">
        <v>1</v>
      </c>
      <c r="F1112">
        <v>1</v>
      </c>
      <c r="G1112" s="2">
        <v>2.6895769999999999</v>
      </c>
      <c r="H1112" s="2">
        <v>2.7141150000000001</v>
      </c>
      <c r="I1112">
        <v>1</v>
      </c>
      <c r="J1112">
        <v>0</v>
      </c>
      <c r="K1112" s="2">
        <v>2.2792140000000001</v>
      </c>
      <c r="L1112">
        <v>0</v>
      </c>
      <c r="M1112" s="7">
        <v>0.970661</v>
      </c>
      <c r="N1112" s="7">
        <v>0.82854899999999998</v>
      </c>
      <c r="O1112">
        <v>1</v>
      </c>
      <c r="P1112" t="s">
        <v>14</v>
      </c>
      <c r="Q1112">
        <v>3</v>
      </c>
      <c r="R1112" s="8">
        <f>(Tabela2[[#This Row],[FAF_atividade_fisica_frequente_em_horas]]+ 0.1)</f>
        <v>1.0706610000000001</v>
      </c>
      <c r="S1112" s="1">
        <f>(Tabela2[[#This Row],[TUE_tempo_uso_aparelhos_em_horas]]/Tabela2[[#This Row],[FAF_Var]])</f>
        <v>0.77386679817421189</v>
      </c>
      <c r="T1112">
        <f>(Tabela2[[#This Row],[CAEC_lanche_entre_refeicoes]]*Tabela2[[#This Row],[FAVC_consumo_frequente_de_alimentos_mt_caloricos]])</f>
        <v>1</v>
      </c>
      <c r="U1112" s="1">
        <f>IF(OR(Tabela2[[#This Row],[MTRANS]]="Walking",Tabela2[[#This Row],[MTRANS]]="Bike"),Tabela2[[#This Row],[FAF_atividade_fisica_frequente_em_horas]]+1,M1112)</f>
        <v>0.970661</v>
      </c>
      <c r="V1112">
        <f>(Tabela2[[#This Row],[SMOKE]]+Tabela2[[#This Row],[CALC_bebe_alcool_frequentemente]])</f>
        <v>1</v>
      </c>
      <c r="W1112" s="8">
        <f>(Tabela2[[#This Row],[Weight]]/(Tabela2[[#This Row],[Height]] ^2))</f>
        <v>28.602803501087994</v>
      </c>
    </row>
    <row r="1113" spans="1:23" x14ac:dyDescent="0.25">
      <c r="A1113" t="s">
        <v>15</v>
      </c>
      <c r="B1113" s="7">
        <v>18.011717999999998</v>
      </c>
      <c r="C1113" s="4">
        <v>1.6809909999999999</v>
      </c>
      <c r="D1113" s="7">
        <v>79.752915999999999</v>
      </c>
      <c r="E1113">
        <v>1</v>
      </c>
      <c r="F1113">
        <v>1</v>
      </c>
      <c r="G1113" s="2">
        <v>2.4131559999999999</v>
      </c>
      <c r="H1113" s="2">
        <v>2.5215459999999998</v>
      </c>
      <c r="I1113">
        <v>1</v>
      </c>
      <c r="J1113">
        <v>0</v>
      </c>
      <c r="K1113" s="2">
        <v>1.985312</v>
      </c>
      <c r="L1113">
        <v>0</v>
      </c>
      <c r="M1113" s="7">
        <v>7.0499999999999998E-3</v>
      </c>
      <c r="N1113" s="7">
        <v>0.96546399999999999</v>
      </c>
      <c r="O1113">
        <v>1</v>
      </c>
      <c r="P1113" t="s">
        <v>14</v>
      </c>
      <c r="Q1113">
        <v>3</v>
      </c>
      <c r="R1113" s="8">
        <f>(Tabela2[[#This Row],[FAF_atividade_fisica_frequente_em_horas]]+ 0.1)</f>
        <v>0.10705000000000001</v>
      </c>
      <c r="S1113" s="1">
        <f>(Tabela2[[#This Row],[TUE_tempo_uso_aparelhos_em_horas]]/Tabela2[[#This Row],[FAF_Var]])</f>
        <v>9.0188136384866873</v>
      </c>
      <c r="T1113">
        <f>(Tabela2[[#This Row],[CAEC_lanche_entre_refeicoes]]*Tabela2[[#This Row],[FAVC_consumo_frequente_de_alimentos_mt_caloricos]])</f>
        <v>1</v>
      </c>
      <c r="U1113" s="1">
        <f>IF(OR(Tabela2[[#This Row],[MTRANS]]="Walking",Tabela2[[#This Row],[MTRANS]]="Bike"),Tabela2[[#This Row],[FAF_atividade_fisica_frequente_em_horas]]+1,M1113)</f>
        <v>7.0499999999999998E-3</v>
      </c>
      <c r="V1113">
        <f>(Tabela2[[#This Row],[SMOKE]]+Tabela2[[#This Row],[CALC_bebe_alcool_frequentemente]])</f>
        <v>1</v>
      </c>
      <c r="W1113" s="8">
        <f>(Tabela2[[#This Row],[Weight]]/(Tabela2[[#This Row],[Height]] ^2))</f>
        <v>28.223820059113713</v>
      </c>
    </row>
    <row r="1114" spans="1:23" x14ac:dyDescent="0.25">
      <c r="A1114" t="s">
        <v>15</v>
      </c>
      <c r="B1114" s="7">
        <v>27.349744999999999</v>
      </c>
      <c r="C1114" s="4">
        <v>1.8352710000000001</v>
      </c>
      <c r="D1114" s="7">
        <v>97.588260000000005</v>
      </c>
      <c r="E1114">
        <v>1</v>
      </c>
      <c r="F1114">
        <v>1</v>
      </c>
      <c r="G1114" s="2">
        <v>2.9234330000000002</v>
      </c>
      <c r="H1114" s="2">
        <v>1.338033</v>
      </c>
      <c r="I1114">
        <v>1</v>
      </c>
      <c r="J1114">
        <v>0</v>
      </c>
      <c r="K1114" s="2">
        <v>1.9440949999999999</v>
      </c>
      <c r="L1114">
        <v>0</v>
      </c>
      <c r="M1114" s="7">
        <v>1.931829</v>
      </c>
      <c r="N1114" s="7">
        <v>1</v>
      </c>
      <c r="O1114">
        <v>1</v>
      </c>
      <c r="P1114" t="s">
        <v>14</v>
      </c>
      <c r="Q1114">
        <v>3</v>
      </c>
      <c r="R1114" s="8">
        <f>(Tabela2[[#This Row],[FAF_atividade_fisica_frequente_em_horas]]+ 0.1)</f>
        <v>2.0318290000000001</v>
      </c>
      <c r="S1114" s="1">
        <f>(Tabela2[[#This Row],[TUE_tempo_uso_aparelhos_em_horas]]/Tabela2[[#This Row],[FAF_Var]])</f>
        <v>0.49216740188273717</v>
      </c>
      <c r="T1114">
        <f>(Tabela2[[#This Row],[CAEC_lanche_entre_refeicoes]]*Tabela2[[#This Row],[FAVC_consumo_frequente_de_alimentos_mt_caloricos]])</f>
        <v>1</v>
      </c>
      <c r="U1114" s="1">
        <f>IF(OR(Tabela2[[#This Row],[MTRANS]]="Walking",Tabela2[[#This Row],[MTRANS]]="Bike"),Tabela2[[#This Row],[FAF_atividade_fisica_frequente_em_horas]]+1,M1114)</f>
        <v>1.931829</v>
      </c>
      <c r="V1114">
        <f>(Tabela2[[#This Row],[SMOKE]]+Tabela2[[#This Row],[CALC_bebe_alcool_frequentemente]])</f>
        <v>1</v>
      </c>
      <c r="W1114" s="8">
        <f>(Tabela2[[#This Row],[Weight]]/(Tabela2[[#This Row],[Height]] ^2))</f>
        <v>28.973247095104242</v>
      </c>
    </row>
    <row r="1115" spans="1:23" x14ac:dyDescent="0.25">
      <c r="A1115" t="s">
        <v>15</v>
      </c>
      <c r="B1115" s="7">
        <v>18</v>
      </c>
      <c r="C1115" s="4">
        <v>1.7428189999999999</v>
      </c>
      <c r="D1115" s="7">
        <v>86.565147999999994</v>
      </c>
      <c r="E1115">
        <v>1</v>
      </c>
      <c r="F1115">
        <v>1</v>
      </c>
      <c r="G1115" s="2">
        <v>3</v>
      </c>
      <c r="H1115" s="2">
        <v>3</v>
      </c>
      <c r="I1115">
        <v>1</v>
      </c>
      <c r="J1115">
        <v>0</v>
      </c>
      <c r="K1115" s="2">
        <v>2</v>
      </c>
      <c r="L1115">
        <v>0</v>
      </c>
      <c r="M1115" s="7">
        <v>2.040816</v>
      </c>
      <c r="N1115" s="7">
        <v>0.860321</v>
      </c>
      <c r="O1115">
        <v>1</v>
      </c>
      <c r="P1115" t="s">
        <v>14</v>
      </c>
      <c r="Q1115">
        <v>3</v>
      </c>
      <c r="R1115" s="8">
        <f>(Tabela2[[#This Row],[FAF_atividade_fisica_frequente_em_horas]]+ 0.1)</f>
        <v>2.1408160000000001</v>
      </c>
      <c r="S1115" s="1">
        <f>(Tabela2[[#This Row],[TUE_tempo_uso_aparelhos_em_horas]]/Tabela2[[#This Row],[FAF_Var]])</f>
        <v>0.40186592402149462</v>
      </c>
      <c r="T1115">
        <f>(Tabela2[[#This Row],[CAEC_lanche_entre_refeicoes]]*Tabela2[[#This Row],[FAVC_consumo_frequente_de_alimentos_mt_caloricos]])</f>
        <v>1</v>
      </c>
      <c r="U1115" s="1">
        <f>IF(OR(Tabela2[[#This Row],[MTRANS]]="Walking",Tabela2[[#This Row],[MTRANS]]="Bike"),Tabela2[[#This Row],[FAF_atividade_fisica_frequente_em_horas]]+1,M1115)</f>
        <v>2.040816</v>
      </c>
      <c r="V1115">
        <f>(Tabela2[[#This Row],[SMOKE]]+Tabela2[[#This Row],[CALC_bebe_alcool_frequentemente]])</f>
        <v>1</v>
      </c>
      <c r="W1115" s="8">
        <f>(Tabela2[[#This Row],[Weight]]/(Tabela2[[#This Row],[Height]] ^2))</f>
        <v>28.49958290144437</v>
      </c>
    </row>
    <row r="1116" spans="1:23" x14ac:dyDescent="0.25">
      <c r="A1116" t="s">
        <v>15</v>
      </c>
      <c r="B1116" s="7">
        <v>33.009284999999998</v>
      </c>
      <c r="C1116" s="4">
        <v>1.7411920000000001</v>
      </c>
      <c r="D1116" s="7">
        <v>84.773348999999996</v>
      </c>
      <c r="E1116">
        <v>1</v>
      </c>
      <c r="F1116">
        <v>1</v>
      </c>
      <c r="G1116" s="2">
        <v>2</v>
      </c>
      <c r="H1116" s="2">
        <v>3</v>
      </c>
      <c r="I1116">
        <v>1</v>
      </c>
      <c r="J1116">
        <v>0</v>
      </c>
      <c r="K1116" s="2">
        <v>2.0359539999999998</v>
      </c>
      <c r="L1116">
        <v>0</v>
      </c>
      <c r="M1116" s="7">
        <v>1.210736</v>
      </c>
      <c r="N1116" s="7">
        <v>0</v>
      </c>
      <c r="O1116">
        <v>0</v>
      </c>
      <c r="P1116" t="s">
        <v>17</v>
      </c>
      <c r="Q1116">
        <v>3</v>
      </c>
      <c r="R1116" s="8">
        <f>(Tabela2[[#This Row],[FAF_atividade_fisica_frequente_em_horas]]+ 0.1)</f>
        <v>1.3107360000000001</v>
      </c>
      <c r="S1116" s="1">
        <f>(Tabela2[[#This Row],[TUE_tempo_uso_aparelhos_em_horas]]/Tabela2[[#This Row],[FAF_Var]])</f>
        <v>0</v>
      </c>
      <c r="T1116">
        <f>(Tabela2[[#This Row],[CAEC_lanche_entre_refeicoes]]*Tabela2[[#This Row],[FAVC_consumo_frequente_de_alimentos_mt_caloricos]])</f>
        <v>1</v>
      </c>
      <c r="U1116" s="1">
        <f>IF(OR(Tabela2[[#This Row],[MTRANS]]="Walking",Tabela2[[#This Row],[MTRANS]]="Bike"),Tabela2[[#This Row],[FAF_atividade_fisica_frequente_em_horas]]+1,M1116)</f>
        <v>1.210736</v>
      </c>
      <c r="V1116">
        <f>(Tabela2[[#This Row],[SMOKE]]+Tabela2[[#This Row],[CALC_bebe_alcool_frequentemente]])</f>
        <v>0</v>
      </c>
      <c r="W1116" s="8">
        <f>(Tabela2[[#This Row],[Weight]]/(Tabela2[[#This Row],[Height]] ^2))</f>
        <v>27.961857250703719</v>
      </c>
    </row>
    <row r="1117" spans="1:23" x14ac:dyDescent="0.25">
      <c r="A1117" t="s">
        <v>15</v>
      </c>
      <c r="B1117" s="7">
        <v>18</v>
      </c>
      <c r="C1117" s="4">
        <v>1.7597210000000001</v>
      </c>
      <c r="D1117" s="7">
        <v>86.080500000000001</v>
      </c>
      <c r="E1117">
        <v>1</v>
      </c>
      <c r="F1117">
        <v>1</v>
      </c>
      <c r="G1117" s="2">
        <v>2.8825219999999998</v>
      </c>
      <c r="H1117" s="2">
        <v>3</v>
      </c>
      <c r="I1117">
        <v>1</v>
      </c>
      <c r="J1117">
        <v>0</v>
      </c>
      <c r="K1117" s="2">
        <v>2.4529860000000001</v>
      </c>
      <c r="L1117">
        <v>0</v>
      </c>
      <c r="M1117" s="7">
        <v>1</v>
      </c>
      <c r="N1117" s="7">
        <v>0.74665099999999995</v>
      </c>
      <c r="O1117">
        <v>1</v>
      </c>
      <c r="P1117" t="s">
        <v>14</v>
      </c>
      <c r="Q1117">
        <v>3</v>
      </c>
      <c r="R1117" s="8">
        <f>(Tabela2[[#This Row],[FAF_atividade_fisica_frequente_em_horas]]+ 0.1)</f>
        <v>1.1000000000000001</v>
      </c>
      <c r="S1117" s="1">
        <f>(Tabela2[[#This Row],[TUE_tempo_uso_aparelhos_em_horas]]/Tabela2[[#This Row],[FAF_Var]])</f>
        <v>0.6787736363636363</v>
      </c>
      <c r="T1117">
        <f>(Tabela2[[#This Row],[CAEC_lanche_entre_refeicoes]]*Tabela2[[#This Row],[FAVC_consumo_frequente_de_alimentos_mt_caloricos]])</f>
        <v>1</v>
      </c>
      <c r="U1117" s="1">
        <f>IF(OR(Tabela2[[#This Row],[MTRANS]]="Walking",Tabela2[[#This Row],[MTRANS]]="Bike"),Tabela2[[#This Row],[FAF_atividade_fisica_frequente_em_horas]]+1,M1117)</f>
        <v>1</v>
      </c>
      <c r="V1117">
        <f>(Tabela2[[#This Row],[SMOKE]]+Tabela2[[#This Row],[CALC_bebe_alcool_frequentemente]])</f>
        <v>1</v>
      </c>
      <c r="W1117" s="8">
        <f>(Tabela2[[#This Row],[Weight]]/(Tabela2[[#This Row],[Height]] ^2))</f>
        <v>27.79823021761689</v>
      </c>
    </row>
    <row r="1118" spans="1:23" x14ac:dyDescent="0.25">
      <c r="A1118" t="s">
        <v>15</v>
      </c>
      <c r="B1118" s="7">
        <v>30.079370999999998</v>
      </c>
      <c r="C1118" s="4">
        <v>1.810616</v>
      </c>
      <c r="D1118" s="7">
        <v>92.860253999999998</v>
      </c>
      <c r="E1118">
        <v>1</v>
      </c>
      <c r="F1118">
        <v>1</v>
      </c>
      <c r="G1118" s="2">
        <v>2</v>
      </c>
      <c r="H1118" s="2">
        <v>3</v>
      </c>
      <c r="I1118">
        <v>1</v>
      </c>
      <c r="J1118">
        <v>0</v>
      </c>
      <c r="K1118" s="2">
        <v>1.622638</v>
      </c>
      <c r="L1118">
        <v>0</v>
      </c>
      <c r="M1118" s="7">
        <v>3.3744999999999997E-2</v>
      </c>
      <c r="N1118" s="7">
        <v>0.105895</v>
      </c>
      <c r="O1118">
        <v>1</v>
      </c>
      <c r="P1118" t="s">
        <v>14</v>
      </c>
      <c r="Q1118">
        <v>3</v>
      </c>
      <c r="R1118" s="8">
        <f>(Tabela2[[#This Row],[FAF_atividade_fisica_frequente_em_horas]]+ 0.1)</f>
        <v>0.133745</v>
      </c>
      <c r="S1118" s="1">
        <f>(Tabela2[[#This Row],[TUE_tempo_uso_aparelhos_em_horas]]/Tabela2[[#This Row],[FAF_Var]])</f>
        <v>0.79176791655762835</v>
      </c>
      <c r="T1118">
        <f>(Tabela2[[#This Row],[CAEC_lanche_entre_refeicoes]]*Tabela2[[#This Row],[FAVC_consumo_frequente_de_alimentos_mt_caloricos]])</f>
        <v>1</v>
      </c>
      <c r="U1118" s="1">
        <f>IF(OR(Tabela2[[#This Row],[MTRANS]]="Walking",Tabela2[[#This Row],[MTRANS]]="Bike"),Tabela2[[#This Row],[FAF_atividade_fisica_frequente_em_horas]]+1,M1118)</f>
        <v>3.3744999999999997E-2</v>
      </c>
      <c r="V1118">
        <f>(Tabela2[[#This Row],[SMOKE]]+Tabela2[[#This Row],[CALC_bebe_alcool_frequentemente]])</f>
        <v>1</v>
      </c>
      <c r="W1118" s="8">
        <f>(Tabela2[[#This Row],[Weight]]/(Tabela2[[#This Row],[Height]] ^2))</f>
        <v>28.325472273312137</v>
      </c>
    </row>
    <row r="1119" spans="1:23" x14ac:dyDescent="0.25">
      <c r="A1119" t="s">
        <v>15</v>
      </c>
      <c r="B1119" s="7">
        <v>25.035914999999999</v>
      </c>
      <c r="C1119" s="4">
        <v>1.763101</v>
      </c>
      <c r="D1119" s="7">
        <v>88.532032000000001</v>
      </c>
      <c r="E1119">
        <v>1</v>
      </c>
      <c r="F1119">
        <v>1</v>
      </c>
      <c r="G1119" s="2">
        <v>1.9734989999999999</v>
      </c>
      <c r="H1119" s="2">
        <v>1.0818049999999999</v>
      </c>
      <c r="I1119">
        <v>1</v>
      </c>
      <c r="J1119">
        <v>0</v>
      </c>
      <c r="K1119" s="2">
        <v>2</v>
      </c>
      <c r="L1119">
        <v>0</v>
      </c>
      <c r="M1119" s="7">
        <v>0</v>
      </c>
      <c r="N1119" s="7">
        <v>0.46402199999999999</v>
      </c>
      <c r="O1119">
        <v>1</v>
      </c>
      <c r="P1119" t="s">
        <v>14</v>
      </c>
      <c r="Q1119">
        <v>3</v>
      </c>
      <c r="R1119" s="8">
        <f>(Tabela2[[#This Row],[FAF_atividade_fisica_frequente_em_horas]]+ 0.1)</f>
        <v>0.1</v>
      </c>
      <c r="S1119" s="1">
        <f>(Tabela2[[#This Row],[TUE_tempo_uso_aparelhos_em_horas]]/Tabela2[[#This Row],[FAF_Var]])</f>
        <v>4.6402199999999993</v>
      </c>
      <c r="T1119">
        <f>(Tabela2[[#This Row],[CAEC_lanche_entre_refeicoes]]*Tabela2[[#This Row],[FAVC_consumo_frequente_de_alimentos_mt_caloricos]])</f>
        <v>1</v>
      </c>
      <c r="U1119" s="1">
        <f>IF(OR(Tabela2[[#This Row],[MTRANS]]="Walking",Tabela2[[#This Row],[MTRANS]]="Bike"),Tabela2[[#This Row],[FAF_atividade_fisica_frequente_em_horas]]+1,M1119)</f>
        <v>0</v>
      </c>
      <c r="V1119">
        <f>(Tabela2[[#This Row],[SMOKE]]+Tabela2[[#This Row],[CALC_bebe_alcool_frequentemente]])</f>
        <v>1</v>
      </c>
      <c r="W1119" s="8">
        <f>(Tabela2[[#This Row],[Weight]]/(Tabela2[[#This Row],[Height]] ^2))</f>
        <v>28.480397655139129</v>
      </c>
    </row>
    <row r="1120" spans="1:23" x14ac:dyDescent="0.25">
      <c r="A1120" t="s">
        <v>13</v>
      </c>
      <c r="B1120" s="7">
        <v>18.198322000000001</v>
      </c>
      <c r="C1120" s="4">
        <v>1.5433380000000001</v>
      </c>
      <c r="D1120" s="7">
        <v>71.799982</v>
      </c>
      <c r="E1120">
        <v>1</v>
      </c>
      <c r="F1120">
        <v>0</v>
      </c>
      <c r="G1120" s="2">
        <v>3</v>
      </c>
      <c r="H1120" s="2">
        <v>3.0871189999999999</v>
      </c>
      <c r="I1120">
        <v>1</v>
      </c>
      <c r="J1120">
        <v>0</v>
      </c>
      <c r="K1120" s="2">
        <v>2</v>
      </c>
      <c r="L1120">
        <v>0</v>
      </c>
      <c r="M1120" s="7">
        <v>1.403872</v>
      </c>
      <c r="N1120" s="7">
        <v>1</v>
      </c>
      <c r="O1120">
        <v>0</v>
      </c>
      <c r="P1120" t="s">
        <v>14</v>
      </c>
      <c r="Q1120">
        <v>3</v>
      </c>
      <c r="R1120" s="8">
        <f>(Tabela2[[#This Row],[FAF_atividade_fisica_frequente_em_horas]]+ 0.1)</f>
        <v>1.5038720000000001</v>
      </c>
      <c r="S1120" s="1">
        <f>(Tabela2[[#This Row],[TUE_tempo_uso_aparelhos_em_horas]]/Tabela2[[#This Row],[FAF_Var]])</f>
        <v>0.66495020852838538</v>
      </c>
      <c r="T1120">
        <f>(Tabela2[[#This Row],[CAEC_lanche_entre_refeicoes]]*Tabela2[[#This Row],[FAVC_consumo_frequente_de_alimentos_mt_caloricos]])</f>
        <v>0</v>
      </c>
      <c r="U1120" s="1">
        <f>IF(OR(Tabela2[[#This Row],[MTRANS]]="Walking",Tabela2[[#This Row],[MTRANS]]="Bike"),Tabela2[[#This Row],[FAF_atividade_fisica_frequente_em_horas]]+1,M1120)</f>
        <v>1.403872</v>
      </c>
      <c r="V1120">
        <f>(Tabela2[[#This Row],[SMOKE]]+Tabela2[[#This Row],[CALC_bebe_alcool_frequentemente]])</f>
        <v>0</v>
      </c>
      <c r="W1120" s="8">
        <f>(Tabela2[[#This Row],[Weight]]/(Tabela2[[#This Row],[Height]] ^2))</f>
        <v>30.144094067413512</v>
      </c>
    </row>
    <row r="1121" spans="1:23" x14ac:dyDescent="0.25">
      <c r="A1121" t="s">
        <v>13</v>
      </c>
      <c r="B1121" s="7">
        <v>35.456325999999997</v>
      </c>
      <c r="C1121" s="4">
        <v>1.6518120000000001</v>
      </c>
      <c r="D1121" s="7">
        <v>79.437921000000003</v>
      </c>
      <c r="E1121">
        <v>1</v>
      </c>
      <c r="F1121">
        <v>1</v>
      </c>
      <c r="G1121" s="2">
        <v>2.1560649999999999</v>
      </c>
      <c r="H1121" s="2">
        <v>2.9091170000000002</v>
      </c>
      <c r="I1121">
        <v>1</v>
      </c>
      <c r="J1121">
        <v>0</v>
      </c>
      <c r="K1121" s="2">
        <v>1.2212810000000001</v>
      </c>
      <c r="L1121">
        <v>0</v>
      </c>
      <c r="M1121" s="7">
        <v>0.50327900000000003</v>
      </c>
      <c r="N1121" s="7">
        <v>1.796136</v>
      </c>
      <c r="O1121">
        <v>0</v>
      </c>
      <c r="P1121" t="s">
        <v>17</v>
      </c>
      <c r="Q1121">
        <v>3</v>
      </c>
      <c r="R1121" s="8">
        <f>(Tabela2[[#This Row],[FAF_atividade_fisica_frequente_em_horas]]+ 0.1)</f>
        <v>0.60327900000000001</v>
      </c>
      <c r="S1121" s="1">
        <f>(Tabela2[[#This Row],[TUE_tempo_uso_aparelhos_em_horas]]/Tabela2[[#This Row],[FAF_Var]])</f>
        <v>2.9772891149865983</v>
      </c>
      <c r="T1121">
        <f>(Tabela2[[#This Row],[CAEC_lanche_entre_refeicoes]]*Tabela2[[#This Row],[FAVC_consumo_frequente_de_alimentos_mt_caloricos]])</f>
        <v>1</v>
      </c>
      <c r="U1121" s="1">
        <f>IF(OR(Tabela2[[#This Row],[MTRANS]]="Walking",Tabela2[[#This Row],[MTRANS]]="Bike"),Tabela2[[#This Row],[FAF_atividade_fisica_frequente_em_horas]]+1,M1121)</f>
        <v>0.50327900000000003</v>
      </c>
      <c r="V1121">
        <f>(Tabela2[[#This Row],[SMOKE]]+Tabela2[[#This Row],[CALC_bebe_alcool_frequentemente]])</f>
        <v>0</v>
      </c>
      <c r="W1121" s="8">
        <f>(Tabela2[[#This Row],[Weight]]/(Tabela2[[#This Row],[Height]] ^2))</f>
        <v>29.114318981045507</v>
      </c>
    </row>
    <row r="1122" spans="1:23" x14ac:dyDescent="0.25">
      <c r="A1122" t="s">
        <v>15</v>
      </c>
      <c r="B1122" s="7">
        <v>23.806788999999998</v>
      </c>
      <c r="C1122" s="4">
        <v>1.7324919999999999</v>
      </c>
      <c r="D1122" s="7">
        <v>84.557796999999994</v>
      </c>
      <c r="E1122">
        <v>1</v>
      </c>
      <c r="F1122">
        <v>1</v>
      </c>
      <c r="G1122" s="2">
        <v>2.9922049999999998</v>
      </c>
      <c r="H1122" s="2">
        <v>3</v>
      </c>
      <c r="I1122">
        <v>1</v>
      </c>
      <c r="J1122">
        <v>0</v>
      </c>
      <c r="K1122" s="2">
        <v>2.4138130000000002</v>
      </c>
      <c r="L1122">
        <v>0</v>
      </c>
      <c r="M1122" s="7">
        <v>0.45823700000000001</v>
      </c>
      <c r="N1122" s="7">
        <v>0.68829300000000004</v>
      </c>
      <c r="O1122">
        <v>1</v>
      </c>
      <c r="P1122" t="s">
        <v>14</v>
      </c>
      <c r="Q1122">
        <v>3</v>
      </c>
      <c r="R1122" s="8">
        <f>(Tabela2[[#This Row],[FAF_atividade_fisica_frequente_em_horas]]+ 0.1)</f>
        <v>0.55823699999999998</v>
      </c>
      <c r="S1122" s="1">
        <f>(Tabela2[[#This Row],[TUE_tempo_uso_aparelhos_em_horas]]/Tabela2[[#This Row],[FAF_Var]])</f>
        <v>1.2329763165107295</v>
      </c>
      <c r="T1122">
        <f>(Tabela2[[#This Row],[CAEC_lanche_entre_refeicoes]]*Tabela2[[#This Row],[FAVC_consumo_frequente_de_alimentos_mt_caloricos]])</f>
        <v>1</v>
      </c>
      <c r="U1122" s="1">
        <f>IF(OR(Tabela2[[#This Row],[MTRANS]]="Walking",Tabela2[[#This Row],[MTRANS]]="Bike"),Tabela2[[#This Row],[FAF_atividade_fisica_frequente_em_horas]]+1,M1122)</f>
        <v>0.45823700000000001</v>
      </c>
      <c r="V1122">
        <f>(Tabela2[[#This Row],[SMOKE]]+Tabela2[[#This Row],[CALC_bebe_alcool_frequentemente]])</f>
        <v>1</v>
      </c>
      <c r="W1122" s="8">
        <f>(Tabela2[[#This Row],[Weight]]/(Tabela2[[#This Row],[Height]] ^2))</f>
        <v>28.171578631703699</v>
      </c>
    </row>
    <row r="1123" spans="1:23" x14ac:dyDescent="0.25">
      <c r="A1123" t="s">
        <v>13</v>
      </c>
      <c r="B1123" s="7">
        <v>39.392569000000002</v>
      </c>
      <c r="C1123" s="4">
        <v>1.7063489999999999</v>
      </c>
      <c r="D1123" s="7">
        <v>85.720787999999999</v>
      </c>
      <c r="E1123">
        <v>1</v>
      </c>
      <c r="F1123">
        <v>1</v>
      </c>
      <c r="G1123" s="2">
        <v>2.9442870000000001</v>
      </c>
      <c r="H1123" s="2">
        <v>1.4663930000000001</v>
      </c>
      <c r="I1123">
        <v>1</v>
      </c>
      <c r="J1123">
        <v>0</v>
      </c>
      <c r="K1123" s="2">
        <v>2.4427750000000001</v>
      </c>
      <c r="L1123">
        <v>0</v>
      </c>
      <c r="M1123" s="7">
        <v>0.67526200000000003</v>
      </c>
      <c r="N1123" s="7">
        <v>0.77933399999999997</v>
      </c>
      <c r="O1123">
        <v>0</v>
      </c>
      <c r="P1123" t="s">
        <v>17</v>
      </c>
      <c r="Q1123">
        <v>3</v>
      </c>
      <c r="R1123" s="8">
        <f>(Tabela2[[#This Row],[FAF_atividade_fisica_frequente_em_horas]]+ 0.1)</f>
        <v>0.77526200000000001</v>
      </c>
      <c r="S1123" s="1">
        <f>(Tabela2[[#This Row],[TUE_tempo_uso_aparelhos_em_horas]]/Tabela2[[#This Row],[FAF_Var]])</f>
        <v>1.0052524178922737</v>
      </c>
      <c r="T1123">
        <f>(Tabela2[[#This Row],[CAEC_lanche_entre_refeicoes]]*Tabela2[[#This Row],[FAVC_consumo_frequente_de_alimentos_mt_caloricos]])</f>
        <v>1</v>
      </c>
      <c r="U1123" s="1">
        <f>IF(OR(Tabela2[[#This Row],[MTRANS]]="Walking",Tabela2[[#This Row],[MTRANS]]="Bike"),Tabela2[[#This Row],[FAF_atividade_fisica_frequente_em_horas]]+1,M1123)</f>
        <v>0.67526200000000003</v>
      </c>
      <c r="V1123">
        <f>(Tabela2[[#This Row],[SMOKE]]+Tabela2[[#This Row],[CALC_bebe_alcool_frequentemente]])</f>
        <v>0</v>
      </c>
      <c r="W1123" s="8">
        <f>(Tabela2[[#This Row],[Weight]]/(Tabela2[[#This Row],[Height]] ^2))</f>
        <v>29.440855801768485</v>
      </c>
    </row>
    <row r="1124" spans="1:23" x14ac:dyDescent="0.25">
      <c r="A1124" t="s">
        <v>15</v>
      </c>
      <c r="B1124" s="7">
        <v>21.384259</v>
      </c>
      <c r="C1124" s="4">
        <v>1.7806789999999999</v>
      </c>
      <c r="D1124" s="7">
        <v>89.667406</v>
      </c>
      <c r="E1124">
        <v>1</v>
      </c>
      <c r="F1124">
        <v>1</v>
      </c>
      <c r="G1124" s="2">
        <v>1.7807459999999999</v>
      </c>
      <c r="H1124" s="2">
        <v>1.4710529999999999</v>
      </c>
      <c r="I1124">
        <v>1</v>
      </c>
      <c r="J1124">
        <v>0</v>
      </c>
      <c r="K1124" s="2">
        <v>2</v>
      </c>
      <c r="L1124">
        <v>0</v>
      </c>
      <c r="M1124" s="7">
        <v>0.46756199999999998</v>
      </c>
      <c r="N1124" s="7">
        <v>0.56866799999999995</v>
      </c>
      <c r="O1124">
        <v>1</v>
      </c>
      <c r="P1124" t="s">
        <v>14</v>
      </c>
      <c r="Q1124">
        <v>3</v>
      </c>
      <c r="R1124" s="8">
        <f>(Tabela2[[#This Row],[FAF_atividade_fisica_frequente_em_horas]]+ 0.1)</f>
        <v>0.56756200000000001</v>
      </c>
      <c r="S1124" s="1">
        <f>(Tabela2[[#This Row],[TUE_tempo_uso_aparelhos_em_horas]]/Tabela2[[#This Row],[FAF_Var]])</f>
        <v>1.0019486857823461</v>
      </c>
      <c r="T1124">
        <f>(Tabela2[[#This Row],[CAEC_lanche_entre_refeicoes]]*Tabela2[[#This Row],[FAVC_consumo_frequente_de_alimentos_mt_caloricos]])</f>
        <v>1</v>
      </c>
      <c r="U1124" s="1">
        <f>IF(OR(Tabela2[[#This Row],[MTRANS]]="Walking",Tabela2[[#This Row],[MTRANS]]="Bike"),Tabela2[[#This Row],[FAF_atividade_fisica_frequente_em_horas]]+1,M1124)</f>
        <v>0.46756199999999998</v>
      </c>
      <c r="V1124">
        <f>(Tabela2[[#This Row],[SMOKE]]+Tabela2[[#This Row],[CALC_bebe_alcool_frequentemente]])</f>
        <v>1</v>
      </c>
      <c r="W1124" s="8">
        <f>(Tabela2[[#This Row],[Weight]]/(Tabela2[[#This Row],[Height]] ^2))</f>
        <v>28.278953397592559</v>
      </c>
    </row>
    <row r="1125" spans="1:23" x14ac:dyDescent="0.25">
      <c r="A1125" t="s">
        <v>15</v>
      </c>
      <c r="B1125" s="7">
        <v>22.730414</v>
      </c>
      <c r="C1125" s="4">
        <v>1.7586869999999999</v>
      </c>
      <c r="D1125" s="7">
        <v>89.673648</v>
      </c>
      <c r="E1125">
        <v>1</v>
      </c>
      <c r="F1125">
        <v>1</v>
      </c>
      <c r="G1125" s="2">
        <v>2.1640619999999999</v>
      </c>
      <c r="H1125" s="2">
        <v>2.9832010000000002</v>
      </c>
      <c r="I1125">
        <v>1</v>
      </c>
      <c r="J1125">
        <v>0</v>
      </c>
      <c r="K1125" s="2">
        <v>2.1689039999999999</v>
      </c>
      <c r="L1125">
        <v>0</v>
      </c>
      <c r="M1125" s="7">
        <v>0.75292599999999998</v>
      </c>
      <c r="N1125" s="7">
        <v>0</v>
      </c>
      <c r="O1125">
        <v>1</v>
      </c>
      <c r="P1125" t="s">
        <v>14</v>
      </c>
      <c r="Q1125">
        <v>3</v>
      </c>
      <c r="R1125" s="8">
        <f>(Tabela2[[#This Row],[FAF_atividade_fisica_frequente_em_horas]]+ 0.1)</f>
        <v>0.85292599999999996</v>
      </c>
      <c r="S1125" s="1">
        <f>(Tabela2[[#This Row],[TUE_tempo_uso_aparelhos_em_horas]]/Tabela2[[#This Row],[FAF_Var]])</f>
        <v>0</v>
      </c>
      <c r="T1125">
        <f>(Tabela2[[#This Row],[CAEC_lanche_entre_refeicoes]]*Tabela2[[#This Row],[FAVC_consumo_frequente_de_alimentos_mt_caloricos]])</f>
        <v>1</v>
      </c>
      <c r="U1125" s="1">
        <f>IF(OR(Tabela2[[#This Row],[MTRANS]]="Walking",Tabela2[[#This Row],[MTRANS]]="Bike"),Tabela2[[#This Row],[FAF_atividade_fisica_frequente_em_horas]]+1,M1125)</f>
        <v>0.75292599999999998</v>
      </c>
      <c r="V1125">
        <f>(Tabela2[[#This Row],[SMOKE]]+Tabela2[[#This Row],[CALC_bebe_alcool_frequentemente]])</f>
        <v>1</v>
      </c>
      <c r="W1125" s="8">
        <f>(Tabela2[[#This Row],[Weight]]/(Tabela2[[#This Row],[Height]] ^2))</f>
        <v>28.992637858839615</v>
      </c>
    </row>
    <row r="1126" spans="1:23" x14ac:dyDescent="0.25">
      <c r="A1126" t="s">
        <v>15</v>
      </c>
      <c r="B1126" s="7">
        <v>21.205629999999999</v>
      </c>
      <c r="C1126" s="4">
        <v>1.7045729999999999</v>
      </c>
      <c r="D1126" s="7">
        <v>80</v>
      </c>
      <c r="E1126">
        <v>1</v>
      </c>
      <c r="F1126">
        <v>1</v>
      </c>
      <c r="G1126" s="2">
        <v>2</v>
      </c>
      <c r="H1126" s="2">
        <v>3</v>
      </c>
      <c r="I1126">
        <v>1</v>
      </c>
      <c r="J1126">
        <v>0</v>
      </c>
      <c r="K1126" s="2">
        <v>2</v>
      </c>
      <c r="L1126">
        <v>0</v>
      </c>
      <c r="M1126" s="7">
        <v>2.8477610000000002</v>
      </c>
      <c r="N1126" s="7">
        <v>1.413375</v>
      </c>
      <c r="O1126">
        <v>0</v>
      </c>
      <c r="P1126" t="s">
        <v>14</v>
      </c>
      <c r="Q1126">
        <v>3</v>
      </c>
      <c r="R1126" s="8">
        <f>(Tabela2[[#This Row],[FAF_atividade_fisica_frequente_em_horas]]+ 0.1)</f>
        <v>2.9477610000000003</v>
      </c>
      <c r="S1126" s="1">
        <f>(Tabela2[[#This Row],[TUE_tempo_uso_aparelhos_em_horas]]/Tabela2[[#This Row],[FAF_Var]])</f>
        <v>0.47947408219323068</v>
      </c>
      <c r="T1126">
        <f>(Tabela2[[#This Row],[CAEC_lanche_entre_refeicoes]]*Tabela2[[#This Row],[FAVC_consumo_frequente_de_alimentos_mt_caloricos]])</f>
        <v>1</v>
      </c>
      <c r="U1126" s="1">
        <f>IF(OR(Tabela2[[#This Row],[MTRANS]]="Walking",Tabela2[[#This Row],[MTRANS]]="Bike"),Tabela2[[#This Row],[FAF_atividade_fisica_frequente_em_horas]]+1,M1126)</f>
        <v>2.8477610000000002</v>
      </c>
      <c r="V1126">
        <f>(Tabela2[[#This Row],[SMOKE]]+Tabela2[[#This Row],[CALC_bebe_alcool_frequentemente]])</f>
        <v>0</v>
      </c>
      <c r="W1126" s="8">
        <f>(Tabela2[[#This Row],[Weight]]/(Tabela2[[#This Row],[Height]] ^2))</f>
        <v>27.533332337730862</v>
      </c>
    </row>
    <row r="1127" spans="1:23" x14ac:dyDescent="0.25">
      <c r="A1127" t="s">
        <v>15</v>
      </c>
      <c r="B1127" s="7">
        <v>21.333428999999999</v>
      </c>
      <c r="C1127" s="4">
        <v>1.716545</v>
      </c>
      <c r="D1127" s="7">
        <v>80.005808999999999</v>
      </c>
      <c r="E1127">
        <v>1</v>
      </c>
      <c r="F1127">
        <v>1</v>
      </c>
      <c r="G1127" s="2">
        <v>2</v>
      </c>
      <c r="H1127" s="2">
        <v>2.7833359999999998</v>
      </c>
      <c r="I1127">
        <v>1</v>
      </c>
      <c r="J1127">
        <v>0</v>
      </c>
      <c r="K1127" s="2">
        <v>2</v>
      </c>
      <c r="L1127">
        <v>0</v>
      </c>
      <c r="M1127" s="7">
        <v>2.5366149999999998</v>
      </c>
      <c r="N1127" s="7">
        <v>1.2065349999999999</v>
      </c>
      <c r="O1127">
        <v>0</v>
      </c>
      <c r="P1127" t="s">
        <v>14</v>
      </c>
      <c r="Q1127">
        <v>3</v>
      </c>
      <c r="R1127" s="8">
        <f>(Tabela2[[#This Row],[FAF_atividade_fisica_frequente_em_horas]]+ 0.1)</f>
        <v>2.6366149999999999</v>
      </c>
      <c r="S1127" s="1">
        <f>(Tabela2[[#This Row],[TUE_tempo_uso_aparelhos_em_horas]]/Tabela2[[#This Row],[FAF_Var]])</f>
        <v>0.45760757638107952</v>
      </c>
      <c r="T1127">
        <f>(Tabela2[[#This Row],[CAEC_lanche_entre_refeicoes]]*Tabela2[[#This Row],[FAVC_consumo_frequente_de_alimentos_mt_caloricos]])</f>
        <v>1</v>
      </c>
      <c r="U1127" s="1">
        <f>IF(OR(Tabela2[[#This Row],[MTRANS]]="Walking",Tabela2[[#This Row],[MTRANS]]="Bike"),Tabela2[[#This Row],[FAF_atividade_fisica_frequente_em_horas]]+1,M1127)</f>
        <v>2.5366149999999998</v>
      </c>
      <c r="V1127">
        <f>(Tabela2[[#This Row],[SMOKE]]+Tabela2[[#This Row],[CALC_bebe_alcool_frequentemente]])</f>
        <v>0</v>
      </c>
      <c r="W1127" s="8">
        <f>(Tabela2[[#This Row],[Weight]]/(Tabela2[[#This Row],[Height]] ^2))</f>
        <v>27.152582053532942</v>
      </c>
    </row>
    <row r="1128" spans="1:23" x14ac:dyDescent="0.25">
      <c r="A1128" t="s">
        <v>15</v>
      </c>
      <c r="B1128" s="7">
        <v>32.787101</v>
      </c>
      <c r="C1128" s="4">
        <v>1.903832</v>
      </c>
      <c r="D1128" s="7">
        <v>99.812443000000002</v>
      </c>
      <c r="E1128">
        <v>1</v>
      </c>
      <c r="F1128">
        <v>1</v>
      </c>
      <c r="G1128" s="2">
        <v>2</v>
      </c>
      <c r="H1128" s="2">
        <v>1.8630119999999999</v>
      </c>
      <c r="I1128">
        <v>1</v>
      </c>
      <c r="J1128">
        <v>0</v>
      </c>
      <c r="K1128" s="2">
        <v>2.1964709999999998</v>
      </c>
      <c r="L1128">
        <v>0</v>
      </c>
      <c r="M1128" s="7">
        <v>1</v>
      </c>
      <c r="N1128" s="7">
        <v>0</v>
      </c>
      <c r="O1128">
        <v>1</v>
      </c>
      <c r="P1128" t="s">
        <v>17</v>
      </c>
      <c r="Q1128">
        <v>3</v>
      </c>
      <c r="R1128" s="8">
        <f>(Tabela2[[#This Row],[FAF_atividade_fisica_frequente_em_horas]]+ 0.1)</f>
        <v>1.1000000000000001</v>
      </c>
      <c r="S1128" s="1">
        <f>(Tabela2[[#This Row],[TUE_tempo_uso_aparelhos_em_horas]]/Tabela2[[#This Row],[FAF_Var]])</f>
        <v>0</v>
      </c>
      <c r="T1128">
        <f>(Tabela2[[#This Row],[CAEC_lanche_entre_refeicoes]]*Tabela2[[#This Row],[FAVC_consumo_frequente_de_alimentos_mt_caloricos]])</f>
        <v>1</v>
      </c>
      <c r="U1128" s="1">
        <f>IF(OR(Tabela2[[#This Row],[MTRANS]]="Walking",Tabela2[[#This Row],[MTRANS]]="Bike"),Tabela2[[#This Row],[FAF_atividade_fisica_frequente_em_horas]]+1,M1128)</f>
        <v>1</v>
      </c>
      <c r="V1128">
        <f>(Tabela2[[#This Row],[SMOKE]]+Tabela2[[#This Row],[CALC_bebe_alcool_frequentemente]])</f>
        <v>1</v>
      </c>
      <c r="W1128" s="8">
        <f>(Tabela2[[#This Row],[Weight]]/(Tabela2[[#This Row],[Height]] ^2))</f>
        <v>27.537685835013196</v>
      </c>
    </row>
    <row r="1129" spans="1:23" x14ac:dyDescent="0.25">
      <c r="A1129" t="s">
        <v>15</v>
      </c>
      <c r="B1129" s="7">
        <v>32.610017999999997</v>
      </c>
      <c r="C1129" s="4">
        <v>1.7425379999999999</v>
      </c>
      <c r="D1129" s="7">
        <v>83.390983000000006</v>
      </c>
      <c r="E1129">
        <v>1</v>
      </c>
      <c r="F1129">
        <v>1</v>
      </c>
      <c r="G1129" s="2">
        <v>2.2477040000000001</v>
      </c>
      <c r="H1129" s="2">
        <v>3.053598</v>
      </c>
      <c r="I1129">
        <v>1</v>
      </c>
      <c r="J1129">
        <v>0</v>
      </c>
      <c r="K1129" s="2">
        <v>1.919629</v>
      </c>
      <c r="L1129">
        <v>0</v>
      </c>
      <c r="M1129" s="7">
        <v>0.40802300000000002</v>
      </c>
      <c r="N1129" s="7">
        <v>0</v>
      </c>
      <c r="O1129">
        <v>0</v>
      </c>
      <c r="P1129" t="s">
        <v>17</v>
      </c>
      <c r="Q1129">
        <v>3</v>
      </c>
      <c r="R1129" s="8">
        <f>(Tabela2[[#This Row],[FAF_atividade_fisica_frequente_em_horas]]+ 0.1)</f>
        <v>0.508023</v>
      </c>
      <c r="S1129" s="1">
        <f>(Tabela2[[#This Row],[TUE_tempo_uso_aparelhos_em_horas]]/Tabela2[[#This Row],[FAF_Var]])</f>
        <v>0</v>
      </c>
      <c r="T1129">
        <f>(Tabela2[[#This Row],[CAEC_lanche_entre_refeicoes]]*Tabela2[[#This Row],[FAVC_consumo_frequente_de_alimentos_mt_caloricos]])</f>
        <v>1</v>
      </c>
      <c r="U1129" s="1">
        <f>IF(OR(Tabela2[[#This Row],[MTRANS]]="Walking",Tabela2[[#This Row],[MTRANS]]="Bike"),Tabela2[[#This Row],[FAF_atividade_fisica_frequente_em_horas]]+1,M1129)</f>
        <v>0.40802300000000002</v>
      </c>
      <c r="V1129">
        <f>(Tabela2[[#This Row],[SMOKE]]+Tabela2[[#This Row],[CALC_bebe_alcool_frequentemente]])</f>
        <v>0</v>
      </c>
      <c r="W1129" s="8">
        <f>(Tabela2[[#This Row],[Weight]]/(Tabela2[[#This Row],[Height]] ^2))</f>
        <v>27.463417427004597</v>
      </c>
    </row>
    <row r="1130" spans="1:23" x14ac:dyDescent="0.25">
      <c r="A1130" t="s">
        <v>15</v>
      </c>
      <c r="B1130" s="7">
        <v>30.022597999999999</v>
      </c>
      <c r="C1130" s="4">
        <v>1.7477389999999999</v>
      </c>
      <c r="D1130" s="7">
        <v>83.314156999999994</v>
      </c>
      <c r="E1130">
        <v>1</v>
      </c>
      <c r="F1130">
        <v>1</v>
      </c>
      <c r="G1130" s="2">
        <v>2.0116559999999999</v>
      </c>
      <c r="H1130" s="2">
        <v>3.1658369999999998</v>
      </c>
      <c r="I1130">
        <v>1</v>
      </c>
      <c r="J1130">
        <v>0</v>
      </c>
      <c r="K1130" s="2">
        <v>1.8446450000000001</v>
      </c>
      <c r="L1130">
        <v>0</v>
      </c>
      <c r="M1130" s="7">
        <v>0.88996299999999995</v>
      </c>
      <c r="N1130" s="7">
        <v>0.39597900000000003</v>
      </c>
      <c r="O1130">
        <v>0</v>
      </c>
      <c r="P1130" t="s">
        <v>17</v>
      </c>
      <c r="Q1130">
        <v>3</v>
      </c>
      <c r="R1130" s="8">
        <f>(Tabela2[[#This Row],[FAF_atividade_fisica_frequente_em_horas]]+ 0.1)</f>
        <v>0.98996299999999993</v>
      </c>
      <c r="S1130" s="1">
        <f>(Tabela2[[#This Row],[TUE_tempo_uso_aparelhos_em_horas]]/Tabela2[[#This Row],[FAF_Var]])</f>
        <v>0.39999373713967096</v>
      </c>
      <c r="T1130">
        <f>(Tabela2[[#This Row],[CAEC_lanche_entre_refeicoes]]*Tabela2[[#This Row],[FAVC_consumo_frequente_de_alimentos_mt_caloricos]])</f>
        <v>1</v>
      </c>
      <c r="U1130" s="1">
        <f>IF(OR(Tabela2[[#This Row],[MTRANS]]="Walking",Tabela2[[#This Row],[MTRANS]]="Bike"),Tabela2[[#This Row],[FAF_atividade_fisica_frequente_em_horas]]+1,M1130)</f>
        <v>0.88996299999999995</v>
      </c>
      <c r="V1130">
        <f>(Tabela2[[#This Row],[SMOKE]]+Tabela2[[#This Row],[CALC_bebe_alcool_frequentemente]])</f>
        <v>0</v>
      </c>
      <c r="W1130" s="8">
        <f>(Tabela2[[#This Row],[Weight]]/(Tabela2[[#This Row],[Height]] ^2))</f>
        <v>27.275055909077679</v>
      </c>
    </row>
    <row r="1131" spans="1:23" x14ac:dyDescent="0.25">
      <c r="A1131" t="s">
        <v>15</v>
      </c>
      <c r="B1131" s="7">
        <v>21.123048000000001</v>
      </c>
      <c r="C1131" s="4">
        <v>1.7170369999999999</v>
      </c>
      <c r="D1131" s="7">
        <v>80</v>
      </c>
      <c r="E1131">
        <v>1</v>
      </c>
      <c r="F1131">
        <v>1</v>
      </c>
      <c r="G1131" s="2">
        <v>2</v>
      </c>
      <c r="H1131" s="2">
        <v>3</v>
      </c>
      <c r="I1131">
        <v>1</v>
      </c>
      <c r="J1131">
        <v>0</v>
      </c>
      <c r="K1131" s="2">
        <v>2</v>
      </c>
      <c r="L1131">
        <v>0</v>
      </c>
      <c r="M1131" s="7">
        <v>2.2705549999999999</v>
      </c>
      <c r="N1131" s="7">
        <v>1.3430439999999999</v>
      </c>
      <c r="O1131">
        <v>0</v>
      </c>
      <c r="P1131" t="s">
        <v>14</v>
      </c>
      <c r="Q1131">
        <v>3</v>
      </c>
      <c r="R1131" s="8">
        <f>(Tabela2[[#This Row],[FAF_atividade_fisica_frequente_em_horas]]+ 0.1)</f>
        <v>2.370555</v>
      </c>
      <c r="S1131" s="1">
        <f>(Tabela2[[#This Row],[TUE_tempo_uso_aparelhos_em_horas]]/Tabela2[[#This Row],[FAF_Var]])</f>
        <v>0.56655255836713336</v>
      </c>
      <c r="T1131">
        <f>(Tabela2[[#This Row],[CAEC_lanche_entre_refeicoes]]*Tabela2[[#This Row],[FAVC_consumo_frequente_de_alimentos_mt_caloricos]])</f>
        <v>1</v>
      </c>
      <c r="U1131" s="1">
        <f>IF(OR(Tabela2[[#This Row],[MTRANS]]="Walking",Tabela2[[#This Row],[MTRANS]]="Bike"),Tabela2[[#This Row],[FAF_atividade_fisica_frequente_em_horas]]+1,M1131)</f>
        <v>2.2705549999999999</v>
      </c>
      <c r="V1131">
        <f>(Tabela2[[#This Row],[SMOKE]]+Tabela2[[#This Row],[CALC_bebe_alcool_frequentemente]])</f>
        <v>0</v>
      </c>
      <c r="W1131" s="8">
        <f>(Tabela2[[#This Row],[Weight]]/(Tabela2[[#This Row],[Height]] ^2))</f>
        <v>27.135053330223776</v>
      </c>
    </row>
    <row r="1132" spans="1:23" x14ac:dyDescent="0.25">
      <c r="A1132" t="s">
        <v>13</v>
      </c>
      <c r="B1132" s="7">
        <v>22.989846</v>
      </c>
      <c r="C1132" s="4">
        <v>1.65</v>
      </c>
      <c r="D1132" s="7">
        <v>80</v>
      </c>
      <c r="E1132">
        <v>1</v>
      </c>
      <c r="F1132">
        <v>1</v>
      </c>
      <c r="G1132" s="2">
        <v>2</v>
      </c>
      <c r="H1132" s="2">
        <v>3</v>
      </c>
      <c r="I1132">
        <v>1</v>
      </c>
      <c r="J1132">
        <v>0</v>
      </c>
      <c r="K1132" s="2">
        <v>2</v>
      </c>
      <c r="L1132">
        <v>0</v>
      </c>
      <c r="M1132" s="7">
        <v>0.14691899999999999</v>
      </c>
      <c r="N1132" s="7">
        <v>2</v>
      </c>
      <c r="O1132">
        <v>0</v>
      </c>
      <c r="P1132" t="s">
        <v>14</v>
      </c>
      <c r="Q1132">
        <v>3</v>
      </c>
      <c r="R1132" s="8">
        <f>(Tabela2[[#This Row],[FAF_atividade_fisica_frequente_em_horas]]+ 0.1)</f>
        <v>0.246919</v>
      </c>
      <c r="S1132" s="1">
        <f>(Tabela2[[#This Row],[TUE_tempo_uso_aparelhos_em_horas]]/Tabela2[[#This Row],[FAF_Var]])</f>
        <v>8.0998222089025145</v>
      </c>
      <c r="T1132">
        <f>(Tabela2[[#This Row],[CAEC_lanche_entre_refeicoes]]*Tabela2[[#This Row],[FAVC_consumo_frequente_de_alimentos_mt_caloricos]])</f>
        <v>1</v>
      </c>
      <c r="U1132" s="1">
        <f>IF(OR(Tabela2[[#This Row],[MTRANS]]="Walking",Tabela2[[#This Row],[MTRANS]]="Bike"),Tabela2[[#This Row],[FAF_atividade_fisica_frequente_em_horas]]+1,M1132)</f>
        <v>0.14691899999999999</v>
      </c>
      <c r="V1132">
        <f>(Tabela2[[#This Row],[SMOKE]]+Tabela2[[#This Row],[CALC_bebe_alcool_frequentemente]])</f>
        <v>0</v>
      </c>
      <c r="W1132" s="8">
        <f>(Tabela2[[#This Row],[Weight]]/(Tabela2[[#This Row],[Height]] ^2))</f>
        <v>29.384756657483933</v>
      </c>
    </row>
    <row r="1133" spans="1:23" x14ac:dyDescent="0.25">
      <c r="A1133" t="s">
        <v>13</v>
      </c>
      <c r="B1133" s="7">
        <v>24.320153999999999</v>
      </c>
      <c r="C1133" s="4">
        <v>1.5779209999999999</v>
      </c>
      <c r="D1133" s="7">
        <v>65.293178999999995</v>
      </c>
      <c r="E1133">
        <v>1</v>
      </c>
      <c r="F1133">
        <v>0</v>
      </c>
      <c r="G1133" s="2">
        <v>2.0341399999999998</v>
      </c>
      <c r="H1133" s="2">
        <v>2.7414130000000001</v>
      </c>
      <c r="I1133">
        <v>1</v>
      </c>
      <c r="J1133">
        <v>0</v>
      </c>
      <c r="K1133" s="2">
        <v>1.9963839999999999</v>
      </c>
      <c r="L1133">
        <v>0</v>
      </c>
      <c r="M1133" s="7">
        <v>1.2765519999999999</v>
      </c>
      <c r="N1133" s="7">
        <v>1.019452</v>
      </c>
      <c r="O1133">
        <v>0</v>
      </c>
      <c r="P1133" t="s">
        <v>14</v>
      </c>
      <c r="Q1133">
        <v>3</v>
      </c>
      <c r="R1133" s="8">
        <f>(Tabela2[[#This Row],[FAF_atividade_fisica_frequente_em_horas]]+ 0.1)</f>
        <v>1.376552</v>
      </c>
      <c r="S1133" s="1">
        <f>(Tabela2[[#This Row],[TUE_tempo_uso_aparelhos_em_horas]]/Tabela2[[#This Row],[FAF_Var]])</f>
        <v>0.74058371932189992</v>
      </c>
      <c r="T1133">
        <f>(Tabela2[[#This Row],[CAEC_lanche_entre_refeicoes]]*Tabela2[[#This Row],[FAVC_consumo_frequente_de_alimentos_mt_caloricos]])</f>
        <v>0</v>
      </c>
      <c r="U1133" s="1">
        <f>IF(OR(Tabela2[[#This Row],[MTRANS]]="Walking",Tabela2[[#This Row],[MTRANS]]="Bike"),Tabela2[[#This Row],[FAF_atividade_fisica_frequente_em_horas]]+1,M1133)</f>
        <v>1.2765519999999999</v>
      </c>
      <c r="V1133">
        <f>(Tabela2[[#This Row],[SMOKE]]+Tabela2[[#This Row],[CALC_bebe_alcool_frequentemente]])</f>
        <v>0</v>
      </c>
      <c r="W1133" s="8">
        <f>(Tabela2[[#This Row],[Weight]]/(Tabela2[[#This Row],[Height]] ^2))</f>
        <v>26.223901315902722</v>
      </c>
    </row>
    <row r="1134" spans="1:23" x14ac:dyDescent="0.25">
      <c r="A1134" t="s">
        <v>15</v>
      </c>
      <c r="B1134" s="7">
        <v>37.275297999999999</v>
      </c>
      <c r="C1134" s="4">
        <v>1.7460549999999999</v>
      </c>
      <c r="D1134" s="7">
        <v>83.282231999999993</v>
      </c>
      <c r="E1134">
        <v>1</v>
      </c>
      <c r="F1134">
        <v>1</v>
      </c>
      <c r="G1134" s="2">
        <v>2.7464080000000002</v>
      </c>
      <c r="H1134" s="2">
        <v>1.0581229999999999</v>
      </c>
      <c r="I1134">
        <v>1</v>
      </c>
      <c r="J1134">
        <v>0</v>
      </c>
      <c r="K1134" s="2">
        <v>2.265727</v>
      </c>
      <c r="L1134">
        <v>0</v>
      </c>
      <c r="M1134" s="7">
        <v>0.885633</v>
      </c>
      <c r="N1134" s="7">
        <v>0.67340800000000001</v>
      </c>
      <c r="O1134">
        <v>0</v>
      </c>
      <c r="P1134" t="s">
        <v>17</v>
      </c>
      <c r="Q1134">
        <v>3</v>
      </c>
      <c r="R1134" s="8">
        <f>(Tabela2[[#This Row],[FAF_atividade_fisica_frequente_em_horas]]+ 0.1)</f>
        <v>0.98563299999999998</v>
      </c>
      <c r="S1134" s="1">
        <f>(Tabela2[[#This Row],[TUE_tempo_uso_aparelhos_em_horas]]/Tabela2[[#This Row],[FAF_Var]])</f>
        <v>0.68322387744728519</v>
      </c>
      <c r="T1134">
        <f>(Tabela2[[#This Row],[CAEC_lanche_entre_refeicoes]]*Tabela2[[#This Row],[FAVC_consumo_frequente_de_alimentos_mt_caloricos]])</f>
        <v>1</v>
      </c>
      <c r="U1134" s="1">
        <f>IF(OR(Tabela2[[#This Row],[MTRANS]]="Walking",Tabela2[[#This Row],[MTRANS]]="Bike"),Tabela2[[#This Row],[FAF_atividade_fisica_frequente_em_horas]]+1,M1134)</f>
        <v>0.885633</v>
      </c>
      <c r="V1134">
        <f>(Tabela2[[#This Row],[SMOKE]]+Tabela2[[#This Row],[CALC_bebe_alcool_frequentemente]])</f>
        <v>0</v>
      </c>
      <c r="W1134" s="8">
        <f>(Tabela2[[#This Row],[Weight]]/(Tabela2[[#This Row],[Height]] ^2))</f>
        <v>27.317221025540046</v>
      </c>
    </row>
    <row r="1135" spans="1:23" x14ac:dyDescent="0.25">
      <c r="A1135" t="s">
        <v>15</v>
      </c>
      <c r="B1135" s="7">
        <v>34.098174</v>
      </c>
      <c r="C1135" s="4">
        <v>1.841151</v>
      </c>
      <c r="D1135" s="7">
        <v>91.798102999999998</v>
      </c>
      <c r="E1135">
        <v>1</v>
      </c>
      <c r="F1135">
        <v>1</v>
      </c>
      <c r="G1135" s="2">
        <v>2</v>
      </c>
      <c r="H1135" s="2">
        <v>2.997414</v>
      </c>
      <c r="I1135">
        <v>1</v>
      </c>
      <c r="J1135">
        <v>0</v>
      </c>
      <c r="K1135" s="2">
        <v>1.2594540000000001</v>
      </c>
      <c r="L1135">
        <v>0</v>
      </c>
      <c r="M1135" s="7">
        <v>0.93521699999999996</v>
      </c>
      <c r="N1135" s="7">
        <v>0.99760000000000004</v>
      </c>
      <c r="O1135">
        <v>1</v>
      </c>
      <c r="P1135" t="s">
        <v>17</v>
      </c>
      <c r="Q1135">
        <v>3</v>
      </c>
      <c r="R1135" s="8">
        <f>(Tabela2[[#This Row],[FAF_atividade_fisica_frequente_em_horas]]+ 0.1)</f>
        <v>1.0352170000000001</v>
      </c>
      <c r="S1135" s="1">
        <f>(Tabela2[[#This Row],[TUE_tempo_uso_aparelhos_em_horas]]/Tabela2[[#This Row],[FAF_Var]])</f>
        <v>0.96366269101067703</v>
      </c>
      <c r="T1135">
        <f>(Tabela2[[#This Row],[CAEC_lanche_entre_refeicoes]]*Tabela2[[#This Row],[FAVC_consumo_frequente_de_alimentos_mt_caloricos]])</f>
        <v>1</v>
      </c>
      <c r="U1135" s="1">
        <f>IF(OR(Tabela2[[#This Row],[MTRANS]]="Walking",Tabela2[[#This Row],[MTRANS]]="Bike"),Tabela2[[#This Row],[FAF_atividade_fisica_frequente_em_horas]]+1,M1135)</f>
        <v>0.93521699999999996</v>
      </c>
      <c r="V1135">
        <f>(Tabela2[[#This Row],[SMOKE]]+Tabela2[[#This Row],[CALC_bebe_alcool_frequentemente]])</f>
        <v>1</v>
      </c>
      <c r="W1135" s="8">
        <f>(Tabela2[[#This Row],[Weight]]/(Tabela2[[#This Row],[Height]] ^2))</f>
        <v>27.080388487702226</v>
      </c>
    </row>
    <row r="1136" spans="1:23" x14ac:dyDescent="0.25">
      <c r="A1136" t="s">
        <v>13</v>
      </c>
      <c r="B1136" s="7">
        <v>21.001282</v>
      </c>
      <c r="C1136" s="4">
        <v>1.517998</v>
      </c>
      <c r="D1136" s="7">
        <v>64.696247999999997</v>
      </c>
      <c r="E1136">
        <v>1</v>
      </c>
      <c r="F1136">
        <v>0</v>
      </c>
      <c r="G1136" s="2">
        <v>2.1238999999999999</v>
      </c>
      <c r="H1136" s="2">
        <v>1.6729579999999999</v>
      </c>
      <c r="I1136">
        <v>1</v>
      </c>
      <c r="J1136">
        <v>0</v>
      </c>
      <c r="K1136" s="2">
        <v>2</v>
      </c>
      <c r="L1136">
        <v>0</v>
      </c>
      <c r="M1136" s="7">
        <v>1.5824279999999999</v>
      </c>
      <c r="N1136" s="7">
        <v>1.3133630000000001</v>
      </c>
      <c r="O1136">
        <v>0</v>
      </c>
      <c r="P1136" t="s">
        <v>14</v>
      </c>
      <c r="Q1136">
        <v>3</v>
      </c>
      <c r="R1136" s="8">
        <f>(Tabela2[[#This Row],[FAF_atividade_fisica_frequente_em_horas]]+ 0.1)</f>
        <v>1.682428</v>
      </c>
      <c r="S1136" s="1">
        <f>(Tabela2[[#This Row],[TUE_tempo_uso_aparelhos_em_horas]]/Tabela2[[#This Row],[FAF_Var]])</f>
        <v>0.78063548633284752</v>
      </c>
      <c r="T1136">
        <f>(Tabela2[[#This Row],[CAEC_lanche_entre_refeicoes]]*Tabela2[[#This Row],[FAVC_consumo_frequente_de_alimentos_mt_caloricos]])</f>
        <v>0</v>
      </c>
      <c r="U1136" s="1">
        <f>IF(OR(Tabela2[[#This Row],[MTRANS]]="Walking",Tabela2[[#This Row],[MTRANS]]="Bike"),Tabela2[[#This Row],[FAF_atividade_fisica_frequente_em_horas]]+1,M1136)</f>
        <v>1.5824279999999999</v>
      </c>
      <c r="V1136">
        <f>(Tabela2[[#This Row],[SMOKE]]+Tabela2[[#This Row],[CALC_bebe_alcool_frequentemente]])</f>
        <v>0</v>
      </c>
      <c r="W1136" s="8">
        <f>(Tabela2[[#This Row],[Weight]]/(Tabela2[[#This Row],[Height]] ^2))</f>
        <v>28.076094541363865</v>
      </c>
    </row>
    <row r="1137" spans="1:23" x14ac:dyDescent="0.25">
      <c r="A1137" t="s">
        <v>13</v>
      </c>
      <c r="B1137" s="7">
        <v>21.95994</v>
      </c>
      <c r="C1137" s="4">
        <v>1.483284</v>
      </c>
      <c r="D1137" s="7">
        <v>62.894283000000001</v>
      </c>
      <c r="E1137">
        <v>1</v>
      </c>
      <c r="F1137">
        <v>0</v>
      </c>
      <c r="G1137" s="2">
        <v>2</v>
      </c>
      <c r="H1137" s="2">
        <v>1.6808380000000001</v>
      </c>
      <c r="I1137">
        <v>1</v>
      </c>
      <c r="J1137">
        <v>0</v>
      </c>
      <c r="K1137" s="2">
        <v>1.8336349999999999</v>
      </c>
      <c r="L1137">
        <v>0</v>
      </c>
      <c r="M1137" s="7">
        <v>0.28187600000000002</v>
      </c>
      <c r="N1137" s="7">
        <v>0.57584800000000003</v>
      </c>
      <c r="O1137">
        <v>0</v>
      </c>
      <c r="P1137" t="s">
        <v>14</v>
      </c>
      <c r="Q1137">
        <v>3</v>
      </c>
      <c r="R1137" s="8">
        <f>(Tabela2[[#This Row],[FAF_atividade_fisica_frequente_em_horas]]+ 0.1)</f>
        <v>0.38187599999999999</v>
      </c>
      <c r="S1137" s="1">
        <f>(Tabela2[[#This Row],[TUE_tempo_uso_aparelhos_em_horas]]/Tabela2[[#This Row],[FAF_Var]])</f>
        <v>1.5079449873781019</v>
      </c>
      <c r="T1137">
        <f>(Tabela2[[#This Row],[CAEC_lanche_entre_refeicoes]]*Tabela2[[#This Row],[FAVC_consumo_frequente_de_alimentos_mt_caloricos]])</f>
        <v>0</v>
      </c>
      <c r="U1137" s="1">
        <f>IF(OR(Tabela2[[#This Row],[MTRANS]]="Walking",Tabela2[[#This Row],[MTRANS]]="Bike"),Tabela2[[#This Row],[FAF_atividade_fisica_frequente_em_horas]]+1,M1137)</f>
        <v>0.28187600000000002</v>
      </c>
      <c r="V1137">
        <f>(Tabela2[[#This Row],[SMOKE]]+Tabela2[[#This Row],[CALC_bebe_alcool_frequentemente]])</f>
        <v>0</v>
      </c>
      <c r="W1137" s="8">
        <f>(Tabela2[[#This Row],[Weight]]/(Tabela2[[#This Row],[Height]] ^2))</f>
        <v>28.586602734349743</v>
      </c>
    </row>
    <row r="1138" spans="1:23" x14ac:dyDescent="0.25">
      <c r="A1138" t="s">
        <v>15</v>
      </c>
      <c r="B1138" s="7">
        <v>19.795269000000001</v>
      </c>
      <c r="C1138" s="4">
        <v>1.758972</v>
      </c>
      <c r="D1138" s="7">
        <v>87.861430999999996</v>
      </c>
      <c r="E1138">
        <v>1</v>
      </c>
      <c r="F1138">
        <v>1</v>
      </c>
      <c r="G1138" s="2">
        <v>2.332074</v>
      </c>
      <c r="H1138" s="2">
        <v>3</v>
      </c>
      <c r="I1138">
        <v>1</v>
      </c>
      <c r="J1138">
        <v>0</v>
      </c>
      <c r="K1138" s="2">
        <v>2.999495</v>
      </c>
      <c r="L1138">
        <v>0</v>
      </c>
      <c r="M1138" s="7">
        <v>2.4059629999999999</v>
      </c>
      <c r="N1138" s="7">
        <v>0.44150200000000001</v>
      </c>
      <c r="O1138">
        <v>1</v>
      </c>
      <c r="P1138" t="s">
        <v>14</v>
      </c>
      <c r="Q1138">
        <v>3</v>
      </c>
      <c r="R1138" s="8">
        <f>(Tabela2[[#This Row],[FAF_atividade_fisica_frequente_em_horas]]+ 0.1)</f>
        <v>2.5059629999999999</v>
      </c>
      <c r="S1138" s="1">
        <f>(Tabela2[[#This Row],[TUE_tempo_uso_aparelhos_em_horas]]/Tabela2[[#This Row],[FAF_Var]])</f>
        <v>0.17618057409466939</v>
      </c>
      <c r="T1138">
        <f>(Tabela2[[#This Row],[CAEC_lanche_entre_refeicoes]]*Tabela2[[#This Row],[FAVC_consumo_frequente_de_alimentos_mt_caloricos]])</f>
        <v>1</v>
      </c>
      <c r="U1138" s="1">
        <f>IF(OR(Tabela2[[#This Row],[MTRANS]]="Walking",Tabela2[[#This Row],[MTRANS]]="Bike"),Tabela2[[#This Row],[FAF_atividade_fisica_frequente_em_horas]]+1,M1138)</f>
        <v>2.4059629999999999</v>
      </c>
      <c r="V1138">
        <f>(Tabela2[[#This Row],[SMOKE]]+Tabela2[[#This Row],[CALC_bebe_alcool_frequentemente]])</f>
        <v>1</v>
      </c>
      <c r="W1138" s="8">
        <f>(Tabela2[[#This Row],[Weight]]/(Tabela2[[#This Row],[Height]] ^2))</f>
        <v>28.397520377483204</v>
      </c>
    </row>
    <row r="1139" spans="1:23" x14ac:dyDescent="0.25">
      <c r="A1139" t="s">
        <v>13</v>
      </c>
      <c r="B1139" s="7">
        <v>19.090022999999999</v>
      </c>
      <c r="C1139" s="4">
        <v>1.5624340000000001</v>
      </c>
      <c r="D1139" s="7">
        <v>70.442774999999997</v>
      </c>
      <c r="E1139">
        <v>1</v>
      </c>
      <c r="F1139">
        <v>0</v>
      </c>
      <c r="G1139" s="2">
        <v>2.748243</v>
      </c>
      <c r="H1139" s="2">
        <v>3.0703860000000001</v>
      </c>
      <c r="I1139">
        <v>1</v>
      </c>
      <c r="J1139">
        <v>0</v>
      </c>
      <c r="K1139" s="2">
        <v>1.9623219999999999</v>
      </c>
      <c r="L1139">
        <v>0</v>
      </c>
      <c r="M1139" s="7">
        <v>1.1457520000000001</v>
      </c>
      <c r="N1139" s="7">
        <v>1</v>
      </c>
      <c r="O1139">
        <v>0</v>
      </c>
      <c r="P1139" t="s">
        <v>14</v>
      </c>
      <c r="Q1139">
        <v>3</v>
      </c>
      <c r="R1139" s="8">
        <f>(Tabela2[[#This Row],[FAF_atividade_fisica_frequente_em_horas]]+ 0.1)</f>
        <v>1.2457520000000002</v>
      </c>
      <c r="S1139" s="1">
        <f>(Tabela2[[#This Row],[TUE_tempo_uso_aparelhos_em_horas]]/Tabela2[[#This Row],[FAF_Var]])</f>
        <v>0.80272799080394797</v>
      </c>
      <c r="T1139">
        <f>(Tabela2[[#This Row],[CAEC_lanche_entre_refeicoes]]*Tabela2[[#This Row],[FAVC_consumo_frequente_de_alimentos_mt_caloricos]])</f>
        <v>0</v>
      </c>
      <c r="U1139" s="1">
        <f>IF(OR(Tabela2[[#This Row],[MTRANS]]="Walking",Tabela2[[#This Row],[MTRANS]]="Bike"),Tabela2[[#This Row],[FAF_atividade_fisica_frequente_em_horas]]+1,M1139)</f>
        <v>1.1457520000000001</v>
      </c>
      <c r="V1139">
        <f>(Tabela2[[#This Row],[SMOKE]]+Tabela2[[#This Row],[CALC_bebe_alcool_frequentemente]])</f>
        <v>0</v>
      </c>
      <c r="W1139" s="8">
        <f>(Tabela2[[#This Row],[Weight]]/(Tabela2[[#This Row],[Height]] ^2))</f>
        <v>28.855798326357583</v>
      </c>
    </row>
    <row r="1140" spans="1:23" x14ac:dyDescent="0.25">
      <c r="A1140" t="s">
        <v>13</v>
      </c>
      <c r="B1140" s="7">
        <v>20.820454999999999</v>
      </c>
      <c r="C1140" s="4">
        <v>1.5470660000000001</v>
      </c>
      <c r="D1140" s="7">
        <v>67.473281999999998</v>
      </c>
      <c r="E1140">
        <v>1</v>
      </c>
      <c r="F1140">
        <v>0</v>
      </c>
      <c r="G1140" s="2">
        <v>2.3036560000000001</v>
      </c>
      <c r="H1140" s="2">
        <v>3</v>
      </c>
      <c r="I1140">
        <v>1</v>
      </c>
      <c r="J1140">
        <v>0</v>
      </c>
      <c r="K1140" s="2">
        <v>1.163111</v>
      </c>
      <c r="L1140">
        <v>0</v>
      </c>
      <c r="M1140" s="7">
        <v>1.9263809999999999</v>
      </c>
      <c r="N1140" s="7">
        <v>1.119877</v>
      </c>
      <c r="O1140">
        <v>0</v>
      </c>
      <c r="P1140" t="s">
        <v>14</v>
      </c>
      <c r="Q1140">
        <v>3</v>
      </c>
      <c r="R1140" s="8">
        <f>(Tabela2[[#This Row],[FAF_atividade_fisica_frequente_em_horas]]+ 0.1)</f>
        <v>2.0263809999999998</v>
      </c>
      <c r="S1140" s="1">
        <f>(Tabela2[[#This Row],[TUE_tempo_uso_aparelhos_em_horas]]/Tabela2[[#This Row],[FAF_Var]])</f>
        <v>0.55264878618581603</v>
      </c>
      <c r="T1140">
        <f>(Tabela2[[#This Row],[CAEC_lanche_entre_refeicoes]]*Tabela2[[#This Row],[FAVC_consumo_frequente_de_alimentos_mt_caloricos]])</f>
        <v>0</v>
      </c>
      <c r="U1140" s="1">
        <f>IF(OR(Tabela2[[#This Row],[MTRANS]]="Walking",Tabela2[[#This Row],[MTRANS]]="Bike"),Tabela2[[#This Row],[FAF_atividade_fisica_frequente_em_horas]]+1,M1140)</f>
        <v>1.9263809999999999</v>
      </c>
      <c r="V1140">
        <f>(Tabela2[[#This Row],[SMOKE]]+Tabela2[[#This Row],[CALC_bebe_alcool_frequentemente]])</f>
        <v>0</v>
      </c>
      <c r="W1140" s="8">
        <f>(Tabela2[[#This Row],[Weight]]/(Tabela2[[#This Row],[Height]] ^2))</f>
        <v>28.191238255239004</v>
      </c>
    </row>
    <row r="1141" spans="1:23" x14ac:dyDescent="0.25">
      <c r="A1141" t="s">
        <v>15</v>
      </c>
      <c r="B1141" s="7">
        <v>22.087056</v>
      </c>
      <c r="C1141" s="4">
        <v>1.792435</v>
      </c>
      <c r="D1141" s="7">
        <v>89.998728999999997</v>
      </c>
      <c r="E1141">
        <v>1</v>
      </c>
      <c r="F1141">
        <v>1</v>
      </c>
      <c r="G1141" s="2">
        <v>1.9047320000000001</v>
      </c>
      <c r="H1141" s="2">
        <v>2.6084160000000001</v>
      </c>
      <c r="I1141">
        <v>1</v>
      </c>
      <c r="J1141">
        <v>0</v>
      </c>
      <c r="K1141" s="2">
        <v>1.204175</v>
      </c>
      <c r="L1141">
        <v>0</v>
      </c>
      <c r="M1141" s="7">
        <v>0</v>
      </c>
      <c r="N1141" s="7">
        <v>1.8953120000000001</v>
      </c>
      <c r="O1141">
        <v>1</v>
      </c>
      <c r="P1141" t="s">
        <v>14</v>
      </c>
      <c r="Q1141">
        <v>3</v>
      </c>
      <c r="R1141" s="8">
        <f>(Tabela2[[#This Row],[FAF_atividade_fisica_frequente_em_horas]]+ 0.1)</f>
        <v>0.1</v>
      </c>
      <c r="S1141" s="1">
        <f>(Tabela2[[#This Row],[TUE_tempo_uso_aparelhos_em_horas]]/Tabela2[[#This Row],[FAF_Var]])</f>
        <v>18.953119999999998</v>
      </c>
      <c r="T1141">
        <f>(Tabela2[[#This Row],[CAEC_lanche_entre_refeicoes]]*Tabela2[[#This Row],[FAVC_consumo_frequente_de_alimentos_mt_caloricos]])</f>
        <v>1</v>
      </c>
      <c r="U1141" s="1">
        <f>IF(OR(Tabela2[[#This Row],[MTRANS]]="Walking",Tabela2[[#This Row],[MTRANS]]="Bike"),Tabela2[[#This Row],[FAF_atividade_fisica_frequente_em_horas]]+1,M1141)</f>
        <v>0</v>
      </c>
      <c r="V1141">
        <f>(Tabela2[[#This Row],[SMOKE]]+Tabela2[[#This Row],[CALC_bebe_alcool_frequentemente]])</f>
        <v>1</v>
      </c>
      <c r="W1141" s="8">
        <f>(Tabela2[[#This Row],[Weight]]/(Tabela2[[#This Row],[Height]] ^2))</f>
        <v>28.012350066863021</v>
      </c>
    </row>
    <row r="1142" spans="1:23" x14ac:dyDescent="0.25">
      <c r="A1142" t="s">
        <v>15</v>
      </c>
      <c r="B1142" s="7">
        <v>22.185756000000001</v>
      </c>
      <c r="C1142" s="4">
        <v>1.7845549999999999</v>
      </c>
      <c r="D1142" s="7">
        <v>89.836691999999999</v>
      </c>
      <c r="E1142">
        <v>1</v>
      </c>
      <c r="F1142">
        <v>1</v>
      </c>
      <c r="G1142" s="2">
        <v>1.9799439999999999</v>
      </c>
      <c r="H1142" s="2">
        <v>1.599464</v>
      </c>
      <c r="I1142">
        <v>1</v>
      </c>
      <c r="J1142">
        <v>0</v>
      </c>
      <c r="K1142" s="2">
        <v>2</v>
      </c>
      <c r="L1142">
        <v>0</v>
      </c>
      <c r="M1142" s="7">
        <v>0.17047999999999999</v>
      </c>
      <c r="N1142" s="7">
        <v>0.81947499999999995</v>
      </c>
      <c r="O1142">
        <v>1</v>
      </c>
      <c r="P1142" t="s">
        <v>14</v>
      </c>
      <c r="Q1142">
        <v>3</v>
      </c>
      <c r="R1142" s="8">
        <f>(Tabela2[[#This Row],[FAF_atividade_fisica_frequente_em_horas]]+ 0.1)</f>
        <v>0.27048</v>
      </c>
      <c r="S1142" s="1">
        <f>(Tabela2[[#This Row],[TUE_tempo_uso_aparelhos_em_horas]]/Tabela2[[#This Row],[FAF_Var]])</f>
        <v>3.0297064477965097</v>
      </c>
      <c r="T1142">
        <f>(Tabela2[[#This Row],[CAEC_lanche_entre_refeicoes]]*Tabela2[[#This Row],[FAVC_consumo_frequente_de_alimentos_mt_caloricos]])</f>
        <v>1</v>
      </c>
      <c r="U1142" s="1">
        <f>IF(OR(Tabela2[[#This Row],[MTRANS]]="Walking",Tabela2[[#This Row],[MTRANS]]="Bike"),Tabela2[[#This Row],[FAF_atividade_fisica_frequente_em_horas]]+1,M1142)</f>
        <v>0.17047999999999999</v>
      </c>
      <c r="V1142">
        <f>(Tabela2[[#This Row],[SMOKE]]+Tabela2[[#This Row],[CALC_bebe_alcool_frequentemente]])</f>
        <v>1</v>
      </c>
      <c r="W1142" s="8">
        <f>(Tabela2[[#This Row],[Weight]]/(Tabela2[[#This Row],[Height]] ^2))</f>
        <v>28.209401809356734</v>
      </c>
    </row>
    <row r="1143" spans="1:23" x14ac:dyDescent="0.25">
      <c r="A1143" t="s">
        <v>13</v>
      </c>
      <c r="B1143" s="7">
        <v>22.980957</v>
      </c>
      <c r="C1143" s="4">
        <v>1.7002159999999999</v>
      </c>
      <c r="D1143" s="7">
        <v>80.473586999999995</v>
      </c>
      <c r="E1143">
        <v>1</v>
      </c>
      <c r="F1143">
        <v>1</v>
      </c>
      <c r="G1143" s="2">
        <v>2</v>
      </c>
      <c r="H1143" s="2">
        <v>2.8152550000000001</v>
      </c>
      <c r="I1143">
        <v>1</v>
      </c>
      <c r="J1143">
        <v>0</v>
      </c>
      <c r="K1143" s="2">
        <v>1.622214</v>
      </c>
      <c r="L1143">
        <v>0</v>
      </c>
      <c r="M1143" s="7">
        <v>0.463891</v>
      </c>
      <c r="N1143" s="7">
        <v>1.462664</v>
      </c>
      <c r="O1143">
        <v>0</v>
      </c>
      <c r="P1143" t="s">
        <v>14</v>
      </c>
      <c r="Q1143">
        <v>3</v>
      </c>
      <c r="R1143" s="8">
        <f>(Tabela2[[#This Row],[FAF_atividade_fisica_frequente_em_horas]]+ 0.1)</f>
        <v>0.56389100000000003</v>
      </c>
      <c r="S1143" s="1">
        <f>(Tabela2[[#This Row],[TUE_tempo_uso_aparelhos_em_horas]]/Tabela2[[#This Row],[FAF_Var]])</f>
        <v>2.5938771854844287</v>
      </c>
      <c r="T1143">
        <f>(Tabela2[[#This Row],[CAEC_lanche_entre_refeicoes]]*Tabela2[[#This Row],[FAVC_consumo_frequente_de_alimentos_mt_caloricos]])</f>
        <v>1</v>
      </c>
      <c r="U1143" s="1">
        <f>IF(OR(Tabela2[[#This Row],[MTRANS]]="Walking",Tabela2[[#This Row],[MTRANS]]="Bike"),Tabela2[[#This Row],[FAF_atividade_fisica_frequente_em_horas]]+1,M1143)</f>
        <v>0.463891</v>
      </c>
      <c r="V1143">
        <f>(Tabela2[[#This Row],[SMOKE]]+Tabela2[[#This Row],[CALC_bebe_alcool_frequentemente]])</f>
        <v>0</v>
      </c>
      <c r="W1143" s="8">
        <f>(Tabela2[[#This Row],[Weight]]/(Tabela2[[#This Row],[Height]] ^2))</f>
        <v>27.838457141261038</v>
      </c>
    </row>
    <row r="1144" spans="1:23" x14ac:dyDescent="0.25">
      <c r="A1144" t="s">
        <v>15</v>
      </c>
      <c r="B1144" s="7">
        <v>23</v>
      </c>
      <c r="C1144" s="4">
        <v>1.6721010000000001</v>
      </c>
      <c r="D1144" s="7">
        <v>80.939733000000004</v>
      </c>
      <c r="E1144">
        <v>1</v>
      </c>
      <c r="F1144">
        <v>1</v>
      </c>
      <c r="G1144" s="2">
        <v>2</v>
      </c>
      <c r="H1144" s="2">
        <v>2.3957850000000001</v>
      </c>
      <c r="I1144">
        <v>1</v>
      </c>
      <c r="J1144">
        <v>0</v>
      </c>
      <c r="K1144" s="2">
        <v>1.4007700000000001</v>
      </c>
      <c r="L1144">
        <v>0</v>
      </c>
      <c r="M1144" s="7">
        <v>0.788659</v>
      </c>
      <c r="N1144" s="7">
        <v>1.544357</v>
      </c>
      <c r="O1144">
        <v>0</v>
      </c>
      <c r="P1144" t="s">
        <v>14</v>
      </c>
      <c r="Q1144">
        <v>3</v>
      </c>
      <c r="R1144" s="8">
        <f>(Tabela2[[#This Row],[FAF_atividade_fisica_frequente_em_horas]]+ 0.1)</f>
        <v>0.88865899999999998</v>
      </c>
      <c r="S1144" s="1">
        <f>(Tabela2[[#This Row],[TUE_tempo_uso_aparelhos_em_horas]]/Tabela2[[#This Row],[FAF_Var]])</f>
        <v>1.7378510767347206</v>
      </c>
      <c r="T1144">
        <f>(Tabela2[[#This Row],[CAEC_lanche_entre_refeicoes]]*Tabela2[[#This Row],[FAVC_consumo_frequente_de_alimentos_mt_caloricos]])</f>
        <v>1</v>
      </c>
      <c r="U1144" s="1">
        <f>IF(OR(Tabela2[[#This Row],[MTRANS]]="Walking",Tabela2[[#This Row],[MTRANS]]="Bike"),Tabela2[[#This Row],[FAF_atividade_fisica_frequente_em_horas]]+1,M1144)</f>
        <v>0.788659</v>
      </c>
      <c r="V1144">
        <f>(Tabela2[[#This Row],[SMOKE]]+Tabela2[[#This Row],[CALC_bebe_alcool_frequentemente]])</f>
        <v>0</v>
      </c>
      <c r="W1144" s="8">
        <f>(Tabela2[[#This Row],[Weight]]/(Tabela2[[#This Row],[Height]] ^2))</f>
        <v>28.949212501524535</v>
      </c>
    </row>
    <row r="1145" spans="1:23" x14ac:dyDescent="0.25">
      <c r="A1145" t="s">
        <v>15</v>
      </c>
      <c r="B1145" s="7">
        <v>24.190895999999999</v>
      </c>
      <c r="C1145" s="4">
        <v>1.7</v>
      </c>
      <c r="D1145" s="7">
        <v>84.849349000000004</v>
      </c>
      <c r="E1145">
        <v>1</v>
      </c>
      <c r="F1145">
        <v>1</v>
      </c>
      <c r="G1145" s="2">
        <v>2</v>
      </c>
      <c r="H1145" s="2">
        <v>3</v>
      </c>
      <c r="I1145">
        <v>1</v>
      </c>
      <c r="J1145">
        <v>0</v>
      </c>
      <c r="K1145" s="2">
        <v>2.0560529999999999</v>
      </c>
      <c r="L1145">
        <v>0</v>
      </c>
      <c r="M1145" s="7">
        <v>0</v>
      </c>
      <c r="N1145" s="7">
        <v>1</v>
      </c>
      <c r="O1145">
        <v>1</v>
      </c>
      <c r="P1145" t="s">
        <v>14</v>
      </c>
      <c r="Q1145">
        <v>3</v>
      </c>
      <c r="R1145" s="8">
        <f>(Tabela2[[#This Row],[FAF_atividade_fisica_frequente_em_horas]]+ 0.1)</f>
        <v>0.1</v>
      </c>
      <c r="S1145" s="1">
        <f>(Tabela2[[#This Row],[TUE_tempo_uso_aparelhos_em_horas]]/Tabela2[[#This Row],[FAF_Var]])</f>
        <v>10</v>
      </c>
      <c r="T1145">
        <f>(Tabela2[[#This Row],[CAEC_lanche_entre_refeicoes]]*Tabela2[[#This Row],[FAVC_consumo_frequente_de_alimentos_mt_caloricos]])</f>
        <v>1</v>
      </c>
      <c r="U1145" s="1">
        <f>IF(OR(Tabela2[[#This Row],[MTRANS]]="Walking",Tabela2[[#This Row],[MTRANS]]="Bike"),Tabela2[[#This Row],[FAF_atividade_fisica_frequente_em_horas]]+1,M1145)</f>
        <v>0</v>
      </c>
      <c r="V1145">
        <f>(Tabela2[[#This Row],[SMOKE]]+Tabela2[[#This Row],[CALC_bebe_alcool_frequentemente]])</f>
        <v>1</v>
      </c>
      <c r="W1145" s="8">
        <f>(Tabela2[[#This Row],[Weight]]/(Tabela2[[#This Row],[Height]] ^2))</f>
        <v>29.359636332179935</v>
      </c>
    </row>
    <row r="1146" spans="1:23" x14ac:dyDescent="0.25">
      <c r="A1146" t="s">
        <v>15</v>
      </c>
      <c r="B1146" s="7">
        <v>23.94003</v>
      </c>
      <c r="C1146" s="4">
        <v>1.7213480000000001</v>
      </c>
      <c r="D1146" s="7">
        <v>83.986714000000006</v>
      </c>
      <c r="E1146">
        <v>1</v>
      </c>
      <c r="F1146">
        <v>1</v>
      </c>
      <c r="G1146" s="2">
        <v>2.4078170000000001</v>
      </c>
      <c r="H1146" s="2">
        <v>2.8441380000000001</v>
      </c>
      <c r="I1146">
        <v>1</v>
      </c>
      <c r="J1146">
        <v>0</v>
      </c>
      <c r="K1146" s="2">
        <v>1.983649</v>
      </c>
      <c r="L1146">
        <v>0</v>
      </c>
      <c r="M1146" s="7">
        <v>0.86872099999999997</v>
      </c>
      <c r="N1146" s="7">
        <v>8.9354000000000003E-2</v>
      </c>
      <c r="O1146">
        <v>1</v>
      </c>
      <c r="P1146" t="s">
        <v>14</v>
      </c>
      <c r="Q1146">
        <v>3</v>
      </c>
      <c r="R1146" s="8">
        <f>(Tabela2[[#This Row],[FAF_atividade_fisica_frequente_em_horas]]+ 0.1)</f>
        <v>0.96872099999999994</v>
      </c>
      <c r="S1146" s="1">
        <f>(Tabela2[[#This Row],[TUE_tempo_uso_aparelhos_em_horas]]/Tabela2[[#This Row],[FAF_Var]])</f>
        <v>9.2239148320311021E-2</v>
      </c>
      <c r="T1146">
        <f>(Tabela2[[#This Row],[CAEC_lanche_entre_refeicoes]]*Tabela2[[#This Row],[FAVC_consumo_frequente_de_alimentos_mt_caloricos]])</f>
        <v>1</v>
      </c>
      <c r="U1146" s="1">
        <f>IF(OR(Tabela2[[#This Row],[MTRANS]]="Walking",Tabela2[[#This Row],[MTRANS]]="Bike"),Tabela2[[#This Row],[FAF_atividade_fisica_frequente_em_horas]]+1,M1146)</f>
        <v>0.86872099999999997</v>
      </c>
      <c r="V1146">
        <f>(Tabela2[[#This Row],[SMOKE]]+Tabela2[[#This Row],[CALC_bebe_alcool_frequentemente]])</f>
        <v>1</v>
      </c>
      <c r="W1146" s="8">
        <f>(Tabela2[[#This Row],[Weight]]/(Tabela2[[#This Row],[Height]] ^2))</f>
        <v>28.344789178533883</v>
      </c>
    </row>
    <row r="1147" spans="1:23" x14ac:dyDescent="0.25">
      <c r="A1147" t="s">
        <v>13</v>
      </c>
      <c r="B1147" s="7">
        <v>26.591628</v>
      </c>
      <c r="C1147" s="4">
        <v>1.7</v>
      </c>
      <c r="D1147" s="7">
        <v>78.008387999999997</v>
      </c>
      <c r="E1147">
        <v>1</v>
      </c>
      <c r="F1147">
        <v>1</v>
      </c>
      <c r="G1147" s="2">
        <v>2.7343139999999999</v>
      </c>
      <c r="H1147" s="2">
        <v>3</v>
      </c>
      <c r="I1147">
        <v>1</v>
      </c>
      <c r="J1147">
        <v>0</v>
      </c>
      <c r="K1147" s="2">
        <v>3</v>
      </c>
      <c r="L1147">
        <v>0</v>
      </c>
      <c r="M1147" s="7">
        <v>0.897702</v>
      </c>
      <c r="N1147" s="7">
        <v>0.90827100000000005</v>
      </c>
      <c r="O1147">
        <v>2</v>
      </c>
      <c r="P1147" t="s">
        <v>14</v>
      </c>
      <c r="Q1147">
        <v>3</v>
      </c>
      <c r="R1147" s="8">
        <f>(Tabela2[[#This Row],[FAF_atividade_fisica_frequente_em_horas]]+ 0.1)</f>
        <v>0.99770199999999998</v>
      </c>
      <c r="S1147" s="1">
        <f>(Tabela2[[#This Row],[TUE_tempo_uso_aparelhos_em_horas]]/Tabela2[[#This Row],[FAF_Var]])</f>
        <v>0.91036301420664689</v>
      </c>
      <c r="T1147">
        <f>(Tabela2[[#This Row],[CAEC_lanche_entre_refeicoes]]*Tabela2[[#This Row],[FAVC_consumo_frequente_de_alimentos_mt_caloricos]])</f>
        <v>1</v>
      </c>
      <c r="U1147" s="1">
        <f>IF(OR(Tabela2[[#This Row],[MTRANS]]="Walking",Tabela2[[#This Row],[MTRANS]]="Bike"),Tabela2[[#This Row],[FAF_atividade_fisica_frequente_em_horas]]+1,M1147)</f>
        <v>0.897702</v>
      </c>
      <c r="V1147">
        <f>(Tabela2[[#This Row],[SMOKE]]+Tabela2[[#This Row],[CALC_bebe_alcool_frequentemente]])</f>
        <v>2</v>
      </c>
      <c r="W1147" s="8">
        <f>(Tabela2[[#This Row],[Weight]]/(Tabela2[[#This Row],[Height]] ^2))</f>
        <v>26.992521799307962</v>
      </c>
    </row>
    <row r="1148" spans="1:23" x14ac:dyDescent="0.25">
      <c r="A1148" t="s">
        <v>15</v>
      </c>
      <c r="B1148" s="7">
        <v>31.264627999999998</v>
      </c>
      <c r="C1148" s="4">
        <v>1.803129</v>
      </c>
      <c r="D1148" s="7">
        <v>91.052215000000004</v>
      </c>
      <c r="E1148">
        <v>1</v>
      </c>
      <c r="F1148">
        <v>1</v>
      </c>
      <c r="G1148" s="2">
        <v>2</v>
      </c>
      <c r="H1148" s="2">
        <v>3</v>
      </c>
      <c r="I1148">
        <v>1</v>
      </c>
      <c r="J1148">
        <v>0</v>
      </c>
      <c r="K1148" s="2">
        <v>1.1995169999999999</v>
      </c>
      <c r="L1148">
        <v>0</v>
      </c>
      <c r="M1148" s="7">
        <v>4.7738000000000003E-2</v>
      </c>
      <c r="N1148" s="7">
        <v>0.163329</v>
      </c>
      <c r="O1148">
        <v>1</v>
      </c>
      <c r="P1148" t="s">
        <v>14</v>
      </c>
      <c r="Q1148">
        <v>3</v>
      </c>
      <c r="R1148" s="8">
        <f>(Tabela2[[#This Row],[FAF_atividade_fisica_frequente_em_horas]]+ 0.1)</f>
        <v>0.14773800000000001</v>
      </c>
      <c r="S1148" s="1">
        <f>(Tabela2[[#This Row],[TUE_tempo_uso_aparelhos_em_horas]]/Tabela2[[#This Row],[FAF_Var]])</f>
        <v>1.1055314137188808</v>
      </c>
      <c r="T1148">
        <f>(Tabela2[[#This Row],[CAEC_lanche_entre_refeicoes]]*Tabela2[[#This Row],[FAVC_consumo_frequente_de_alimentos_mt_caloricos]])</f>
        <v>1</v>
      </c>
      <c r="U1148" s="1">
        <f>IF(OR(Tabela2[[#This Row],[MTRANS]]="Walking",Tabela2[[#This Row],[MTRANS]]="Bike"),Tabela2[[#This Row],[FAF_atividade_fisica_frequente_em_horas]]+1,M1148)</f>
        <v>4.7738000000000003E-2</v>
      </c>
      <c r="V1148">
        <f>(Tabela2[[#This Row],[SMOKE]]+Tabela2[[#This Row],[CALC_bebe_alcool_frequentemente]])</f>
        <v>1</v>
      </c>
      <c r="W1148" s="8">
        <f>(Tabela2[[#This Row],[Weight]]/(Tabela2[[#This Row],[Height]] ^2))</f>
        <v>28.005086517187511</v>
      </c>
    </row>
    <row r="1149" spans="1:23" x14ac:dyDescent="0.25">
      <c r="A1149" t="s">
        <v>13</v>
      </c>
      <c r="B1149" s="7">
        <v>23.629159000000001</v>
      </c>
      <c r="C1149" s="4">
        <v>1.7000200000000001</v>
      </c>
      <c r="D1149" s="7">
        <v>80.420434</v>
      </c>
      <c r="E1149">
        <v>1</v>
      </c>
      <c r="F1149">
        <v>1</v>
      </c>
      <c r="G1149" s="2">
        <v>2</v>
      </c>
      <c r="H1149" s="2">
        <v>3</v>
      </c>
      <c r="I1149">
        <v>1</v>
      </c>
      <c r="J1149">
        <v>0</v>
      </c>
      <c r="K1149" s="2">
        <v>2.3869039999999999</v>
      </c>
      <c r="L1149">
        <v>0</v>
      </c>
      <c r="M1149" s="7">
        <v>0.92620100000000005</v>
      </c>
      <c r="N1149" s="7">
        <v>1.3440300000000001</v>
      </c>
      <c r="O1149">
        <v>1</v>
      </c>
      <c r="P1149" t="s">
        <v>14</v>
      </c>
      <c r="Q1149">
        <v>3</v>
      </c>
      <c r="R1149" s="8">
        <f>(Tabela2[[#This Row],[FAF_atividade_fisica_frequente_em_horas]]+ 0.1)</f>
        <v>1.0262010000000001</v>
      </c>
      <c r="S1149" s="1">
        <f>(Tabela2[[#This Row],[TUE_tempo_uso_aparelhos_em_horas]]/Tabela2[[#This Row],[FAF_Var]])</f>
        <v>1.309714178801229</v>
      </c>
      <c r="T1149">
        <f>(Tabela2[[#This Row],[CAEC_lanche_entre_refeicoes]]*Tabela2[[#This Row],[FAVC_consumo_frequente_de_alimentos_mt_caloricos]])</f>
        <v>1</v>
      </c>
      <c r="U1149" s="1">
        <f>IF(OR(Tabela2[[#This Row],[MTRANS]]="Walking",Tabela2[[#This Row],[MTRANS]]="Bike"),Tabela2[[#This Row],[FAF_atividade_fisica_frequente_em_horas]]+1,M1149)</f>
        <v>0.92620100000000005</v>
      </c>
      <c r="V1149">
        <f>(Tabela2[[#This Row],[SMOKE]]+Tabela2[[#This Row],[CALC_bebe_alcool_frequentemente]])</f>
        <v>1</v>
      </c>
      <c r="W1149" s="8">
        <f>(Tabela2[[#This Row],[Weight]]/(Tabela2[[#This Row],[Height]] ^2))</f>
        <v>27.826485047711472</v>
      </c>
    </row>
    <row r="1150" spans="1:23" x14ac:dyDescent="0.25">
      <c r="A1150" t="s">
        <v>13</v>
      </c>
      <c r="B1150" s="7">
        <v>26.208134000000001</v>
      </c>
      <c r="C1150" s="4">
        <v>1.7</v>
      </c>
      <c r="D1150" s="7">
        <v>78.041337999999996</v>
      </c>
      <c r="E1150">
        <v>1</v>
      </c>
      <c r="F1150">
        <v>1</v>
      </c>
      <c r="G1150" s="2">
        <v>2.7843830000000001</v>
      </c>
      <c r="H1150" s="2">
        <v>3</v>
      </c>
      <c r="I1150">
        <v>1</v>
      </c>
      <c r="J1150">
        <v>0</v>
      </c>
      <c r="K1150" s="2">
        <v>2.1656049999999998</v>
      </c>
      <c r="L1150">
        <v>0</v>
      </c>
      <c r="M1150" s="7">
        <v>0.85597299999999998</v>
      </c>
      <c r="N1150" s="7">
        <v>0.83965900000000004</v>
      </c>
      <c r="O1150">
        <v>2</v>
      </c>
      <c r="P1150" t="s">
        <v>17</v>
      </c>
      <c r="Q1150">
        <v>3</v>
      </c>
      <c r="R1150" s="8">
        <f>(Tabela2[[#This Row],[FAF_atividade_fisica_frequente_em_horas]]+ 0.1)</f>
        <v>0.95597299999999996</v>
      </c>
      <c r="S1150" s="1">
        <f>(Tabela2[[#This Row],[TUE_tempo_uso_aparelhos_em_horas]]/Tabela2[[#This Row],[FAF_Var]])</f>
        <v>0.87832919967404943</v>
      </c>
      <c r="T1150">
        <f>(Tabela2[[#This Row],[CAEC_lanche_entre_refeicoes]]*Tabela2[[#This Row],[FAVC_consumo_frequente_de_alimentos_mt_caloricos]])</f>
        <v>1</v>
      </c>
      <c r="U1150" s="1">
        <f>IF(OR(Tabela2[[#This Row],[MTRANS]]="Walking",Tabela2[[#This Row],[MTRANS]]="Bike"),Tabela2[[#This Row],[FAF_atividade_fisica_frequente_em_horas]]+1,M1150)</f>
        <v>0.85597299999999998</v>
      </c>
      <c r="V1150">
        <f>(Tabela2[[#This Row],[SMOKE]]+Tabela2[[#This Row],[CALC_bebe_alcool_frequentemente]])</f>
        <v>2</v>
      </c>
      <c r="W1150" s="8">
        <f>(Tabela2[[#This Row],[Weight]]/(Tabela2[[#This Row],[Height]] ^2))</f>
        <v>27.003923183391006</v>
      </c>
    </row>
    <row r="1151" spans="1:23" x14ac:dyDescent="0.25">
      <c r="A1151" t="s">
        <v>15</v>
      </c>
      <c r="B1151" s="7">
        <v>17.689056999999998</v>
      </c>
      <c r="C1151" s="4">
        <v>1.7135990000000001</v>
      </c>
      <c r="D1151" s="7">
        <v>83.285753</v>
      </c>
      <c r="E1151">
        <v>1</v>
      </c>
      <c r="F1151">
        <v>1</v>
      </c>
      <c r="G1151" s="2">
        <v>2.0099520000000002</v>
      </c>
      <c r="H1151" s="2">
        <v>2.7161059999999999</v>
      </c>
      <c r="I1151">
        <v>1</v>
      </c>
      <c r="J1151">
        <v>0</v>
      </c>
      <c r="K1151" s="2">
        <v>1.660614</v>
      </c>
      <c r="L1151">
        <v>0</v>
      </c>
      <c r="M1151" s="7">
        <v>1</v>
      </c>
      <c r="N1151" s="7">
        <v>0.60472999999999999</v>
      </c>
      <c r="O1151">
        <v>1</v>
      </c>
      <c r="P1151" t="s">
        <v>14</v>
      </c>
      <c r="Q1151">
        <v>3</v>
      </c>
      <c r="R1151" s="8">
        <f>(Tabela2[[#This Row],[FAF_atividade_fisica_frequente_em_horas]]+ 0.1)</f>
        <v>1.1000000000000001</v>
      </c>
      <c r="S1151" s="1">
        <f>(Tabela2[[#This Row],[TUE_tempo_uso_aparelhos_em_horas]]/Tabela2[[#This Row],[FAF_Var]])</f>
        <v>0.54975454545454538</v>
      </c>
      <c r="T1151">
        <f>(Tabela2[[#This Row],[CAEC_lanche_entre_refeicoes]]*Tabela2[[#This Row],[FAVC_consumo_frequente_de_alimentos_mt_caloricos]])</f>
        <v>1</v>
      </c>
      <c r="U1151" s="1">
        <f>IF(OR(Tabela2[[#This Row],[MTRANS]]="Walking",Tabela2[[#This Row],[MTRANS]]="Bike"),Tabela2[[#This Row],[FAF_atividade_fisica_frequente_em_horas]]+1,M1151)</f>
        <v>1</v>
      </c>
      <c r="V1151">
        <f>(Tabela2[[#This Row],[SMOKE]]+Tabela2[[#This Row],[CALC_bebe_alcool_frequentemente]])</f>
        <v>1</v>
      </c>
      <c r="W1151" s="8">
        <f>(Tabela2[[#This Row],[Weight]]/(Tabela2[[#This Row],[Height]] ^2))</f>
        <v>28.363009898158321</v>
      </c>
    </row>
    <row r="1152" spans="1:23" x14ac:dyDescent="0.25">
      <c r="A1152" t="s">
        <v>15</v>
      </c>
      <c r="B1152" s="7">
        <v>19.160969999999999</v>
      </c>
      <c r="C1152" s="4">
        <v>1.662728</v>
      </c>
      <c r="D1152" s="7">
        <v>77.473203999999996</v>
      </c>
      <c r="E1152">
        <v>1</v>
      </c>
      <c r="F1152">
        <v>0</v>
      </c>
      <c r="G1152" s="2">
        <v>2.0086560000000002</v>
      </c>
      <c r="H1152" s="2">
        <v>1.402771</v>
      </c>
      <c r="I1152">
        <v>1</v>
      </c>
      <c r="J1152">
        <v>0</v>
      </c>
      <c r="K1152" s="2">
        <v>3</v>
      </c>
      <c r="L1152">
        <v>0</v>
      </c>
      <c r="M1152" s="7">
        <v>0.112383</v>
      </c>
      <c r="N1152" s="7">
        <v>0.32802999999999999</v>
      </c>
      <c r="O1152">
        <v>1</v>
      </c>
      <c r="P1152" t="s">
        <v>14</v>
      </c>
      <c r="Q1152">
        <v>3</v>
      </c>
      <c r="R1152" s="8">
        <f>(Tabela2[[#This Row],[FAF_atividade_fisica_frequente_em_horas]]+ 0.1)</f>
        <v>0.21238299999999999</v>
      </c>
      <c r="S1152" s="1">
        <f>(Tabela2[[#This Row],[TUE_tempo_uso_aparelhos_em_horas]]/Tabela2[[#This Row],[FAF_Var]])</f>
        <v>1.5445209833178739</v>
      </c>
      <c r="T1152">
        <f>(Tabela2[[#This Row],[CAEC_lanche_entre_refeicoes]]*Tabela2[[#This Row],[FAVC_consumo_frequente_de_alimentos_mt_caloricos]])</f>
        <v>0</v>
      </c>
      <c r="U1152" s="1">
        <f>IF(OR(Tabela2[[#This Row],[MTRANS]]="Walking",Tabela2[[#This Row],[MTRANS]]="Bike"),Tabela2[[#This Row],[FAF_atividade_fisica_frequente_em_horas]]+1,M1152)</f>
        <v>0.112383</v>
      </c>
      <c r="V1152">
        <f>(Tabela2[[#This Row],[SMOKE]]+Tabela2[[#This Row],[CALC_bebe_alcool_frequentemente]])</f>
        <v>1</v>
      </c>
      <c r="W1152" s="8">
        <f>(Tabela2[[#This Row],[Weight]]/(Tabela2[[#This Row],[Height]] ^2))</f>
        <v>28.02264316218745</v>
      </c>
    </row>
    <row r="1153" spans="1:23" x14ac:dyDescent="0.25">
      <c r="A1153" t="s">
        <v>15</v>
      </c>
      <c r="B1153" s="7">
        <v>25.457630000000002</v>
      </c>
      <c r="C1153" s="4">
        <v>1.837399</v>
      </c>
      <c r="D1153" s="7">
        <v>95.952027000000001</v>
      </c>
      <c r="E1153">
        <v>1</v>
      </c>
      <c r="F1153">
        <v>1</v>
      </c>
      <c r="G1153" s="2">
        <v>1.1221270000000001</v>
      </c>
      <c r="H1153" s="2">
        <v>2.8656570000000001</v>
      </c>
      <c r="I1153">
        <v>1</v>
      </c>
      <c r="J1153">
        <v>0</v>
      </c>
      <c r="K1153" s="2">
        <v>2</v>
      </c>
      <c r="L1153">
        <v>0</v>
      </c>
      <c r="M1153" s="7">
        <v>1.28775</v>
      </c>
      <c r="N1153" s="7">
        <v>1.944177</v>
      </c>
      <c r="O1153">
        <v>1</v>
      </c>
      <c r="P1153" t="s">
        <v>14</v>
      </c>
      <c r="Q1153">
        <v>3</v>
      </c>
      <c r="R1153" s="8">
        <f>(Tabela2[[#This Row],[FAF_atividade_fisica_frequente_em_horas]]+ 0.1)</f>
        <v>1.38775</v>
      </c>
      <c r="S1153" s="1">
        <f>(Tabela2[[#This Row],[TUE_tempo_uso_aparelhos_em_horas]]/Tabela2[[#This Row],[FAF_Var]])</f>
        <v>1.400956224103765</v>
      </c>
      <c r="T1153">
        <f>(Tabela2[[#This Row],[CAEC_lanche_entre_refeicoes]]*Tabela2[[#This Row],[FAVC_consumo_frequente_de_alimentos_mt_caloricos]])</f>
        <v>1</v>
      </c>
      <c r="U1153" s="1">
        <f>IF(OR(Tabela2[[#This Row],[MTRANS]]="Walking",Tabela2[[#This Row],[MTRANS]]="Bike"),Tabela2[[#This Row],[FAF_atividade_fisica_frequente_em_horas]]+1,M1153)</f>
        <v>1.28775</v>
      </c>
      <c r="V1153">
        <f>(Tabela2[[#This Row],[SMOKE]]+Tabela2[[#This Row],[CALC_bebe_alcool_frequentemente]])</f>
        <v>1</v>
      </c>
      <c r="W1153" s="8">
        <f>(Tabela2[[#This Row],[Weight]]/(Tabela2[[#This Row],[Height]] ^2))</f>
        <v>28.421513573899151</v>
      </c>
    </row>
    <row r="1154" spans="1:23" x14ac:dyDescent="0.25">
      <c r="A1154" t="s">
        <v>15</v>
      </c>
      <c r="B1154" s="7">
        <v>22.988004</v>
      </c>
      <c r="C1154" s="4">
        <v>1.80827</v>
      </c>
      <c r="D1154" s="7">
        <v>91.363292999999999</v>
      </c>
      <c r="E1154">
        <v>1</v>
      </c>
      <c r="F1154">
        <v>1</v>
      </c>
      <c r="G1154" s="2">
        <v>1.963965</v>
      </c>
      <c r="H1154" s="2">
        <v>1.8362259999999999</v>
      </c>
      <c r="I1154">
        <v>1</v>
      </c>
      <c r="J1154">
        <v>0</v>
      </c>
      <c r="K1154" s="2">
        <v>1.85537</v>
      </c>
      <c r="L1154">
        <v>0</v>
      </c>
      <c r="M1154" s="7">
        <v>0</v>
      </c>
      <c r="N1154" s="7">
        <v>1.667745</v>
      </c>
      <c r="O1154">
        <v>1</v>
      </c>
      <c r="P1154" t="s">
        <v>14</v>
      </c>
      <c r="Q1154">
        <v>3</v>
      </c>
      <c r="R1154" s="8">
        <f>(Tabela2[[#This Row],[FAF_atividade_fisica_frequente_em_horas]]+ 0.1)</f>
        <v>0.1</v>
      </c>
      <c r="S1154" s="1">
        <f>(Tabela2[[#This Row],[TUE_tempo_uso_aparelhos_em_horas]]/Tabela2[[#This Row],[FAF_Var]])</f>
        <v>16.67745</v>
      </c>
      <c r="T1154">
        <f>(Tabela2[[#This Row],[CAEC_lanche_entre_refeicoes]]*Tabela2[[#This Row],[FAVC_consumo_frequente_de_alimentos_mt_caloricos]])</f>
        <v>1</v>
      </c>
      <c r="U1154" s="1">
        <f>IF(OR(Tabela2[[#This Row],[MTRANS]]="Walking",Tabela2[[#This Row],[MTRANS]]="Bike"),Tabela2[[#This Row],[FAF_atividade_fisica_frequente_em_horas]]+1,M1154)</f>
        <v>0</v>
      </c>
      <c r="V1154">
        <f>(Tabela2[[#This Row],[SMOKE]]+Tabela2[[#This Row],[CALC_bebe_alcool_frequentemente]])</f>
        <v>1</v>
      </c>
      <c r="W1154" s="8">
        <f>(Tabela2[[#This Row],[Weight]]/(Tabela2[[#This Row],[Height]] ^2))</f>
        <v>27.941208750856031</v>
      </c>
    </row>
    <row r="1155" spans="1:23" x14ac:dyDescent="0.25">
      <c r="A1155" t="s">
        <v>15</v>
      </c>
      <c r="B1155" s="7">
        <v>23.603190999999999</v>
      </c>
      <c r="C1155" s="4">
        <v>1.7145079999999999</v>
      </c>
      <c r="D1155" s="7">
        <v>85.137112999999999</v>
      </c>
      <c r="E1155">
        <v>1</v>
      </c>
      <c r="F1155">
        <v>1</v>
      </c>
      <c r="G1155" s="2">
        <v>2.3197760000000001</v>
      </c>
      <c r="H1155" s="2">
        <v>2.8848479999999999</v>
      </c>
      <c r="I1155">
        <v>1</v>
      </c>
      <c r="J1155">
        <v>0</v>
      </c>
      <c r="K1155" s="2">
        <v>2.1548980000000002</v>
      </c>
      <c r="L1155">
        <v>0</v>
      </c>
      <c r="M1155" s="7">
        <v>0.32553399999999999</v>
      </c>
      <c r="N1155" s="7">
        <v>0.95421599999999995</v>
      </c>
      <c r="O1155">
        <v>1</v>
      </c>
      <c r="P1155" t="s">
        <v>14</v>
      </c>
      <c r="Q1155">
        <v>3</v>
      </c>
      <c r="R1155" s="8">
        <f>(Tabela2[[#This Row],[FAF_atividade_fisica_frequente_em_horas]]+ 0.1)</f>
        <v>0.42553399999999997</v>
      </c>
      <c r="S1155" s="1">
        <f>(Tabela2[[#This Row],[TUE_tempo_uso_aparelhos_em_horas]]/Tabela2[[#This Row],[FAF_Var]])</f>
        <v>2.2423966122565999</v>
      </c>
      <c r="T1155">
        <f>(Tabela2[[#This Row],[CAEC_lanche_entre_refeicoes]]*Tabela2[[#This Row],[FAVC_consumo_frequente_de_alimentos_mt_caloricos]])</f>
        <v>1</v>
      </c>
      <c r="U1155" s="1">
        <f>IF(OR(Tabela2[[#This Row],[MTRANS]]="Walking",Tabela2[[#This Row],[MTRANS]]="Bike"),Tabela2[[#This Row],[FAF_atividade_fisica_frequente_em_horas]]+1,M1155)</f>
        <v>0.32553399999999999</v>
      </c>
      <c r="V1155">
        <f>(Tabela2[[#This Row],[SMOKE]]+Tabela2[[#This Row],[CALC_bebe_alcool_frequentemente]])</f>
        <v>1</v>
      </c>
      <c r="W1155" s="8">
        <f>(Tabela2[[#This Row],[Weight]]/(Tabela2[[#This Row],[Height]] ^2))</f>
        <v>28.96275612300397</v>
      </c>
    </row>
    <row r="1156" spans="1:23" x14ac:dyDescent="0.25">
      <c r="A1156" t="s">
        <v>15</v>
      </c>
      <c r="B1156" s="7">
        <v>22.882558</v>
      </c>
      <c r="C1156" s="4">
        <v>1.7934509999999999</v>
      </c>
      <c r="D1156" s="7">
        <v>89.909259000000006</v>
      </c>
      <c r="E1156">
        <v>1</v>
      </c>
      <c r="F1156">
        <v>1</v>
      </c>
      <c r="G1156" s="2">
        <v>1.899116</v>
      </c>
      <c r="H1156" s="2">
        <v>2.3750260000000001</v>
      </c>
      <c r="I1156">
        <v>1</v>
      </c>
      <c r="J1156">
        <v>0</v>
      </c>
      <c r="K1156" s="2">
        <v>1.3985399999999999</v>
      </c>
      <c r="L1156">
        <v>0</v>
      </c>
      <c r="M1156" s="7">
        <v>0</v>
      </c>
      <c r="N1156" s="7">
        <v>1.365793</v>
      </c>
      <c r="O1156">
        <v>1</v>
      </c>
      <c r="P1156" t="s">
        <v>14</v>
      </c>
      <c r="Q1156">
        <v>3</v>
      </c>
      <c r="R1156" s="8">
        <f>(Tabela2[[#This Row],[FAF_atividade_fisica_frequente_em_horas]]+ 0.1)</f>
        <v>0.1</v>
      </c>
      <c r="S1156" s="1">
        <f>(Tabela2[[#This Row],[TUE_tempo_uso_aparelhos_em_horas]]/Tabela2[[#This Row],[FAF_Var]])</f>
        <v>13.65793</v>
      </c>
      <c r="T1156">
        <f>(Tabela2[[#This Row],[CAEC_lanche_entre_refeicoes]]*Tabela2[[#This Row],[FAVC_consumo_frequente_de_alimentos_mt_caloricos]])</f>
        <v>1</v>
      </c>
      <c r="U1156" s="1">
        <f>IF(OR(Tabela2[[#This Row],[MTRANS]]="Walking",Tabela2[[#This Row],[MTRANS]]="Bike"),Tabela2[[#This Row],[FAF_atividade_fisica_frequente_em_horas]]+1,M1156)</f>
        <v>0</v>
      </c>
      <c r="V1156">
        <f>(Tabela2[[#This Row],[SMOKE]]+Tabela2[[#This Row],[CALC_bebe_alcool_frequentemente]])</f>
        <v>1</v>
      </c>
      <c r="W1156" s="8">
        <f>(Tabela2[[#This Row],[Weight]]/(Tabela2[[#This Row],[Height]] ^2))</f>
        <v>27.952804512738368</v>
      </c>
    </row>
    <row r="1157" spans="1:23" x14ac:dyDescent="0.25">
      <c r="A1157" t="s">
        <v>13</v>
      </c>
      <c r="B1157" s="7">
        <v>23.586058000000001</v>
      </c>
      <c r="C1157" s="4">
        <v>1.700499</v>
      </c>
      <c r="D1157" s="7">
        <v>81.108598999999998</v>
      </c>
      <c r="E1157">
        <v>1</v>
      </c>
      <c r="F1157">
        <v>1</v>
      </c>
      <c r="G1157" s="2">
        <v>2.0427620000000002</v>
      </c>
      <c r="H1157" s="2">
        <v>2.9773999999999998</v>
      </c>
      <c r="I1157">
        <v>1</v>
      </c>
      <c r="J1157">
        <v>0</v>
      </c>
      <c r="K1157" s="2">
        <v>1.5224260000000001</v>
      </c>
      <c r="L1157">
        <v>0</v>
      </c>
      <c r="M1157" s="7">
        <v>0.501417</v>
      </c>
      <c r="N1157" s="7">
        <v>1.0291349999999999</v>
      </c>
      <c r="O1157">
        <v>1</v>
      </c>
      <c r="P1157" t="s">
        <v>14</v>
      </c>
      <c r="Q1157">
        <v>3</v>
      </c>
      <c r="R1157" s="8">
        <f>(Tabela2[[#This Row],[FAF_atividade_fisica_frequente_em_horas]]+ 0.1)</f>
        <v>0.60141699999999998</v>
      </c>
      <c r="S1157" s="1">
        <f>(Tabela2[[#This Row],[TUE_tempo_uso_aparelhos_em_horas]]/Tabela2[[#This Row],[FAF_Var]])</f>
        <v>1.7111837543667703</v>
      </c>
      <c r="T1157">
        <f>(Tabela2[[#This Row],[CAEC_lanche_entre_refeicoes]]*Tabela2[[#This Row],[FAVC_consumo_frequente_de_alimentos_mt_caloricos]])</f>
        <v>1</v>
      </c>
      <c r="U1157" s="1">
        <f>IF(OR(Tabela2[[#This Row],[MTRANS]]="Walking",Tabela2[[#This Row],[MTRANS]]="Bike"),Tabela2[[#This Row],[FAF_atividade_fisica_frequente_em_horas]]+1,M1157)</f>
        <v>0.501417</v>
      </c>
      <c r="V1157">
        <f>(Tabela2[[#This Row],[SMOKE]]+Tabela2[[#This Row],[CALC_bebe_alcool_frequentemente]])</f>
        <v>1</v>
      </c>
      <c r="W1157" s="8">
        <f>(Tabela2[[#This Row],[Weight]]/(Tabela2[[#This Row],[Height]] ^2))</f>
        <v>28.048790462949373</v>
      </c>
    </row>
    <row r="1158" spans="1:23" x14ac:dyDescent="0.25">
      <c r="A1158" t="s">
        <v>15</v>
      </c>
      <c r="B1158" s="7">
        <v>34.432668999999997</v>
      </c>
      <c r="C1158" s="4">
        <v>1.6949970000000001</v>
      </c>
      <c r="D1158" s="7">
        <v>84.451423000000005</v>
      </c>
      <c r="E1158">
        <v>1</v>
      </c>
      <c r="F1158">
        <v>1</v>
      </c>
      <c r="G1158" s="2">
        <v>2.1296680000000001</v>
      </c>
      <c r="H1158" s="2">
        <v>2.6936460000000002</v>
      </c>
      <c r="I1158">
        <v>1</v>
      </c>
      <c r="J1158">
        <v>0</v>
      </c>
      <c r="K1158" s="2">
        <v>2.60669</v>
      </c>
      <c r="L1158">
        <v>0</v>
      </c>
      <c r="M1158" s="7">
        <v>1.1708229999999999</v>
      </c>
      <c r="N1158" s="7">
        <v>0.29089799999999999</v>
      </c>
      <c r="O1158">
        <v>0</v>
      </c>
      <c r="P1158" t="s">
        <v>17</v>
      </c>
      <c r="Q1158">
        <v>3</v>
      </c>
      <c r="R1158" s="8">
        <f>(Tabela2[[#This Row],[FAF_atividade_fisica_frequente_em_horas]]+ 0.1)</f>
        <v>1.270823</v>
      </c>
      <c r="S1158" s="1">
        <f>(Tabela2[[#This Row],[TUE_tempo_uso_aparelhos_em_horas]]/Tabela2[[#This Row],[FAF_Var]])</f>
        <v>0.22890520552429408</v>
      </c>
      <c r="T1158">
        <f>(Tabela2[[#This Row],[CAEC_lanche_entre_refeicoes]]*Tabela2[[#This Row],[FAVC_consumo_frequente_de_alimentos_mt_caloricos]])</f>
        <v>1</v>
      </c>
      <c r="U1158" s="1">
        <f>IF(OR(Tabela2[[#This Row],[MTRANS]]="Walking",Tabela2[[#This Row],[MTRANS]]="Bike"),Tabela2[[#This Row],[FAF_atividade_fisica_frequente_em_horas]]+1,M1158)</f>
        <v>1.1708229999999999</v>
      </c>
      <c r="V1158">
        <f>(Tabela2[[#This Row],[SMOKE]]+Tabela2[[#This Row],[CALC_bebe_alcool_frequentemente]])</f>
        <v>0</v>
      </c>
      <c r="W1158" s="8">
        <f>(Tabela2[[#This Row],[Weight]]/(Tabela2[[#This Row],[Height]] ^2))</f>
        <v>29.394704864692763</v>
      </c>
    </row>
    <row r="1159" spans="1:23" x14ac:dyDescent="0.25">
      <c r="A1159" t="s">
        <v>13</v>
      </c>
      <c r="B1159" s="7">
        <v>25.472995000000001</v>
      </c>
      <c r="C1159" s="4">
        <v>1.6889110000000001</v>
      </c>
      <c r="D1159" s="7">
        <v>78.434492000000006</v>
      </c>
      <c r="E1159">
        <v>1</v>
      </c>
      <c r="F1159">
        <v>1</v>
      </c>
      <c r="G1159" s="2">
        <v>2.182401</v>
      </c>
      <c r="H1159" s="2">
        <v>2.8320180000000001</v>
      </c>
      <c r="I1159">
        <v>1</v>
      </c>
      <c r="J1159">
        <v>0</v>
      </c>
      <c r="K1159" s="2">
        <v>2.4569390000000002</v>
      </c>
      <c r="L1159">
        <v>0</v>
      </c>
      <c r="M1159" s="7">
        <v>3.8809000000000003E-2</v>
      </c>
      <c r="N1159" s="7">
        <v>0.52401500000000001</v>
      </c>
      <c r="O1159">
        <v>2</v>
      </c>
      <c r="P1159" t="s">
        <v>14</v>
      </c>
      <c r="Q1159">
        <v>3</v>
      </c>
      <c r="R1159" s="8">
        <f>(Tabela2[[#This Row],[FAF_atividade_fisica_frequente_em_horas]]+ 0.1)</f>
        <v>0.13880900000000002</v>
      </c>
      <c r="S1159" s="1">
        <f>(Tabela2[[#This Row],[TUE_tempo_uso_aparelhos_em_horas]]/Tabela2[[#This Row],[FAF_Var]])</f>
        <v>3.7750794256856541</v>
      </c>
      <c r="T1159">
        <f>(Tabela2[[#This Row],[CAEC_lanche_entre_refeicoes]]*Tabela2[[#This Row],[FAVC_consumo_frequente_de_alimentos_mt_caloricos]])</f>
        <v>1</v>
      </c>
      <c r="U1159" s="1">
        <f>IF(OR(Tabela2[[#This Row],[MTRANS]]="Walking",Tabela2[[#This Row],[MTRANS]]="Bike"),Tabela2[[#This Row],[FAF_atividade_fisica_frequente_em_horas]]+1,M1159)</f>
        <v>3.8809000000000003E-2</v>
      </c>
      <c r="V1159">
        <f>(Tabela2[[#This Row],[SMOKE]]+Tabela2[[#This Row],[CALC_bebe_alcool_frequentemente]])</f>
        <v>2</v>
      </c>
      <c r="W1159" s="8">
        <f>(Tabela2[[#This Row],[Weight]]/(Tabela2[[#This Row],[Height]] ^2))</f>
        <v>27.497522082329819</v>
      </c>
    </row>
    <row r="1160" spans="1:23" x14ac:dyDescent="0.25">
      <c r="A1160" t="s">
        <v>15</v>
      </c>
      <c r="B1160" s="7">
        <v>55.022494000000002</v>
      </c>
      <c r="C1160" s="4">
        <v>1.673394</v>
      </c>
      <c r="D1160" s="7">
        <v>80.400306</v>
      </c>
      <c r="E1160">
        <v>1</v>
      </c>
      <c r="F1160">
        <v>1</v>
      </c>
      <c r="G1160" s="2">
        <v>2</v>
      </c>
      <c r="H1160" s="2">
        <v>3</v>
      </c>
      <c r="I1160">
        <v>1</v>
      </c>
      <c r="J1160">
        <v>0</v>
      </c>
      <c r="K1160" s="2">
        <v>2</v>
      </c>
      <c r="L1160">
        <v>0</v>
      </c>
      <c r="M1160" s="7">
        <v>1</v>
      </c>
      <c r="N1160" s="7">
        <v>0</v>
      </c>
      <c r="O1160">
        <v>0</v>
      </c>
      <c r="P1160" t="s">
        <v>17</v>
      </c>
      <c r="Q1160">
        <v>3</v>
      </c>
      <c r="R1160" s="8">
        <f>(Tabela2[[#This Row],[FAF_atividade_fisica_frequente_em_horas]]+ 0.1)</f>
        <v>1.1000000000000001</v>
      </c>
      <c r="S1160" s="1">
        <f>(Tabela2[[#This Row],[TUE_tempo_uso_aparelhos_em_horas]]/Tabela2[[#This Row],[FAF_Var]])</f>
        <v>0</v>
      </c>
      <c r="T1160">
        <f>(Tabela2[[#This Row],[CAEC_lanche_entre_refeicoes]]*Tabela2[[#This Row],[FAVC_consumo_frequente_de_alimentos_mt_caloricos]])</f>
        <v>1</v>
      </c>
      <c r="U1160" s="1">
        <f>IF(OR(Tabela2[[#This Row],[MTRANS]]="Walking",Tabela2[[#This Row],[MTRANS]]="Bike"),Tabela2[[#This Row],[FAF_atividade_fisica_frequente_em_horas]]+1,M1160)</f>
        <v>1</v>
      </c>
      <c r="V1160">
        <f>(Tabela2[[#This Row],[SMOKE]]+Tabela2[[#This Row],[CALC_bebe_alcool_frequentemente]])</f>
        <v>0</v>
      </c>
      <c r="W1160" s="8">
        <f>(Tabela2[[#This Row],[Weight]]/(Tabela2[[#This Row],[Height]] ^2))</f>
        <v>28.7118572898192</v>
      </c>
    </row>
    <row r="1161" spans="1:23" x14ac:dyDescent="0.25">
      <c r="A1161" t="s">
        <v>15</v>
      </c>
      <c r="B1161" s="7">
        <v>34.647036</v>
      </c>
      <c r="C1161" s="4">
        <v>1.7694989999999999</v>
      </c>
      <c r="D1161" s="7">
        <v>85</v>
      </c>
      <c r="E1161">
        <v>1</v>
      </c>
      <c r="F1161">
        <v>1</v>
      </c>
      <c r="G1161" s="2">
        <v>2.8026960000000001</v>
      </c>
      <c r="H1161" s="2">
        <v>3</v>
      </c>
      <c r="I1161">
        <v>1</v>
      </c>
      <c r="J1161">
        <v>0</v>
      </c>
      <c r="K1161" s="2">
        <v>2.9784649999999999</v>
      </c>
      <c r="L1161">
        <v>0</v>
      </c>
      <c r="M1161" s="7">
        <v>1.974656</v>
      </c>
      <c r="N1161" s="7">
        <v>0.93692500000000001</v>
      </c>
      <c r="O1161">
        <v>0</v>
      </c>
      <c r="P1161" t="s">
        <v>17</v>
      </c>
      <c r="Q1161">
        <v>3</v>
      </c>
      <c r="R1161" s="8">
        <f>(Tabela2[[#This Row],[FAF_atividade_fisica_frequente_em_horas]]+ 0.1)</f>
        <v>2.0746560000000001</v>
      </c>
      <c r="S1161" s="1">
        <f>(Tabela2[[#This Row],[TUE_tempo_uso_aparelhos_em_horas]]/Tabela2[[#This Row],[FAF_Var]])</f>
        <v>0.45160498897166568</v>
      </c>
      <c r="T1161">
        <f>(Tabela2[[#This Row],[CAEC_lanche_entre_refeicoes]]*Tabela2[[#This Row],[FAVC_consumo_frequente_de_alimentos_mt_caloricos]])</f>
        <v>1</v>
      </c>
      <c r="U1161" s="1">
        <f>IF(OR(Tabela2[[#This Row],[MTRANS]]="Walking",Tabela2[[#This Row],[MTRANS]]="Bike"),Tabela2[[#This Row],[FAF_atividade_fisica_frequente_em_horas]]+1,M1161)</f>
        <v>1.974656</v>
      </c>
      <c r="V1161">
        <f>(Tabela2[[#This Row],[SMOKE]]+Tabela2[[#This Row],[CALC_bebe_alcool_frequentemente]])</f>
        <v>0</v>
      </c>
      <c r="W1161" s="8">
        <f>(Tabela2[[#This Row],[Weight]]/(Tabela2[[#This Row],[Height]] ^2))</f>
        <v>27.146777452780274</v>
      </c>
    </row>
    <row r="1162" spans="1:23" x14ac:dyDescent="0.25">
      <c r="A1162" t="s">
        <v>15</v>
      </c>
      <c r="B1162" s="7">
        <v>21.997335</v>
      </c>
      <c r="C1162" s="4">
        <v>1.65</v>
      </c>
      <c r="D1162" s="7">
        <v>80</v>
      </c>
      <c r="E1162">
        <v>1</v>
      </c>
      <c r="F1162">
        <v>1</v>
      </c>
      <c r="G1162" s="2">
        <v>2</v>
      </c>
      <c r="H1162" s="2">
        <v>3</v>
      </c>
      <c r="I1162">
        <v>1</v>
      </c>
      <c r="J1162">
        <v>0</v>
      </c>
      <c r="K1162" s="2">
        <v>2</v>
      </c>
      <c r="L1162">
        <v>0</v>
      </c>
      <c r="M1162" s="7">
        <v>0.52734099999999995</v>
      </c>
      <c r="N1162" s="7">
        <v>2</v>
      </c>
      <c r="O1162">
        <v>0</v>
      </c>
      <c r="P1162" t="s">
        <v>14</v>
      </c>
      <c r="Q1162">
        <v>3</v>
      </c>
      <c r="R1162" s="8">
        <f>(Tabela2[[#This Row],[FAF_atividade_fisica_frequente_em_horas]]+ 0.1)</f>
        <v>0.62734099999999993</v>
      </c>
      <c r="S1162" s="1">
        <f>(Tabela2[[#This Row],[TUE_tempo_uso_aparelhos_em_horas]]/Tabela2[[#This Row],[FAF_Var]])</f>
        <v>3.1880588069327529</v>
      </c>
      <c r="T1162">
        <f>(Tabela2[[#This Row],[CAEC_lanche_entre_refeicoes]]*Tabela2[[#This Row],[FAVC_consumo_frequente_de_alimentos_mt_caloricos]])</f>
        <v>1</v>
      </c>
      <c r="U1162" s="1">
        <f>IF(OR(Tabela2[[#This Row],[MTRANS]]="Walking",Tabela2[[#This Row],[MTRANS]]="Bike"),Tabela2[[#This Row],[FAF_atividade_fisica_frequente_em_horas]]+1,M1162)</f>
        <v>0.52734099999999995</v>
      </c>
      <c r="V1162">
        <f>(Tabela2[[#This Row],[SMOKE]]+Tabela2[[#This Row],[CALC_bebe_alcool_frequentemente]])</f>
        <v>0</v>
      </c>
      <c r="W1162" s="8">
        <f>(Tabela2[[#This Row],[Weight]]/(Tabela2[[#This Row],[Height]] ^2))</f>
        <v>29.384756657483933</v>
      </c>
    </row>
    <row r="1163" spans="1:23" x14ac:dyDescent="0.25">
      <c r="A1163" t="s">
        <v>15</v>
      </c>
      <c r="B1163" s="7">
        <v>18.181820999999999</v>
      </c>
      <c r="C1163" s="4">
        <v>1.662669</v>
      </c>
      <c r="D1163" s="7">
        <v>79.863545999999999</v>
      </c>
      <c r="E1163">
        <v>1</v>
      </c>
      <c r="F1163">
        <v>0</v>
      </c>
      <c r="G1163" s="2">
        <v>2.4927579999999998</v>
      </c>
      <c r="H1163" s="2">
        <v>2.2701630000000002</v>
      </c>
      <c r="I1163">
        <v>1</v>
      </c>
      <c r="J1163">
        <v>0</v>
      </c>
      <c r="K1163" s="2">
        <v>1.992586</v>
      </c>
      <c r="L1163">
        <v>0</v>
      </c>
      <c r="M1163" s="7">
        <v>1.452467</v>
      </c>
      <c r="N1163" s="7">
        <v>0.86458299999999999</v>
      </c>
      <c r="O1163">
        <v>0</v>
      </c>
      <c r="P1163" t="s">
        <v>14</v>
      </c>
      <c r="Q1163">
        <v>3</v>
      </c>
      <c r="R1163" s="8">
        <f>(Tabela2[[#This Row],[FAF_atividade_fisica_frequente_em_horas]]+ 0.1)</f>
        <v>1.552467</v>
      </c>
      <c r="S1163" s="1">
        <f>(Tabela2[[#This Row],[TUE_tempo_uso_aparelhos_em_horas]]/Tabela2[[#This Row],[FAF_Var]])</f>
        <v>0.55690910016122719</v>
      </c>
      <c r="T1163">
        <f>(Tabela2[[#This Row],[CAEC_lanche_entre_refeicoes]]*Tabela2[[#This Row],[FAVC_consumo_frequente_de_alimentos_mt_caloricos]])</f>
        <v>0</v>
      </c>
      <c r="U1163" s="1">
        <f>IF(OR(Tabela2[[#This Row],[MTRANS]]="Walking",Tabela2[[#This Row],[MTRANS]]="Bike"),Tabela2[[#This Row],[FAF_atividade_fisica_frequente_em_horas]]+1,M1163)</f>
        <v>1.452467</v>
      </c>
      <c r="V1163">
        <f>(Tabela2[[#This Row],[SMOKE]]+Tabela2[[#This Row],[CALC_bebe_alcool_frequentemente]])</f>
        <v>0</v>
      </c>
      <c r="W1163" s="8">
        <f>(Tabela2[[#This Row],[Weight]]/(Tabela2[[#This Row],[Height]] ^2))</f>
        <v>28.889298092531941</v>
      </c>
    </row>
    <row r="1164" spans="1:23" x14ac:dyDescent="0.25">
      <c r="A1164" t="s">
        <v>13</v>
      </c>
      <c r="B1164" s="7">
        <v>41.743333</v>
      </c>
      <c r="C1164" s="4">
        <v>1.6786099999999999</v>
      </c>
      <c r="D1164" s="7">
        <v>79.849252000000007</v>
      </c>
      <c r="E1164">
        <v>1</v>
      </c>
      <c r="F1164">
        <v>1</v>
      </c>
      <c r="G1164" s="2">
        <v>2.7331289999999999</v>
      </c>
      <c r="H1164" s="2">
        <v>3</v>
      </c>
      <c r="I1164">
        <v>1</v>
      </c>
      <c r="J1164">
        <v>0</v>
      </c>
      <c r="K1164" s="2">
        <v>1.302594</v>
      </c>
      <c r="L1164">
        <v>0</v>
      </c>
      <c r="M1164" s="7">
        <v>0</v>
      </c>
      <c r="N1164" s="7">
        <v>1.1033489999999999</v>
      </c>
      <c r="O1164">
        <v>0</v>
      </c>
      <c r="P1164" t="s">
        <v>17</v>
      </c>
      <c r="Q1164">
        <v>3</v>
      </c>
      <c r="R1164" s="8">
        <f>(Tabela2[[#This Row],[FAF_atividade_fisica_frequente_em_horas]]+ 0.1)</f>
        <v>0.1</v>
      </c>
      <c r="S1164" s="1">
        <f>(Tabela2[[#This Row],[TUE_tempo_uso_aparelhos_em_horas]]/Tabela2[[#This Row],[FAF_Var]])</f>
        <v>11.033489999999999</v>
      </c>
      <c r="T1164">
        <f>(Tabela2[[#This Row],[CAEC_lanche_entre_refeicoes]]*Tabela2[[#This Row],[FAVC_consumo_frequente_de_alimentos_mt_caloricos]])</f>
        <v>1</v>
      </c>
      <c r="U1164" s="1">
        <f>IF(OR(Tabela2[[#This Row],[MTRANS]]="Walking",Tabela2[[#This Row],[MTRANS]]="Bike"),Tabela2[[#This Row],[FAF_atividade_fisica_frequente_em_horas]]+1,M1164)</f>
        <v>0</v>
      </c>
      <c r="V1164">
        <f>(Tabela2[[#This Row],[SMOKE]]+Tabela2[[#This Row],[CALC_bebe_alcool_frequentemente]])</f>
        <v>0</v>
      </c>
      <c r="W1164" s="8">
        <f>(Tabela2[[#This Row],[Weight]]/(Tabela2[[#This Row],[Height]] ^2))</f>
        <v>28.338133385081555</v>
      </c>
    </row>
    <row r="1165" spans="1:23" x14ac:dyDescent="0.25">
      <c r="A1165" t="s">
        <v>15</v>
      </c>
      <c r="B1165" s="7">
        <v>21.473078000000001</v>
      </c>
      <c r="C1165" s="4">
        <v>1.694423</v>
      </c>
      <c r="D1165" s="7">
        <v>80.311273</v>
      </c>
      <c r="E1165">
        <v>1</v>
      </c>
      <c r="F1165">
        <v>1</v>
      </c>
      <c r="G1165" s="2">
        <v>2</v>
      </c>
      <c r="H1165" s="2">
        <v>2.6467170000000002</v>
      </c>
      <c r="I1165">
        <v>1</v>
      </c>
      <c r="J1165">
        <v>0</v>
      </c>
      <c r="K1165" s="2">
        <v>2</v>
      </c>
      <c r="L1165">
        <v>0</v>
      </c>
      <c r="M1165" s="7">
        <v>2.6275149999999998</v>
      </c>
      <c r="N1165" s="7">
        <v>1.3588119999999999</v>
      </c>
      <c r="O1165">
        <v>0</v>
      </c>
      <c r="P1165" t="s">
        <v>14</v>
      </c>
      <c r="Q1165">
        <v>3</v>
      </c>
      <c r="R1165" s="8">
        <f>(Tabela2[[#This Row],[FAF_atividade_fisica_frequente_em_horas]]+ 0.1)</f>
        <v>2.7275149999999999</v>
      </c>
      <c r="S1165" s="1">
        <f>(Tabela2[[#This Row],[TUE_tempo_uso_aparelhos_em_horas]]/Tabela2[[#This Row],[FAF_Var]])</f>
        <v>0.49818681107161644</v>
      </c>
      <c r="T1165">
        <f>(Tabela2[[#This Row],[CAEC_lanche_entre_refeicoes]]*Tabela2[[#This Row],[FAVC_consumo_frequente_de_alimentos_mt_caloricos]])</f>
        <v>1</v>
      </c>
      <c r="U1165" s="1">
        <f>IF(OR(Tabela2[[#This Row],[MTRANS]]="Walking",Tabela2[[#This Row],[MTRANS]]="Bike"),Tabela2[[#This Row],[FAF_atividade_fisica_frequente_em_horas]]+1,M1165)</f>
        <v>2.6275149999999998</v>
      </c>
      <c r="V1165">
        <f>(Tabela2[[#This Row],[SMOKE]]+Tabela2[[#This Row],[CALC_bebe_alcool_frequentemente]])</f>
        <v>0</v>
      </c>
      <c r="W1165" s="8">
        <f>(Tabela2[[#This Row],[Weight]]/(Tabela2[[#This Row],[Height]] ^2))</f>
        <v>27.972599936221762</v>
      </c>
    </row>
    <row r="1166" spans="1:23" x14ac:dyDescent="0.25">
      <c r="A1166" t="s">
        <v>13</v>
      </c>
      <c r="B1166" s="7">
        <v>27.757186999999998</v>
      </c>
      <c r="C1166" s="4">
        <v>1.5054369999999999</v>
      </c>
      <c r="D1166" s="7">
        <v>63.892071000000001</v>
      </c>
      <c r="E1166">
        <v>1</v>
      </c>
      <c r="F1166">
        <v>0</v>
      </c>
      <c r="G1166" s="2">
        <v>2</v>
      </c>
      <c r="H1166" s="2">
        <v>1</v>
      </c>
      <c r="I1166">
        <v>1</v>
      </c>
      <c r="J1166">
        <v>0</v>
      </c>
      <c r="K1166" s="2">
        <v>1.278578</v>
      </c>
      <c r="L1166">
        <v>0</v>
      </c>
      <c r="M1166" s="7">
        <v>2.112E-2</v>
      </c>
      <c r="N1166" s="7">
        <v>0</v>
      </c>
      <c r="O1166">
        <v>0</v>
      </c>
      <c r="P1166" t="s">
        <v>14</v>
      </c>
      <c r="Q1166">
        <v>3</v>
      </c>
      <c r="R1166" s="8">
        <f>(Tabela2[[#This Row],[FAF_atividade_fisica_frequente_em_horas]]+ 0.1)</f>
        <v>0.12112000000000001</v>
      </c>
      <c r="S1166" s="1">
        <f>(Tabela2[[#This Row],[TUE_tempo_uso_aparelhos_em_horas]]/Tabela2[[#This Row],[FAF_Var]])</f>
        <v>0</v>
      </c>
      <c r="T1166">
        <f>(Tabela2[[#This Row],[CAEC_lanche_entre_refeicoes]]*Tabela2[[#This Row],[FAVC_consumo_frequente_de_alimentos_mt_caloricos]])</f>
        <v>0</v>
      </c>
      <c r="U1166" s="1">
        <f>IF(OR(Tabela2[[#This Row],[MTRANS]]="Walking",Tabela2[[#This Row],[MTRANS]]="Bike"),Tabela2[[#This Row],[FAF_atividade_fisica_frequente_em_horas]]+1,M1166)</f>
        <v>2.112E-2</v>
      </c>
      <c r="V1166">
        <f>(Tabela2[[#This Row],[SMOKE]]+Tabela2[[#This Row],[CALC_bebe_alcool_frequentemente]])</f>
        <v>0</v>
      </c>
      <c r="W1166" s="8">
        <f>(Tabela2[[#This Row],[Weight]]/(Tabela2[[#This Row],[Height]] ^2))</f>
        <v>28.191734331702655</v>
      </c>
    </row>
    <row r="1167" spans="1:23" x14ac:dyDescent="0.25">
      <c r="A1167" t="s">
        <v>13</v>
      </c>
      <c r="B1167" s="7">
        <v>25.113537000000001</v>
      </c>
      <c r="C1167" s="4">
        <v>1.505387</v>
      </c>
      <c r="D1167" s="7">
        <v>63.715218999999998</v>
      </c>
      <c r="E1167">
        <v>1</v>
      </c>
      <c r="F1167">
        <v>0</v>
      </c>
      <c r="G1167" s="2">
        <v>2</v>
      </c>
      <c r="H1167" s="2">
        <v>1.193729</v>
      </c>
      <c r="I1167">
        <v>1</v>
      </c>
      <c r="J1167">
        <v>0</v>
      </c>
      <c r="K1167" s="2">
        <v>1.846441</v>
      </c>
      <c r="L1167">
        <v>0</v>
      </c>
      <c r="M1167" s="7">
        <v>0.54640200000000005</v>
      </c>
      <c r="N1167" s="7">
        <v>0.235711</v>
      </c>
      <c r="O1167">
        <v>0</v>
      </c>
      <c r="P1167" t="s">
        <v>14</v>
      </c>
      <c r="Q1167">
        <v>3</v>
      </c>
      <c r="R1167" s="8">
        <f>(Tabela2[[#This Row],[FAF_atividade_fisica_frequente_em_horas]]+ 0.1)</f>
        <v>0.64640200000000003</v>
      </c>
      <c r="S1167" s="1">
        <f>(Tabela2[[#This Row],[TUE_tempo_uso_aparelhos_em_horas]]/Tabela2[[#This Row],[FAF_Var]])</f>
        <v>0.36465079006562479</v>
      </c>
      <c r="T1167">
        <f>(Tabela2[[#This Row],[CAEC_lanche_entre_refeicoes]]*Tabela2[[#This Row],[FAVC_consumo_frequente_de_alimentos_mt_caloricos]])</f>
        <v>0</v>
      </c>
      <c r="U1167" s="1">
        <f>IF(OR(Tabela2[[#This Row],[MTRANS]]="Walking",Tabela2[[#This Row],[MTRANS]]="Bike"),Tabela2[[#This Row],[FAF_atividade_fisica_frequente_em_horas]]+1,M1167)</f>
        <v>0.54640200000000005</v>
      </c>
      <c r="V1167">
        <f>(Tabela2[[#This Row],[SMOKE]]+Tabela2[[#This Row],[CALC_bebe_alcool_frequentemente]])</f>
        <v>0</v>
      </c>
      <c r="W1167" s="8">
        <f>(Tabela2[[#This Row],[Weight]]/(Tabela2[[#This Row],[Height]] ^2))</f>
        <v>28.115567734472101</v>
      </c>
    </row>
    <row r="1168" spans="1:23" x14ac:dyDescent="0.25">
      <c r="A1168" t="s">
        <v>13</v>
      </c>
      <c r="B1168" s="7">
        <v>21.821650000000002</v>
      </c>
      <c r="C1168" s="4">
        <v>1.491441</v>
      </c>
      <c r="D1168" s="7">
        <v>62.269911999999998</v>
      </c>
      <c r="E1168">
        <v>1</v>
      </c>
      <c r="F1168">
        <v>0</v>
      </c>
      <c r="G1168" s="2">
        <v>2</v>
      </c>
      <c r="H1168" s="2">
        <v>1.477581</v>
      </c>
      <c r="I1168">
        <v>1</v>
      </c>
      <c r="J1168">
        <v>0</v>
      </c>
      <c r="K1168" s="2">
        <v>1.9950349999999999</v>
      </c>
      <c r="L1168">
        <v>0</v>
      </c>
      <c r="M1168" s="7">
        <v>0.32467600000000002</v>
      </c>
      <c r="N1168" s="7">
        <v>0.51742999999999995</v>
      </c>
      <c r="O1168">
        <v>0</v>
      </c>
      <c r="P1168" t="s">
        <v>14</v>
      </c>
      <c r="Q1168">
        <v>3</v>
      </c>
      <c r="R1168" s="8">
        <f>(Tabela2[[#This Row],[FAF_atividade_fisica_frequente_em_horas]]+ 0.1)</f>
        <v>0.42467600000000005</v>
      </c>
      <c r="S1168" s="1">
        <f>(Tabela2[[#This Row],[TUE_tempo_uso_aparelhos_em_horas]]/Tabela2[[#This Row],[FAF_Var]])</f>
        <v>1.2184112123124449</v>
      </c>
      <c r="T1168">
        <f>(Tabela2[[#This Row],[CAEC_lanche_entre_refeicoes]]*Tabela2[[#This Row],[FAVC_consumo_frequente_de_alimentos_mt_caloricos]])</f>
        <v>0</v>
      </c>
      <c r="U1168" s="1">
        <f>IF(OR(Tabela2[[#This Row],[MTRANS]]="Walking",Tabela2[[#This Row],[MTRANS]]="Bike"),Tabela2[[#This Row],[FAF_atividade_fisica_frequente_em_horas]]+1,M1168)</f>
        <v>0.32467600000000002</v>
      </c>
      <c r="V1168">
        <f>(Tabela2[[#This Row],[SMOKE]]+Tabela2[[#This Row],[CALC_bebe_alcool_frequentemente]])</f>
        <v>0</v>
      </c>
      <c r="W1168" s="8">
        <f>(Tabela2[[#This Row],[Weight]]/(Tabela2[[#This Row],[Height]] ^2))</f>
        <v>27.994073366456362</v>
      </c>
    </row>
    <row r="1169" spans="1:23" x14ac:dyDescent="0.25">
      <c r="A1169" t="s">
        <v>13</v>
      </c>
      <c r="B1169" s="7">
        <v>20.670974999999999</v>
      </c>
      <c r="C1169" s="4">
        <v>1.5094080000000001</v>
      </c>
      <c r="D1169" s="7">
        <v>64.852952999999999</v>
      </c>
      <c r="E1169">
        <v>1</v>
      </c>
      <c r="F1169">
        <v>0</v>
      </c>
      <c r="G1169" s="2">
        <v>2.2940670000000001</v>
      </c>
      <c r="H1169" s="2">
        <v>3.209508</v>
      </c>
      <c r="I1169">
        <v>1</v>
      </c>
      <c r="J1169">
        <v>0</v>
      </c>
      <c r="K1169" s="2">
        <v>2</v>
      </c>
      <c r="L1169">
        <v>0</v>
      </c>
      <c r="M1169" s="7">
        <v>1.1030880000000001</v>
      </c>
      <c r="N1169" s="7">
        <v>1.2610429999999999</v>
      </c>
      <c r="O1169">
        <v>0</v>
      </c>
      <c r="P1169" t="s">
        <v>14</v>
      </c>
      <c r="Q1169">
        <v>3</v>
      </c>
      <c r="R1169" s="8">
        <f>(Tabela2[[#This Row],[FAF_atividade_fisica_frequente_em_horas]]+ 0.1)</f>
        <v>1.2030880000000002</v>
      </c>
      <c r="S1169" s="1">
        <f>(Tabela2[[#This Row],[TUE_tempo_uso_aparelhos_em_horas]]/Tabela2[[#This Row],[FAF_Var]])</f>
        <v>1.0481718710518264</v>
      </c>
      <c r="T1169">
        <f>(Tabela2[[#This Row],[CAEC_lanche_entre_refeicoes]]*Tabela2[[#This Row],[FAVC_consumo_frequente_de_alimentos_mt_caloricos]])</f>
        <v>0</v>
      </c>
      <c r="U1169" s="1">
        <f>IF(OR(Tabela2[[#This Row],[MTRANS]]="Walking",Tabela2[[#This Row],[MTRANS]]="Bike"),Tabela2[[#This Row],[FAF_atividade_fisica_frequente_em_horas]]+1,M1169)</f>
        <v>1.1030880000000001</v>
      </c>
      <c r="V1169">
        <f>(Tabela2[[#This Row],[SMOKE]]+Tabela2[[#This Row],[CALC_bebe_alcool_frequentemente]])</f>
        <v>0</v>
      </c>
      <c r="W1169" s="8">
        <f>(Tabela2[[#This Row],[Weight]]/(Tabela2[[#This Row],[Height]] ^2))</f>
        <v>28.465345602123772</v>
      </c>
    </row>
    <row r="1170" spans="1:23" x14ac:dyDescent="0.25">
      <c r="A1170" t="s">
        <v>15</v>
      </c>
      <c r="B1170" s="7">
        <v>22.649792000000001</v>
      </c>
      <c r="C1170" s="4">
        <v>1.6850449999999999</v>
      </c>
      <c r="D1170" s="7">
        <v>81.022119000000004</v>
      </c>
      <c r="E1170">
        <v>1</v>
      </c>
      <c r="F1170">
        <v>1</v>
      </c>
      <c r="G1170" s="2">
        <v>2</v>
      </c>
      <c r="H1170" s="2">
        <v>2.7566220000000001</v>
      </c>
      <c r="I1170">
        <v>1</v>
      </c>
      <c r="J1170">
        <v>0</v>
      </c>
      <c r="K1170" s="2">
        <v>1.6060760000000001</v>
      </c>
      <c r="L1170">
        <v>0</v>
      </c>
      <c r="M1170" s="7">
        <v>0.432973</v>
      </c>
      <c r="N1170" s="7">
        <v>1.7495860000000001</v>
      </c>
      <c r="O1170">
        <v>0</v>
      </c>
      <c r="P1170" t="s">
        <v>14</v>
      </c>
      <c r="Q1170">
        <v>3</v>
      </c>
      <c r="R1170" s="8">
        <f>(Tabela2[[#This Row],[FAF_atividade_fisica_frequente_em_horas]]+ 0.1)</f>
        <v>0.53297300000000003</v>
      </c>
      <c r="S1170" s="1">
        <f>(Tabela2[[#This Row],[TUE_tempo_uso_aparelhos_em_horas]]/Tabela2[[#This Row],[FAF_Var]])</f>
        <v>3.2826916185247659</v>
      </c>
      <c r="T1170">
        <f>(Tabela2[[#This Row],[CAEC_lanche_entre_refeicoes]]*Tabela2[[#This Row],[FAVC_consumo_frequente_de_alimentos_mt_caloricos]])</f>
        <v>1</v>
      </c>
      <c r="U1170" s="1">
        <f>IF(OR(Tabela2[[#This Row],[MTRANS]]="Walking",Tabela2[[#This Row],[MTRANS]]="Bike"),Tabela2[[#This Row],[FAF_atividade_fisica_frequente_em_horas]]+1,M1170)</f>
        <v>0.432973</v>
      </c>
      <c r="V1170">
        <f>(Tabela2[[#This Row],[SMOKE]]+Tabela2[[#This Row],[CALC_bebe_alcool_frequentemente]])</f>
        <v>0</v>
      </c>
      <c r="W1170" s="8">
        <f>(Tabela2[[#This Row],[Weight]]/(Tabela2[[#This Row],[Height]] ^2))</f>
        <v>28.535178290705556</v>
      </c>
    </row>
    <row r="1171" spans="1:23" x14ac:dyDescent="0.25">
      <c r="A1171" t="s">
        <v>15</v>
      </c>
      <c r="B1171" s="7">
        <v>23.154311</v>
      </c>
      <c r="C1171" s="4">
        <v>1.7230719999999999</v>
      </c>
      <c r="D1171" s="7">
        <v>82.338464000000002</v>
      </c>
      <c r="E1171">
        <v>1</v>
      </c>
      <c r="F1171">
        <v>1</v>
      </c>
      <c r="G1171" s="2">
        <v>2.3159320000000001</v>
      </c>
      <c r="H1171" s="2">
        <v>2.6584780000000001</v>
      </c>
      <c r="I1171">
        <v>1</v>
      </c>
      <c r="J1171">
        <v>0</v>
      </c>
      <c r="K1171" s="2">
        <v>1.568476</v>
      </c>
      <c r="L1171">
        <v>0</v>
      </c>
      <c r="M1171" s="7">
        <v>0.94997600000000004</v>
      </c>
      <c r="N1171" s="7">
        <v>0.54489900000000002</v>
      </c>
      <c r="O1171">
        <v>1</v>
      </c>
      <c r="P1171" t="s">
        <v>14</v>
      </c>
      <c r="Q1171">
        <v>3</v>
      </c>
      <c r="R1171" s="8">
        <f>(Tabela2[[#This Row],[FAF_atividade_fisica_frequente_em_horas]]+ 0.1)</f>
        <v>1.049976</v>
      </c>
      <c r="S1171" s="1">
        <f>(Tabela2[[#This Row],[TUE_tempo_uso_aparelhos_em_horas]]/Tabela2[[#This Row],[FAF_Var]])</f>
        <v>0.51896329058949919</v>
      </c>
      <c r="T1171">
        <f>(Tabela2[[#This Row],[CAEC_lanche_entre_refeicoes]]*Tabela2[[#This Row],[FAVC_consumo_frequente_de_alimentos_mt_caloricos]])</f>
        <v>1</v>
      </c>
      <c r="U1171" s="1">
        <f>IF(OR(Tabela2[[#This Row],[MTRANS]]="Walking",Tabela2[[#This Row],[MTRANS]]="Bike"),Tabela2[[#This Row],[FAF_atividade_fisica_frequente_em_horas]]+1,M1171)</f>
        <v>0.94997600000000004</v>
      </c>
      <c r="V1171">
        <f>(Tabela2[[#This Row],[SMOKE]]+Tabela2[[#This Row],[CALC_bebe_alcool_frequentemente]])</f>
        <v>1</v>
      </c>
      <c r="W1171" s="8">
        <f>(Tabela2[[#This Row],[Weight]]/(Tabela2[[#This Row],[Height]] ^2))</f>
        <v>27.732939915042515</v>
      </c>
    </row>
    <row r="1172" spans="1:23" x14ac:dyDescent="0.25">
      <c r="A1172" t="s">
        <v>13</v>
      </c>
      <c r="B1172" s="7">
        <v>38.097394999999999</v>
      </c>
      <c r="C1172" s="4">
        <v>1.6969540000000001</v>
      </c>
      <c r="D1172" s="7">
        <v>78.156035000000003</v>
      </c>
      <c r="E1172">
        <v>1</v>
      </c>
      <c r="F1172">
        <v>1</v>
      </c>
      <c r="G1172" s="2">
        <v>3</v>
      </c>
      <c r="H1172" s="2">
        <v>3</v>
      </c>
      <c r="I1172">
        <v>1</v>
      </c>
      <c r="J1172">
        <v>0</v>
      </c>
      <c r="K1172" s="2">
        <v>2.1660240000000002</v>
      </c>
      <c r="L1172">
        <v>0</v>
      </c>
      <c r="M1172" s="7">
        <v>0</v>
      </c>
      <c r="N1172" s="7">
        <v>0</v>
      </c>
      <c r="O1172">
        <v>0</v>
      </c>
      <c r="P1172" t="s">
        <v>17</v>
      </c>
      <c r="Q1172">
        <v>3</v>
      </c>
      <c r="R1172" s="8">
        <f>(Tabela2[[#This Row],[FAF_atividade_fisica_frequente_em_horas]]+ 0.1)</f>
        <v>0.1</v>
      </c>
      <c r="S1172" s="1">
        <f>(Tabela2[[#This Row],[TUE_tempo_uso_aparelhos_em_horas]]/Tabela2[[#This Row],[FAF_Var]])</f>
        <v>0</v>
      </c>
      <c r="T1172">
        <f>(Tabela2[[#This Row],[CAEC_lanche_entre_refeicoes]]*Tabela2[[#This Row],[FAVC_consumo_frequente_de_alimentos_mt_caloricos]])</f>
        <v>1</v>
      </c>
      <c r="U1172" s="1">
        <f>IF(OR(Tabela2[[#This Row],[MTRANS]]="Walking",Tabela2[[#This Row],[MTRANS]]="Bike"),Tabela2[[#This Row],[FAF_atividade_fisica_frequente_em_horas]]+1,M1172)</f>
        <v>0</v>
      </c>
      <c r="V1172">
        <f>(Tabela2[[#This Row],[SMOKE]]+Tabela2[[#This Row],[CALC_bebe_alcool_frequentemente]])</f>
        <v>0</v>
      </c>
      <c r="W1172" s="8">
        <f>(Tabela2[[#This Row],[Weight]]/(Tabela2[[#This Row],[Height]] ^2))</f>
        <v>27.140783388841374</v>
      </c>
    </row>
    <row r="1173" spans="1:23" x14ac:dyDescent="0.25">
      <c r="A1173" t="s">
        <v>13</v>
      </c>
      <c r="B1173" s="7">
        <v>37.642176999999997</v>
      </c>
      <c r="C1173" s="4">
        <v>1.6760949999999999</v>
      </c>
      <c r="D1173" s="7">
        <v>79.079738000000006</v>
      </c>
      <c r="E1173">
        <v>1</v>
      </c>
      <c r="F1173">
        <v>1</v>
      </c>
      <c r="G1173" s="2">
        <v>2.8021280000000002</v>
      </c>
      <c r="H1173" s="2">
        <v>3</v>
      </c>
      <c r="I1173">
        <v>1</v>
      </c>
      <c r="J1173">
        <v>0</v>
      </c>
      <c r="K1173" s="2">
        <v>1.7446280000000001</v>
      </c>
      <c r="L1173">
        <v>0</v>
      </c>
      <c r="M1173" s="7">
        <v>0</v>
      </c>
      <c r="N1173" s="7">
        <v>0.721167</v>
      </c>
      <c r="O1173">
        <v>0</v>
      </c>
      <c r="P1173" t="s">
        <v>17</v>
      </c>
      <c r="Q1173">
        <v>3</v>
      </c>
      <c r="R1173" s="8">
        <f>(Tabela2[[#This Row],[FAF_atividade_fisica_frequente_em_horas]]+ 0.1)</f>
        <v>0.1</v>
      </c>
      <c r="S1173" s="1">
        <f>(Tabela2[[#This Row],[TUE_tempo_uso_aparelhos_em_horas]]/Tabela2[[#This Row],[FAF_Var]])</f>
        <v>7.2116699999999998</v>
      </c>
      <c r="T1173">
        <f>(Tabela2[[#This Row],[CAEC_lanche_entre_refeicoes]]*Tabela2[[#This Row],[FAVC_consumo_frequente_de_alimentos_mt_caloricos]])</f>
        <v>1</v>
      </c>
      <c r="U1173" s="1">
        <f>IF(OR(Tabela2[[#This Row],[MTRANS]]="Walking",Tabela2[[#This Row],[MTRANS]]="Bike"),Tabela2[[#This Row],[FAF_atividade_fisica_frequente_em_horas]]+1,M1173)</f>
        <v>0</v>
      </c>
      <c r="V1173">
        <f>(Tabela2[[#This Row],[SMOKE]]+Tabela2[[#This Row],[CALC_bebe_alcool_frequentemente]])</f>
        <v>0</v>
      </c>
      <c r="W1173" s="8">
        <f>(Tabela2[[#This Row],[Weight]]/(Tabela2[[#This Row],[Height]] ^2))</f>
        <v>28.149323410169981</v>
      </c>
    </row>
    <row r="1174" spans="1:23" x14ac:dyDescent="0.25">
      <c r="A1174" t="s">
        <v>13</v>
      </c>
      <c r="B1174" s="7">
        <v>34.176794999999998</v>
      </c>
      <c r="C1174" s="4">
        <v>1.6810210000000001</v>
      </c>
      <c r="D1174" s="7">
        <v>77.392178999999999</v>
      </c>
      <c r="E1174">
        <v>1</v>
      </c>
      <c r="F1174">
        <v>1</v>
      </c>
      <c r="G1174" s="2">
        <v>2.7960600000000002</v>
      </c>
      <c r="H1174" s="2">
        <v>1.9714719999999999</v>
      </c>
      <c r="I1174">
        <v>1</v>
      </c>
      <c r="J1174">
        <v>0</v>
      </c>
      <c r="K1174" s="2">
        <v>1.9216009999999999</v>
      </c>
      <c r="L1174">
        <v>0</v>
      </c>
      <c r="M1174" s="7">
        <v>0.93521699999999996</v>
      </c>
      <c r="N1174" s="7">
        <v>0.70463699999999996</v>
      </c>
      <c r="O1174">
        <v>0</v>
      </c>
      <c r="P1174" t="s">
        <v>17</v>
      </c>
      <c r="Q1174">
        <v>3</v>
      </c>
      <c r="R1174" s="8">
        <f>(Tabela2[[#This Row],[FAF_atividade_fisica_frequente_em_horas]]+ 0.1)</f>
        <v>1.0352170000000001</v>
      </c>
      <c r="S1174" s="1">
        <f>(Tabela2[[#This Row],[TUE_tempo_uso_aparelhos_em_horas]]/Tabela2[[#This Row],[FAF_Var]])</f>
        <v>0.68066598597202321</v>
      </c>
      <c r="T1174">
        <f>(Tabela2[[#This Row],[CAEC_lanche_entre_refeicoes]]*Tabela2[[#This Row],[FAVC_consumo_frequente_de_alimentos_mt_caloricos]])</f>
        <v>1</v>
      </c>
      <c r="U1174" s="1">
        <f>IF(OR(Tabela2[[#This Row],[MTRANS]]="Walking",Tabela2[[#This Row],[MTRANS]]="Bike"),Tabela2[[#This Row],[FAF_atividade_fisica_frequente_em_horas]]+1,M1174)</f>
        <v>0.93521699999999996</v>
      </c>
      <c r="V1174">
        <f>(Tabela2[[#This Row],[SMOKE]]+Tabela2[[#This Row],[CALC_bebe_alcool_frequentemente]])</f>
        <v>0</v>
      </c>
      <c r="W1174" s="8">
        <f>(Tabela2[[#This Row],[Weight]]/(Tabela2[[#This Row],[Height]] ^2))</f>
        <v>27.387399494416918</v>
      </c>
    </row>
    <row r="1175" spans="1:23" x14ac:dyDescent="0.25">
      <c r="A1175" t="s">
        <v>13</v>
      </c>
      <c r="B1175" s="7">
        <v>34.231082999999998</v>
      </c>
      <c r="C1175" s="4">
        <v>1.654067</v>
      </c>
      <c r="D1175" s="7">
        <v>79.697277999999997</v>
      </c>
      <c r="E1175">
        <v>1</v>
      </c>
      <c r="F1175">
        <v>1</v>
      </c>
      <c r="G1175" s="2">
        <v>2.0868980000000001</v>
      </c>
      <c r="H1175" s="2">
        <v>1.8180259999999999</v>
      </c>
      <c r="I1175">
        <v>1</v>
      </c>
      <c r="J1175">
        <v>0</v>
      </c>
      <c r="K1175" s="2">
        <v>2.0889289999999998</v>
      </c>
      <c r="L1175">
        <v>0</v>
      </c>
      <c r="M1175" s="7">
        <v>0.30542200000000003</v>
      </c>
      <c r="N1175" s="7">
        <v>1.0407869999999999</v>
      </c>
      <c r="O1175">
        <v>0</v>
      </c>
      <c r="P1175" t="s">
        <v>17</v>
      </c>
      <c r="Q1175">
        <v>3</v>
      </c>
      <c r="R1175" s="8">
        <f>(Tabela2[[#This Row],[FAF_atividade_fisica_frequente_em_horas]]+ 0.1)</f>
        <v>0.40542200000000006</v>
      </c>
      <c r="S1175" s="1">
        <f>(Tabela2[[#This Row],[TUE_tempo_uso_aparelhos_em_horas]]/Tabela2[[#This Row],[FAF_Var]])</f>
        <v>2.5671695171944289</v>
      </c>
      <c r="T1175">
        <f>(Tabela2[[#This Row],[CAEC_lanche_entre_refeicoes]]*Tabela2[[#This Row],[FAVC_consumo_frequente_de_alimentos_mt_caloricos]])</f>
        <v>1</v>
      </c>
      <c r="U1175" s="1">
        <f>IF(OR(Tabela2[[#This Row],[MTRANS]]="Walking",Tabela2[[#This Row],[MTRANS]]="Bike"),Tabela2[[#This Row],[FAF_atividade_fisica_frequente_em_horas]]+1,M1175)</f>
        <v>0.30542200000000003</v>
      </c>
      <c r="V1175">
        <f>(Tabela2[[#This Row],[SMOKE]]+Tabela2[[#This Row],[CALC_bebe_alcool_frequentemente]])</f>
        <v>0</v>
      </c>
      <c r="W1175" s="8">
        <f>(Tabela2[[#This Row],[Weight]]/(Tabela2[[#This Row],[Height]] ^2))</f>
        <v>29.12978600848356</v>
      </c>
    </row>
    <row r="1176" spans="1:23" x14ac:dyDescent="0.25">
      <c r="A1176" t="s">
        <v>15</v>
      </c>
      <c r="B1176" s="7">
        <v>31.965402000000001</v>
      </c>
      <c r="C1176" s="4">
        <v>1.840708</v>
      </c>
      <c r="D1176" s="7">
        <v>98.259422999999998</v>
      </c>
      <c r="E1176">
        <v>1</v>
      </c>
      <c r="F1176">
        <v>1</v>
      </c>
      <c r="G1176" s="2">
        <v>2.3335029999999999</v>
      </c>
      <c r="H1176" s="2">
        <v>1.8207789999999999</v>
      </c>
      <c r="I1176">
        <v>1</v>
      </c>
      <c r="J1176">
        <v>0</v>
      </c>
      <c r="K1176" s="2">
        <v>2.5592649999999999</v>
      </c>
      <c r="L1176">
        <v>0</v>
      </c>
      <c r="M1176" s="7">
        <v>1.3271930000000001</v>
      </c>
      <c r="N1176" s="7">
        <v>0.48135699999999998</v>
      </c>
      <c r="O1176">
        <v>1</v>
      </c>
      <c r="P1176" t="s">
        <v>17</v>
      </c>
      <c r="Q1176">
        <v>3</v>
      </c>
      <c r="R1176" s="8">
        <f>(Tabela2[[#This Row],[FAF_atividade_fisica_frequente_em_horas]]+ 0.1)</f>
        <v>1.4271930000000002</v>
      </c>
      <c r="S1176" s="1">
        <f>(Tabela2[[#This Row],[TUE_tempo_uso_aparelhos_em_horas]]/Tabela2[[#This Row],[FAF_Var]])</f>
        <v>0.33727533697264483</v>
      </c>
      <c r="T1176">
        <f>(Tabela2[[#This Row],[CAEC_lanche_entre_refeicoes]]*Tabela2[[#This Row],[FAVC_consumo_frequente_de_alimentos_mt_caloricos]])</f>
        <v>1</v>
      </c>
      <c r="U1176" s="1">
        <f>IF(OR(Tabela2[[#This Row],[MTRANS]]="Walking",Tabela2[[#This Row],[MTRANS]]="Bike"),Tabela2[[#This Row],[FAF_atividade_fisica_frequente_em_horas]]+1,M1176)</f>
        <v>1.3271930000000001</v>
      </c>
      <c r="V1176">
        <f>(Tabela2[[#This Row],[SMOKE]]+Tabela2[[#This Row],[CALC_bebe_alcool_frequentemente]])</f>
        <v>1</v>
      </c>
      <c r="W1176" s="8">
        <f>(Tabela2[[#This Row],[Weight]]/(Tabela2[[#This Row],[Height]] ^2))</f>
        <v>29.000428162682297</v>
      </c>
    </row>
    <row r="1177" spans="1:23" x14ac:dyDescent="0.25">
      <c r="A1177" t="s">
        <v>15</v>
      </c>
      <c r="B1177" s="7">
        <v>33.185661000000003</v>
      </c>
      <c r="C1177" s="4">
        <v>1.8360069999999999</v>
      </c>
      <c r="D1177" s="7">
        <v>97.416416999999996</v>
      </c>
      <c r="E1177">
        <v>1</v>
      </c>
      <c r="F1177">
        <v>1</v>
      </c>
      <c r="G1177" s="2">
        <v>2</v>
      </c>
      <c r="H1177" s="2">
        <v>1.7248870000000001</v>
      </c>
      <c r="I1177">
        <v>1</v>
      </c>
      <c r="J1177">
        <v>0</v>
      </c>
      <c r="K1177" s="2">
        <v>3</v>
      </c>
      <c r="L1177">
        <v>0</v>
      </c>
      <c r="M1177" s="7">
        <v>1</v>
      </c>
      <c r="N1177" s="7">
        <v>0</v>
      </c>
      <c r="O1177">
        <v>1</v>
      </c>
      <c r="P1177" t="s">
        <v>17</v>
      </c>
      <c r="Q1177">
        <v>3</v>
      </c>
      <c r="R1177" s="8">
        <f>(Tabela2[[#This Row],[FAF_atividade_fisica_frequente_em_horas]]+ 0.1)</f>
        <v>1.1000000000000001</v>
      </c>
      <c r="S1177" s="1">
        <f>(Tabela2[[#This Row],[TUE_tempo_uso_aparelhos_em_horas]]/Tabela2[[#This Row],[FAF_Var]])</f>
        <v>0</v>
      </c>
      <c r="T1177">
        <f>(Tabela2[[#This Row],[CAEC_lanche_entre_refeicoes]]*Tabela2[[#This Row],[FAVC_consumo_frequente_de_alimentos_mt_caloricos]])</f>
        <v>1</v>
      </c>
      <c r="U1177" s="1">
        <f>IF(OR(Tabela2[[#This Row],[MTRANS]]="Walking",Tabela2[[#This Row],[MTRANS]]="Bike"),Tabela2[[#This Row],[FAF_atividade_fisica_frequente_em_horas]]+1,M1177)</f>
        <v>1</v>
      </c>
      <c r="V1177">
        <f>(Tabela2[[#This Row],[SMOKE]]+Tabela2[[#This Row],[CALC_bebe_alcool_frequentemente]])</f>
        <v>1</v>
      </c>
      <c r="W1177" s="8">
        <f>(Tabela2[[#This Row],[Weight]]/(Tabela2[[#This Row],[Height]] ^2))</f>
        <v>28.899044698364776</v>
      </c>
    </row>
    <row r="1178" spans="1:23" x14ac:dyDescent="0.25">
      <c r="A1178" t="s">
        <v>13</v>
      </c>
      <c r="B1178" s="7">
        <v>18.741188000000001</v>
      </c>
      <c r="C1178" s="4">
        <v>1.556789</v>
      </c>
      <c r="D1178" s="7">
        <v>71.788180999999994</v>
      </c>
      <c r="E1178">
        <v>1</v>
      </c>
      <c r="F1178">
        <v>0</v>
      </c>
      <c r="G1178" s="2">
        <v>3</v>
      </c>
      <c r="H1178" s="2">
        <v>3.1291549999999999</v>
      </c>
      <c r="I1178">
        <v>1</v>
      </c>
      <c r="J1178">
        <v>0</v>
      </c>
      <c r="K1178" s="2">
        <v>2</v>
      </c>
      <c r="L1178">
        <v>0</v>
      </c>
      <c r="M1178" s="7">
        <v>1.634134</v>
      </c>
      <c r="N1178" s="7">
        <v>1</v>
      </c>
      <c r="O1178">
        <v>0</v>
      </c>
      <c r="P1178" t="s">
        <v>14</v>
      </c>
      <c r="Q1178">
        <v>3</v>
      </c>
      <c r="R1178" s="8">
        <f>(Tabela2[[#This Row],[FAF_atividade_fisica_frequente_em_horas]]+ 0.1)</f>
        <v>1.7341340000000001</v>
      </c>
      <c r="S1178" s="1">
        <f>(Tabela2[[#This Row],[TUE_tempo_uso_aparelhos_em_horas]]/Tabela2[[#This Row],[FAF_Var]])</f>
        <v>0.57665670588316698</v>
      </c>
      <c r="T1178">
        <f>(Tabela2[[#This Row],[CAEC_lanche_entre_refeicoes]]*Tabela2[[#This Row],[FAVC_consumo_frequente_de_alimentos_mt_caloricos]])</f>
        <v>0</v>
      </c>
      <c r="U1178" s="1">
        <f>IF(OR(Tabela2[[#This Row],[MTRANS]]="Walking",Tabela2[[#This Row],[MTRANS]]="Bike"),Tabela2[[#This Row],[FAF_atividade_fisica_frequente_em_horas]]+1,M1178)</f>
        <v>1.634134</v>
      </c>
      <c r="V1178">
        <f>(Tabela2[[#This Row],[SMOKE]]+Tabela2[[#This Row],[CALC_bebe_alcool_frequentemente]])</f>
        <v>0</v>
      </c>
      <c r="W1178" s="8">
        <f>(Tabela2[[#This Row],[Weight]]/(Tabela2[[#This Row],[Height]] ^2))</f>
        <v>29.620571977780664</v>
      </c>
    </row>
    <row r="1179" spans="1:23" x14ac:dyDescent="0.25">
      <c r="A1179" t="s">
        <v>13</v>
      </c>
      <c r="B1179" s="7">
        <v>19.955257</v>
      </c>
      <c r="C1179" s="4">
        <v>1.5891</v>
      </c>
      <c r="D1179" s="7">
        <v>72.713611</v>
      </c>
      <c r="E1179">
        <v>1</v>
      </c>
      <c r="F1179">
        <v>0</v>
      </c>
      <c r="G1179" s="2">
        <v>3</v>
      </c>
      <c r="H1179" s="2">
        <v>3.8564340000000001</v>
      </c>
      <c r="I1179">
        <v>1</v>
      </c>
      <c r="J1179">
        <v>0</v>
      </c>
      <c r="K1179" s="2">
        <v>2</v>
      </c>
      <c r="L1179">
        <v>0</v>
      </c>
      <c r="M1179" s="7">
        <v>1.3241700000000001</v>
      </c>
      <c r="N1179" s="7">
        <v>1</v>
      </c>
      <c r="O1179">
        <v>1</v>
      </c>
      <c r="P1179" t="s">
        <v>14</v>
      </c>
      <c r="Q1179">
        <v>3</v>
      </c>
      <c r="R1179" s="8">
        <f>(Tabela2[[#This Row],[FAF_atividade_fisica_frequente_em_horas]]+ 0.1)</f>
        <v>1.4241700000000002</v>
      </c>
      <c r="S1179" s="1">
        <f>(Tabela2[[#This Row],[TUE_tempo_uso_aparelhos_em_horas]]/Tabela2[[#This Row],[FAF_Var]])</f>
        <v>0.70216336532857726</v>
      </c>
      <c r="T1179">
        <f>(Tabela2[[#This Row],[CAEC_lanche_entre_refeicoes]]*Tabela2[[#This Row],[FAVC_consumo_frequente_de_alimentos_mt_caloricos]])</f>
        <v>0</v>
      </c>
      <c r="U1179" s="1">
        <f>IF(OR(Tabela2[[#This Row],[MTRANS]]="Walking",Tabela2[[#This Row],[MTRANS]]="Bike"),Tabela2[[#This Row],[FAF_atividade_fisica_frequente_em_horas]]+1,M1179)</f>
        <v>1.3241700000000001</v>
      </c>
      <c r="V1179">
        <f>(Tabela2[[#This Row],[SMOKE]]+Tabela2[[#This Row],[CALC_bebe_alcool_frequentemente]])</f>
        <v>1</v>
      </c>
      <c r="W1179" s="8">
        <f>(Tabela2[[#This Row],[Weight]]/(Tabela2[[#This Row],[Height]] ^2))</f>
        <v>28.794746347178151</v>
      </c>
    </row>
    <row r="1180" spans="1:23" x14ac:dyDescent="0.25">
      <c r="A1180" t="s">
        <v>15</v>
      </c>
      <c r="B1180" s="7">
        <v>19.684891</v>
      </c>
      <c r="C1180" s="4">
        <v>1.7006270000000001</v>
      </c>
      <c r="D1180" s="7">
        <v>78.048207000000005</v>
      </c>
      <c r="E1180">
        <v>1</v>
      </c>
      <c r="F1180">
        <v>0</v>
      </c>
      <c r="G1180" s="2">
        <v>1.653081</v>
      </c>
      <c r="H1180" s="2">
        <v>2.7534179999999999</v>
      </c>
      <c r="I1180">
        <v>1</v>
      </c>
      <c r="J1180">
        <v>0</v>
      </c>
      <c r="K1180" s="2">
        <v>2.1920630000000001</v>
      </c>
      <c r="L1180">
        <v>0</v>
      </c>
      <c r="M1180" s="7">
        <v>1.4749369999999999</v>
      </c>
      <c r="N1180" s="7">
        <v>0.51854199999999995</v>
      </c>
      <c r="O1180">
        <v>1</v>
      </c>
      <c r="P1180" t="s">
        <v>14</v>
      </c>
      <c r="Q1180">
        <v>3</v>
      </c>
      <c r="R1180" s="8">
        <f>(Tabela2[[#This Row],[FAF_atividade_fisica_frequente_em_horas]]+ 0.1)</f>
        <v>1.574937</v>
      </c>
      <c r="S1180" s="1">
        <f>(Tabela2[[#This Row],[TUE_tempo_uso_aparelhos_em_horas]]/Tabela2[[#This Row],[FAF_Var]])</f>
        <v>0.32924618572044467</v>
      </c>
      <c r="T1180">
        <f>(Tabela2[[#This Row],[CAEC_lanche_entre_refeicoes]]*Tabela2[[#This Row],[FAVC_consumo_frequente_de_alimentos_mt_caloricos]])</f>
        <v>0</v>
      </c>
      <c r="U1180" s="1">
        <f>IF(OR(Tabela2[[#This Row],[MTRANS]]="Walking",Tabela2[[#This Row],[MTRANS]]="Bike"),Tabela2[[#This Row],[FAF_atividade_fisica_frequente_em_horas]]+1,M1180)</f>
        <v>1.4749369999999999</v>
      </c>
      <c r="V1180">
        <f>(Tabela2[[#This Row],[SMOKE]]+Tabela2[[#This Row],[CALC_bebe_alcool_frequentemente]])</f>
        <v>1</v>
      </c>
      <c r="W1180" s="8">
        <f>(Tabela2[[#This Row],[Weight]]/(Tabela2[[#This Row],[Height]] ^2))</f>
        <v>26.986389897883463</v>
      </c>
    </row>
    <row r="1181" spans="1:23" x14ac:dyDescent="0.25">
      <c r="A1181" t="s">
        <v>15</v>
      </c>
      <c r="B1181" s="7">
        <v>47.706099999999999</v>
      </c>
      <c r="C1181" s="4">
        <v>1.743935</v>
      </c>
      <c r="D1181" s="7">
        <v>84.729196999999999</v>
      </c>
      <c r="E1181">
        <v>1</v>
      </c>
      <c r="F1181">
        <v>1</v>
      </c>
      <c r="G1181" s="2">
        <v>2.5353150000000002</v>
      </c>
      <c r="H1181" s="2">
        <v>3</v>
      </c>
      <c r="I1181">
        <v>1</v>
      </c>
      <c r="J1181">
        <v>0</v>
      </c>
      <c r="K1181" s="2">
        <v>1.146595</v>
      </c>
      <c r="L1181">
        <v>0</v>
      </c>
      <c r="M1181" s="7">
        <v>0.31380999999999998</v>
      </c>
      <c r="N1181" s="7">
        <v>0</v>
      </c>
      <c r="O1181">
        <v>0</v>
      </c>
      <c r="P1181" t="s">
        <v>17</v>
      </c>
      <c r="Q1181">
        <v>3</v>
      </c>
      <c r="R1181" s="8">
        <f>(Tabela2[[#This Row],[FAF_atividade_fisica_frequente_em_horas]]+ 0.1)</f>
        <v>0.41381000000000001</v>
      </c>
      <c r="S1181" s="1">
        <f>(Tabela2[[#This Row],[TUE_tempo_uso_aparelhos_em_horas]]/Tabela2[[#This Row],[FAF_Var]])</f>
        <v>0</v>
      </c>
      <c r="T1181">
        <f>(Tabela2[[#This Row],[CAEC_lanche_entre_refeicoes]]*Tabela2[[#This Row],[FAVC_consumo_frequente_de_alimentos_mt_caloricos]])</f>
        <v>1</v>
      </c>
      <c r="U1181" s="1">
        <f>IF(OR(Tabela2[[#This Row],[MTRANS]]="Walking",Tabela2[[#This Row],[MTRANS]]="Bike"),Tabela2[[#This Row],[FAF_atividade_fisica_frequente_em_horas]]+1,M1181)</f>
        <v>0.31380999999999998</v>
      </c>
      <c r="V1181">
        <f>(Tabela2[[#This Row],[SMOKE]]+Tabela2[[#This Row],[CALC_bebe_alcool_frequentemente]])</f>
        <v>0</v>
      </c>
      <c r="W1181" s="8">
        <f>(Tabela2[[#This Row],[Weight]]/(Tabela2[[#This Row],[Height]] ^2))</f>
        <v>27.859447718613424</v>
      </c>
    </row>
    <row r="1182" spans="1:23" x14ac:dyDescent="0.25">
      <c r="A1182" t="s">
        <v>15</v>
      </c>
      <c r="B1182" s="7">
        <v>17.997008999999998</v>
      </c>
      <c r="C1182" s="4">
        <v>1.7426539999999999</v>
      </c>
      <c r="D1182" s="7">
        <v>85</v>
      </c>
      <c r="E1182">
        <v>1</v>
      </c>
      <c r="F1182">
        <v>0</v>
      </c>
      <c r="G1182" s="2">
        <v>2</v>
      </c>
      <c r="H1182" s="2">
        <v>3</v>
      </c>
      <c r="I1182">
        <v>1</v>
      </c>
      <c r="J1182">
        <v>0</v>
      </c>
      <c r="K1182" s="2">
        <v>2.976229</v>
      </c>
      <c r="L1182">
        <v>0</v>
      </c>
      <c r="M1182" s="7">
        <v>1</v>
      </c>
      <c r="N1182" s="7">
        <v>0.121992</v>
      </c>
      <c r="O1182">
        <v>1</v>
      </c>
      <c r="P1182" t="s">
        <v>14</v>
      </c>
      <c r="Q1182">
        <v>3</v>
      </c>
      <c r="R1182" s="8">
        <f>(Tabela2[[#This Row],[FAF_atividade_fisica_frequente_em_horas]]+ 0.1)</f>
        <v>1.1000000000000001</v>
      </c>
      <c r="S1182" s="1">
        <f>(Tabela2[[#This Row],[TUE_tempo_uso_aparelhos_em_horas]]/Tabela2[[#This Row],[FAF_Var]])</f>
        <v>0.11090181818181817</v>
      </c>
      <c r="T1182">
        <f>(Tabela2[[#This Row],[CAEC_lanche_entre_refeicoes]]*Tabela2[[#This Row],[FAVC_consumo_frequente_de_alimentos_mt_caloricos]])</f>
        <v>0</v>
      </c>
      <c r="U1182" s="1">
        <f>IF(OR(Tabela2[[#This Row],[MTRANS]]="Walking",Tabela2[[#This Row],[MTRANS]]="Bike"),Tabela2[[#This Row],[FAF_atividade_fisica_frequente_em_horas]]+1,M1182)</f>
        <v>1</v>
      </c>
      <c r="V1182">
        <f>(Tabela2[[#This Row],[SMOKE]]+Tabela2[[#This Row],[CALC_bebe_alcool_frequentemente]])</f>
        <v>1</v>
      </c>
      <c r="W1182" s="8">
        <f>(Tabela2[[#This Row],[Weight]]/(Tabela2[[#This Row],[Height]] ^2))</f>
        <v>27.989593474399044</v>
      </c>
    </row>
    <row r="1183" spans="1:23" x14ac:dyDescent="0.25">
      <c r="A1183" t="s">
        <v>15</v>
      </c>
      <c r="B1183" s="7">
        <v>17.971786000000002</v>
      </c>
      <c r="C1183" s="4">
        <v>1.7544409999999999</v>
      </c>
      <c r="D1183" s="7">
        <v>85.002883999999995</v>
      </c>
      <c r="E1183">
        <v>1</v>
      </c>
      <c r="F1183">
        <v>1</v>
      </c>
      <c r="G1183" s="2">
        <v>2.7657690000000001</v>
      </c>
      <c r="H1183" s="2">
        <v>3</v>
      </c>
      <c r="I1183">
        <v>1</v>
      </c>
      <c r="J1183">
        <v>0</v>
      </c>
      <c r="K1183" s="2">
        <v>2.8451339999999998</v>
      </c>
      <c r="L1183">
        <v>0</v>
      </c>
      <c r="M1183" s="7">
        <v>1</v>
      </c>
      <c r="N1183" s="7">
        <v>0.42682999999999999</v>
      </c>
      <c r="O1183">
        <v>1</v>
      </c>
      <c r="P1183" t="s">
        <v>14</v>
      </c>
      <c r="Q1183">
        <v>3</v>
      </c>
      <c r="R1183" s="8">
        <f>(Tabela2[[#This Row],[FAF_atividade_fisica_frequente_em_horas]]+ 0.1)</f>
        <v>1.1000000000000001</v>
      </c>
      <c r="S1183" s="1">
        <f>(Tabela2[[#This Row],[TUE_tempo_uso_aparelhos_em_horas]]/Tabela2[[#This Row],[FAF_Var]])</f>
        <v>0.38802727272727267</v>
      </c>
      <c r="T1183">
        <f>(Tabela2[[#This Row],[CAEC_lanche_entre_refeicoes]]*Tabela2[[#This Row],[FAVC_consumo_frequente_de_alimentos_mt_caloricos]])</f>
        <v>1</v>
      </c>
      <c r="U1183" s="1">
        <f>IF(OR(Tabela2[[#This Row],[MTRANS]]="Walking",Tabela2[[#This Row],[MTRANS]]="Bike"),Tabela2[[#This Row],[FAF_atividade_fisica_frequente_em_horas]]+1,M1183)</f>
        <v>1</v>
      </c>
      <c r="V1183">
        <f>(Tabela2[[#This Row],[SMOKE]]+Tabela2[[#This Row],[CALC_bebe_alcool_frequentemente]])</f>
        <v>1</v>
      </c>
      <c r="W1183" s="8">
        <f>(Tabela2[[#This Row],[Weight]]/(Tabela2[[#This Row],[Height]] ^2))</f>
        <v>27.615704375131529</v>
      </c>
    </row>
    <row r="1184" spans="1:23" x14ac:dyDescent="0.25">
      <c r="A1184" t="s">
        <v>15</v>
      </c>
      <c r="B1184" s="7">
        <v>20.432717</v>
      </c>
      <c r="C1184" s="4">
        <v>1.7193419999999999</v>
      </c>
      <c r="D1184" s="7">
        <v>80.790813</v>
      </c>
      <c r="E1184">
        <v>1</v>
      </c>
      <c r="F1184">
        <v>1</v>
      </c>
      <c r="G1184" s="2">
        <v>2.2154639999999999</v>
      </c>
      <c r="H1184" s="2">
        <v>2.1161949999999998</v>
      </c>
      <c r="I1184">
        <v>1</v>
      </c>
      <c r="J1184">
        <v>0</v>
      </c>
      <c r="K1184" s="2">
        <v>1.80996</v>
      </c>
      <c r="L1184">
        <v>0</v>
      </c>
      <c r="M1184" s="7">
        <v>1.910577</v>
      </c>
      <c r="N1184" s="7">
        <v>0.971746</v>
      </c>
      <c r="O1184">
        <v>0</v>
      </c>
      <c r="P1184" t="s">
        <v>14</v>
      </c>
      <c r="Q1184">
        <v>3</v>
      </c>
      <c r="R1184" s="8">
        <f>(Tabela2[[#This Row],[FAF_atividade_fisica_frequente_em_horas]]+ 0.1)</f>
        <v>2.0105770000000001</v>
      </c>
      <c r="S1184" s="1">
        <f>(Tabela2[[#This Row],[TUE_tempo_uso_aparelhos_em_horas]]/Tabela2[[#This Row],[FAF_Var]])</f>
        <v>0.48331697816099556</v>
      </c>
      <c r="T1184">
        <f>(Tabela2[[#This Row],[CAEC_lanche_entre_refeicoes]]*Tabela2[[#This Row],[FAVC_consumo_frequente_de_alimentos_mt_caloricos]])</f>
        <v>1</v>
      </c>
      <c r="U1184" s="1">
        <f>IF(OR(Tabela2[[#This Row],[MTRANS]]="Walking",Tabela2[[#This Row],[MTRANS]]="Bike"),Tabela2[[#This Row],[FAF_atividade_fisica_frequente_em_horas]]+1,M1184)</f>
        <v>1.910577</v>
      </c>
      <c r="V1184">
        <f>(Tabela2[[#This Row],[SMOKE]]+Tabela2[[#This Row],[CALC_bebe_alcool_frequentemente]])</f>
        <v>0</v>
      </c>
      <c r="W1184" s="8">
        <f>(Tabela2[[#This Row],[Weight]]/(Tabela2[[#This Row],[Height]] ^2))</f>
        <v>27.329861700821663</v>
      </c>
    </row>
    <row r="1185" spans="1:23" x14ac:dyDescent="0.25">
      <c r="A1185" t="s">
        <v>13</v>
      </c>
      <c r="B1185" s="7">
        <v>33.954433000000002</v>
      </c>
      <c r="C1185" s="4">
        <v>1.682253</v>
      </c>
      <c r="D1185" s="7">
        <v>77.431678000000005</v>
      </c>
      <c r="E1185">
        <v>1</v>
      </c>
      <c r="F1185">
        <v>1</v>
      </c>
      <c r="G1185" s="2">
        <v>3</v>
      </c>
      <c r="H1185" s="2">
        <v>2.0499079999999998</v>
      </c>
      <c r="I1185">
        <v>1</v>
      </c>
      <c r="J1185">
        <v>0</v>
      </c>
      <c r="K1185" s="2">
        <v>1.9998819999999999</v>
      </c>
      <c r="L1185">
        <v>0</v>
      </c>
      <c r="M1185" s="7">
        <v>1.6373679999999999</v>
      </c>
      <c r="N1185" s="7">
        <v>0.10724</v>
      </c>
      <c r="O1185">
        <v>0</v>
      </c>
      <c r="P1185" t="s">
        <v>17</v>
      </c>
      <c r="Q1185">
        <v>3</v>
      </c>
      <c r="R1185" s="8">
        <f>(Tabela2[[#This Row],[FAF_atividade_fisica_frequente_em_horas]]+ 0.1)</f>
        <v>1.737368</v>
      </c>
      <c r="S1185" s="1">
        <f>(Tabela2[[#This Row],[TUE_tempo_uso_aparelhos_em_horas]]/Tabela2[[#This Row],[FAF_Var]])</f>
        <v>6.1725552675080925E-2</v>
      </c>
      <c r="T1185">
        <f>(Tabela2[[#This Row],[CAEC_lanche_entre_refeicoes]]*Tabela2[[#This Row],[FAVC_consumo_frequente_de_alimentos_mt_caloricos]])</f>
        <v>1</v>
      </c>
      <c r="U1185" s="1">
        <f>IF(OR(Tabela2[[#This Row],[MTRANS]]="Walking",Tabela2[[#This Row],[MTRANS]]="Bike"),Tabela2[[#This Row],[FAF_atividade_fisica_frequente_em_horas]]+1,M1185)</f>
        <v>1.6373679999999999</v>
      </c>
      <c r="V1185">
        <f>(Tabela2[[#This Row],[SMOKE]]+Tabela2[[#This Row],[CALC_bebe_alcool_frequentemente]])</f>
        <v>0</v>
      </c>
      <c r="W1185" s="8">
        <f>(Tabela2[[#This Row],[Weight]]/(Tabela2[[#This Row],[Height]] ^2))</f>
        <v>27.361257160009412</v>
      </c>
    </row>
    <row r="1186" spans="1:23" x14ac:dyDescent="0.25">
      <c r="A1186" t="s">
        <v>15</v>
      </c>
      <c r="B1186" s="7">
        <v>17.039058000000001</v>
      </c>
      <c r="C1186" s="4">
        <v>1.7999019999999999</v>
      </c>
      <c r="D1186" s="7">
        <v>95.419668000000001</v>
      </c>
      <c r="E1186">
        <v>1</v>
      </c>
      <c r="F1186">
        <v>1</v>
      </c>
      <c r="G1186" s="2">
        <v>2</v>
      </c>
      <c r="H1186" s="2">
        <v>3</v>
      </c>
      <c r="I1186">
        <v>1</v>
      </c>
      <c r="J1186">
        <v>0</v>
      </c>
      <c r="K1186" s="2">
        <v>3</v>
      </c>
      <c r="L1186">
        <v>0</v>
      </c>
      <c r="M1186" s="7">
        <v>1.0472900000000001</v>
      </c>
      <c r="N1186" s="7">
        <v>0.93380200000000002</v>
      </c>
      <c r="O1186">
        <v>1</v>
      </c>
      <c r="P1186" t="s">
        <v>14</v>
      </c>
      <c r="Q1186">
        <v>3</v>
      </c>
      <c r="R1186" s="8">
        <f>(Tabela2[[#This Row],[FAF_atividade_fisica_frequente_em_horas]]+ 0.1)</f>
        <v>1.1472900000000001</v>
      </c>
      <c r="S1186" s="1">
        <f>(Tabela2[[#This Row],[TUE_tempo_uso_aparelhos_em_horas]]/Tabela2[[#This Row],[FAF_Var]])</f>
        <v>0.81391975873580347</v>
      </c>
      <c r="T1186">
        <f>(Tabela2[[#This Row],[CAEC_lanche_entre_refeicoes]]*Tabela2[[#This Row],[FAVC_consumo_frequente_de_alimentos_mt_caloricos]])</f>
        <v>1</v>
      </c>
      <c r="U1186" s="1">
        <f>IF(OR(Tabela2[[#This Row],[MTRANS]]="Walking",Tabela2[[#This Row],[MTRANS]]="Bike"),Tabela2[[#This Row],[FAF_atividade_fisica_frequente_em_horas]]+1,M1186)</f>
        <v>1.0472900000000001</v>
      </c>
      <c r="V1186">
        <f>(Tabela2[[#This Row],[SMOKE]]+Tabela2[[#This Row],[CALC_bebe_alcool_frequentemente]])</f>
        <v>1</v>
      </c>
      <c r="W1186" s="8">
        <f>(Tabela2[[#This Row],[Weight]]/(Tabela2[[#This Row],[Height]] ^2))</f>
        <v>29.453721910560652</v>
      </c>
    </row>
    <row r="1187" spans="1:23" x14ac:dyDescent="0.25">
      <c r="A1187" t="s">
        <v>15</v>
      </c>
      <c r="B1187" s="7">
        <v>33.070141999999997</v>
      </c>
      <c r="C1187" s="4">
        <v>1.7094279999999999</v>
      </c>
      <c r="D1187" s="7">
        <v>83.014032999999998</v>
      </c>
      <c r="E1187">
        <v>1</v>
      </c>
      <c r="F1187">
        <v>1</v>
      </c>
      <c r="G1187" s="2">
        <v>2</v>
      </c>
      <c r="H1187" s="2">
        <v>1.0446279999999999</v>
      </c>
      <c r="I1187">
        <v>1</v>
      </c>
      <c r="J1187">
        <v>0</v>
      </c>
      <c r="K1187" s="2">
        <v>2.01051</v>
      </c>
      <c r="L1187">
        <v>0</v>
      </c>
      <c r="M1187" s="7">
        <v>2.8058010000000002</v>
      </c>
      <c r="N1187" s="7">
        <v>0</v>
      </c>
      <c r="O1187">
        <v>0</v>
      </c>
      <c r="P1187" t="s">
        <v>17</v>
      </c>
      <c r="Q1187">
        <v>3</v>
      </c>
      <c r="R1187" s="8">
        <f>(Tabela2[[#This Row],[FAF_atividade_fisica_frequente_em_horas]]+ 0.1)</f>
        <v>2.9058010000000003</v>
      </c>
      <c r="S1187" s="1">
        <f>(Tabela2[[#This Row],[TUE_tempo_uso_aparelhos_em_horas]]/Tabela2[[#This Row],[FAF_Var]])</f>
        <v>0</v>
      </c>
      <c r="T1187">
        <f>(Tabela2[[#This Row],[CAEC_lanche_entre_refeicoes]]*Tabela2[[#This Row],[FAVC_consumo_frequente_de_alimentos_mt_caloricos]])</f>
        <v>1</v>
      </c>
      <c r="U1187" s="1">
        <f>IF(OR(Tabela2[[#This Row],[MTRANS]]="Walking",Tabela2[[#This Row],[MTRANS]]="Bike"),Tabela2[[#This Row],[FAF_atividade_fisica_frequente_em_horas]]+1,M1187)</f>
        <v>2.8058010000000002</v>
      </c>
      <c r="V1187">
        <f>(Tabela2[[#This Row],[SMOKE]]+Tabela2[[#This Row],[CALC_bebe_alcool_frequentemente]])</f>
        <v>0</v>
      </c>
      <c r="W1187" s="8">
        <f>(Tabela2[[#This Row],[Weight]]/(Tabela2[[#This Row],[Height]] ^2))</f>
        <v>28.408603588058735</v>
      </c>
    </row>
    <row r="1188" spans="1:23" x14ac:dyDescent="0.25">
      <c r="A1188" t="s">
        <v>15</v>
      </c>
      <c r="B1188" s="7">
        <v>34.993834999999997</v>
      </c>
      <c r="C1188" s="4">
        <v>1.752456</v>
      </c>
      <c r="D1188" s="7">
        <v>84.783755999999997</v>
      </c>
      <c r="E1188">
        <v>1</v>
      </c>
      <c r="F1188">
        <v>1</v>
      </c>
      <c r="G1188" s="2">
        <v>2.63165</v>
      </c>
      <c r="H1188" s="2">
        <v>2.9821200000000001</v>
      </c>
      <c r="I1188">
        <v>1</v>
      </c>
      <c r="J1188">
        <v>0</v>
      </c>
      <c r="K1188" s="2">
        <v>2.7785869999999999</v>
      </c>
      <c r="L1188">
        <v>0</v>
      </c>
      <c r="M1188" s="7">
        <v>2.6677390000000001</v>
      </c>
      <c r="N1188" s="7">
        <v>0.90518100000000001</v>
      </c>
      <c r="O1188">
        <v>0</v>
      </c>
      <c r="P1188" t="s">
        <v>17</v>
      </c>
      <c r="Q1188">
        <v>3</v>
      </c>
      <c r="R1188" s="8">
        <f>(Tabela2[[#This Row],[FAF_atividade_fisica_frequente_em_horas]]+ 0.1)</f>
        <v>2.7677390000000002</v>
      </c>
      <c r="S1188" s="1">
        <f>(Tabela2[[#This Row],[TUE_tempo_uso_aparelhos_em_horas]]/Tabela2[[#This Row],[FAF_Var]])</f>
        <v>0.32704709511987945</v>
      </c>
      <c r="T1188">
        <f>(Tabela2[[#This Row],[CAEC_lanche_entre_refeicoes]]*Tabela2[[#This Row],[FAVC_consumo_frequente_de_alimentos_mt_caloricos]])</f>
        <v>1</v>
      </c>
      <c r="U1188" s="1">
        <f>IF(OR(Tabela2[[#This Row],[MTRANS]]="Walking",Tabela2[[#This Row],[MTRANS]]="Bike"),Tabela2[[#This Row],[FAF_atividade_fisica_frequente_em_horas]]+1,M1188)</f>
        <v>2.6677390000000001</v>
      </c>
      <c r="V1188">
        <f>(Tabela2[[#This Row],[SMOKE]]+Tabela2[[#This Row],[CALC_bebe_alcool_frequentemente]])</f>
        <v>0</v>
      </c>
      <c r="W1188" s="8">
        <f>(Tabela2[[#This Row],[Weight]]/(Tabela2[[#This Row],[Height]] ^2))</f>
        <v>27.606948619207206</v>
      </c>
    </row>
    <row r="1189" spans="1:23" x14ac:dyDescent="0.25">
      <c r="A1189" t="s">
        <v>15</v>
      </c>
      <c r="B1189" s="7">
        <v>35.719456999999998</v>
      </c>
      <c r="C1189" s="4">
        <v>1.6859470000000001</v>
      </c>
      <c r="D1189" s="7">
        <v>83.325800000000001</v>
      </c>
      <c r="E1189">
        <v>1</v>
      </c>
      <c r="F1189">
        <v>1</v>
      </c>
      <c r="G1189" s="2">
        <v>2</v>
      </c>
      <c r="H1189" s="2">
        <v>1.0094259999999999</v>
      </c>
      <c r="I1189">
        <v>1</v>
      </c>
      <c r="J1189">
        <v>0</v>
      </c>
      <c r="K1189" s="2">
        <v>2.1363979999999998</v>
      </c>
      <c r="L1189">
        <v>0</v>
      </c>
      <c r="M1189" s="7">
        <v>1.060349</v>
      </c>
      <c r="N1189" s="7">
        <v>0</v>
      </c>
      <c r="O1189">
        <v>0</v>
      </c>
      <c r="P1189" t="s">
        <v>17</v>
      </c>
      <c r="Q1189">
        <v>3</v>
      </c>
      <c r="R1189" s="8">
        <f>(Tabela2[[#This Row],[FAF_atividade_fisica_frequente_em_horas]]+ 0.1)</f>
        <v>1.1603490000000001</v>
      </c>
      <c r="S1189" s="1">
        <f>(Tabela2[[#This Row],[TUE_tempo_uso_aparelhos_em_horas]]/Tabela2[[#This Row],[FAF_Var]])</f>
        <v>0</v>
      </c>
      <c r="T1189">
        <f>(Tabela2[[#This Row],[CAEC_lanche_entre_refeicoes]]*Tabela2[[#This Row],[FAVC_consumo_frequente_de_alimentos_mt_caloricos]])</f>
        <v>1</v>
      </c>
      <c r="U1189" s="1">
        <f>IF(OR(Tabela2[[#This Row],[MTRANS]]="Walking",Tabela2[[#This Row],[MTRANS]]="Bike"),Tabela2[[#This Row],[FAF_atividade_fisica_frequente_em_horas]]+1,M1189)</f>
        <v>1.060349</v>
      </c>
      <c r="V1189">
        <f>(Tabela2[[#This Row],[SMOKE]]+Tabela2[[#This Row],[CALC_bebe_alcool_frequentemente]])</f>
        <v>0</v>
      </c>
      <c r="W1189" s="8">
        <f>(Tabela2[[#This Row],[Weight]]/(Tabela2[[#This Row],[Height]] ^2))</f>
        <v>29.315118644505759</v>
      </c>
    </row>
    <row r="1190" spans="1:23" x14ac:dyDescent="0.25">
      <c r="A1190" t="s">
        <v>13</v>
      </c>
      <c r="B1190" s="7">
        <v>19.005725000000002</v>
      </c>
      <c r="C1190" s="4">
        <v>1.5999989999999999</v>
      </c>
      <c r="D1190" s="7">
        <v>73.513873000000004</v>
      </c>
      <c r="E1190">
        <v>1</v>
      </c>
      <c r="F1190">
        <v>0</v>
      </c>
      <c r="G1190" s="2">
        <v>2.9421539999999999</v>
      </c>
      <c r="H1190" s="2">
        <v>2.6677110000000002</v>
      </c>
      <c r="I1190">
        <v>1</v>
      </c>
      <c r="J1190">
        <v>0</v>
      </c>
      <c r="K1190" s="2">
        <v>2.184768</v>
      </c>
      <c r="L1190">
        <v>0</v>
      </c>
      <c r="M1190" s="7">
        <v>1.524405</v>
      </c>
      <c r="N1190" s="7">
        <v>0.80500799999999995</v>
      </c>
      <c r="O1190">
        <v>1</v>
      </c>
      <c r="P1190" t="s">
        <v>14</v>
      </c>
      <c r="Q1190">
        <v>3</v>
      </c>
      <c r="R1190" s="8">
        <f>(Tabela2[[#This Row],[FAF_atividade_fisica_frequente_em_horas]]+ 0.1)</f>
        <v>1.6244050000000001</v>
      </c>
      <c r="S1190" s="1">
        <f>(Tabela2[[#This Row],[TUE_tempo_uso_aparelhos_em_horas]]/Tabela2[[#This Row],[FAF_Var]])</f>
        <v>0.49557099368691915</v>
      </c>
      <c r="T1190">
        <f>(Tabela2[[#This Row],[CAEC_lanche_entre_refeicoes]]*Tabela2[[#This Row],[FAVC_consumo_frequente_de_alimentos_mt_caloricos]])</f>
        <v>0</v>
      </c>
      <c r="U1190" s="1">
        <f>IF(OR(Tabela2[[#This Row],[MTRANS]]="Walking",Tabela2[[#This Row],[MTRANS]]="Bike"),Tabela2[[#This Row],[FAF_atividade_fisica_frequente_em_horas]]+1,M1190)</f>
        <v>1.524405</v>
      </c>
      <c r="V1190">
        <f>(Tabela2[[#This Row],[SMOKE]]+Tabela2[[#This Row],[CALC_bebe_alcool_frequentemente]])</f>
        <v>1</v>
      </c>
      <c r="W1190" s="8">
        <f>(Tabela2[[#This Row],[Weight]]/(Tabela2[[#This Row],[Height]] ^2))</f>
        <v>28.716392536104454</v>
      </c>
    </row>
    <row r="1191" spans="1:23" x14ac:dyDescent="0.25">
      <c r="A1191" t="s">
        <v>13</v>
      </c>
      <c r="B1191" s="7">
        <v>18.850466000000001</v>
      </c>
      <c r="C1191" s="4">
        <v>1.5500529999999999</v>
      </c>
      <c r="D1191" s="7">
        <v>72.951800000000006</v>
      </c>
      <c r="E1191">
        <v>1</v>
      </c>
      <c r="F1191">
        <v>0</v>
      </c>
      <c r="G1191" s="2">
        <v>3</v>
      </c>
      <c r="H1191" s="2">
        <v>3.0009739999999998</v>
      </c>
      <c r="I1191">
        <v>1</v>
      </c>
      <c r="J1191">
        <v>0</v>
      </c>
      <c r="K1191" s="2">
        <v>2</v>
      </c>
      <c r="L1191">
        <v>0</v>
      </c>
      <c r="M1191" s="7">
        <v>2.274248</v>
      </c>
      <c r="N1191" s="7">
        <v>1</v>
      </c>
      <c r="O1191">
        <v>1</v>
      </c>
      <c r="P1191" t="s">
        <v>14</v>
      </c>
      <c r="Q1191">
        <v>3</v>
      </c>
      <c r="R1191" s="8">
        <f>(Tabela2[[#This Row],[FAF_atividade_fisica_frequente_em_horas]]+ 0.1)</f>
        <v>2.3742480000000001</v>
      </c>
      <c r="S1191" s="1">
        <f>(Tabela2[[#This Row],[TUE_tempo_uso_aparelhos_em_horas]]/Tabela2[[#This Row],[FAF_Var]])</f>
        <v>0.4211859923647403</v>
      </c>
      <c r="T1191">
        <f>(Tabela2[[#This Row],[CAEC_lanche_entre_refeicoes]]*Tabela2[[#This Row],[FAVC_consumo_frequente_de_alimentos_mt_caloricos]])</f>
        <v>0</v>
      </c>
      <c r="U1191" s="1">
        <f>IF(OR(Tabela2[[#This Row],[MTRANS]]="Walking",Tabela2[[#This Row],[MTRANS]]="Bike"),Tabela2[[#This Row],[FAF_atividade_fisica_frequente_em_horas]]+1,M1191)</f>
        <v>2.274248</v>
      </c>
      <c r="V1191">
        <f>(Tabela2[[#This Row],[SMOKE]]+Tabela2[[#This Row],[CALC_bebe_alcool_frequentemente]])</f>
        <v>1</v>
      </c>
      <c r="W1191" s="8">
        <f>(Tabela2[[#This Row],[Weight]]/(Tabela2[[#This Row],[Height]] ^2))</f>
        <v>30.362876709289221</v>
      </c>
    </row>
    <row r="1192" spans="1:23" x14ac:dyDescent="0.25">
      <c r="A1192" t="s">
        <v>15</v>
      </c>
      <c r="B1192" s="7">
        <v>31.540751</v>
      </c>
      <c r="C1192" s="4">
        <v>1.8280920000000001</v>
      </c>
      <c r="D1192" s="7">
        <v>91.495717999999997</v>
      </c>
      <c r="E1192">
        <v>1</v>
      </c>
      <c r="F1192">
        <v>1</v>
      </c>
      <c r="G1192" s="2">
        <v>2</v>
      </c>
      <c r="H1192" s="2">
        <v>2.6988829999999999</v>
      </c>
      <c r="I1192">
        <v>1</v>
      </c>
      <c r="J1192">
        <v>0</v>
      </c>
      <c r="K1192" s="2">
        <v>2.035104</v>
      </c>
      <c r="L1192">
        <v>0</v>
      </c>
      <c r="M1192" s="7">
        <v>0.59843800000000003</v>
      </c>
      <c r="N1192" s="7">
        <v>1.7016E-2</v>
      </c>
      <c r="O1192">
        <v>1</v>
      </c>
      <c r="P1192" t="s">
        <v>17</v>
      </c>
      <c r="Q1192">
        <v>3</v>
      </c>
      <c r="R1192" s="8">
        <f>(Tabela2[[#This Row],[FAF_atividade_fisica_frequente_em_horas]]+ 0.1)</f>
        <v>0.698438</v>
      </c>
      <c r="S1192" s="1">
        <f>(Tabela2[[#This Row],[TUE_tempo_uso_aparelhos_em_horas]]/Tabela2[[#This Row],[FAF_Var]])</f>
        <v>2.4362935579106522E-2</v>
      </c>
      <c r="T1192">
        <f>(Tabela2[[#This Row],[CAEC_lanche_entre_refeicoes]]*Tabela2[[#This Row],[FAVC_consumo_frequente_de_alimentos_mt_caloricos]])</f>
        <v>1</v>
      </c>
      <c r="U1192" s="1">
        <f>IF(OR(Tabela2[[#This Row],[MTRANS]]="Walking",Tabela2[[#This Row],[MTRANS]]="Bike"),Tabela2[[#This Row],[FAF_atividade_fisica_frequente_em_horas]]+1,M1192)</f>
        <v>0.59843800000000003</v>
      </c>
      <c r="V1192">
        <f>(Tabela2[[#This Row],[SMOKE]]+Tabela2[[#This Row],[CALC_bebe_alcool_frequentemente]])</f>
        <v>1</v>
      </c>
      <c r="W1192" s="8">
        <f>(Tabela2[[#This Row],[Weight]]/(Tabela2[[#This Row],[Height]] ^2))</f>
        <v>27.378186231612208</v>
      </c>
    </row>
    <row r="1193" spans="1:23" x14ac:dyDescent="0.25">
      <c r="A1193" t="s">
        <v>15</v>
      </c>
      <c r="B1193" s="7">
        <v>23.335391000000001</v>
      </c>
      <c r="C1193" s="4">
        <v>1.7133799999999999</v>
      </c>
      <c r="D1193" s="7">
        <v>82.085549</v>
      </c>
      <c r="E1193">
        <v>1</v>
      </c>
      <c r="F1193">
        <v>1</v>
      </c>
      <c r="G1193" s="2">
        <v>2.7169089999999998</v>
      </c>
      <c r="H1193" s="2">
        <v>2.5980789999999998</v>
      </c>
      <c r="I1193">
        <v>1</v>
      </c>
      <c r="J1193">
        <v>0</v>
      </c>
      <c r="K1193" s="2">
        <v>2.9054500000000001</v>
      </c>
      <c r="L1193">
        <v>0</v>
      </c>
      <c r="M1193" s="7">
        <v>1.6004309999999999</v>
      </c>
      <c r="N1193" s="7">
        <v>0.17689199999999999</v>
      </c>
      <c r="O1193">
        <v>1</v>
      </c>
      <c r="P1193" t="s">
        <v>14</v>
      </c>
      <c r="Q1193">
        <v>3</v>
      </c>
      <c r="R1193" s="8">
        <f>(Tabela2[[#This Row],[FAF_atividade_fisica_frequente_em_horas]]+ 0.1)</f>
        <v>1.700431</v>
      </c>
      <c r="S1193" s="1">
        <f>(Tabela2[[#This Row],[TUE_tempo_uso_aparelhos_em_horas]]/Tabela2[[#This Row],[FAF_Var]])</f>
        <v>0.10402774355442826</v>
      </c>
      <c r="T1193">
        <f>(Tabela2[[#This Row],[CAEC_lanche_entre_refeicoes]]*Tabela2[[#This Row],[FAVC_consumo_frequente_de_alimentos_mt_caloricos]])</f>
        <v>1</v>
      </c>
      <c r="U1193" s="1">
        <f>IF(OR(Tabela2[[#This Row],[MTRANS]]="Walking",Tabela2[[#This Row],[MTRANS]]="Bike"),Tabela2[[#This Row],[FAF_atividade_fisica_frequente_em_horas]]+1,M1193)</f>
        <v>1.6004309999999999</v>
      </c>
      <c r="V1193">
        <f>(Tabela2[[#This Row],[SMOKE]]+Tabela2[[#This Row],[CALC_bebe_alcool_frequentemente]])</f>
        <v>1</v>
      </c>
      <c r="W1193" s="8">
        <f>(Tabela2[[#This Row],[Weight]]/(Tabela2[[#This Row],[Height]] ^2))</f>
        <v>27.961426303472429</v>
      </c>
    </row>
    <row r="1194" spans="1:23" x14ac:dyDescent="0.25">
      <c r="A1194" t="s">
        <v>15</v>
      </c>
      <c r="B1194" s="7">
        <v>19.749627</v>
      </c>
      <c r="C1194" s="4">
        <v>1.6807639999999999</v>
      </c>
      <c r="D1194" s="7">
        <v>79.621463000000006</v>
      </c>
      <c r="E1194">
        <v>1</v>
      </c>
      <c r="F1194">
        <v>0</v>
      </c>
      <c r="G1194" s="2">
        <v>1.8374600000000001</v>
      </c>
      <c r="H1194" s="2">
        <v>3</v>
      </c>
      <c r="I1194">
        <v>1</v>
      </c>
      <c r="J1194">
        <v>0</v>
      </c>
      <c r="K1194" s="2">
        <v>2</v>
      </c>
      <c r="L1194">
        <v>0</v>
      </c>
      <c r="M1194" s="7">
        <v>1.1945190000000001</v>
      </c>
      <c r="N1194" s="7">
        <v>1.2127619999999999</v>
      </c>
      <c r="O1194">
        <v>0</v>
      </c>
      <c r="P1194" t="s">
        <v>14</v>
      </c>
      <c r="Q1194">
        <v>3</v>
      </c>
      <c r="R1194" s="8">
        <f>(Tabela2[[#This Row],[FAF_atividade_fisica_frequente_em_horas]]+ 0.1)</f>
        <v>1.2945190000000002</v>
      </c>
      <c r="S1194" s="1">
        <f>(Tabela2[[#This Row],[TUE_tempo_uso_aparelhos_em_horas]]/Tabela2[[#This Row],[FAF_Var]])</f>
        <v>0.93684372342159494</v>
      </c>
      <c r="T1194">
        <f>(Tabela2[[#This Row],[CAEC_lanche_entre_refeicoes]]*Tabela2[[#This Row],[FAVC_consumo_frequente_de_alimentos_mt_caloricos]])</f>
        <v>0</v>
      </c>
      <c r="U1194" s="1">
        <f>IF(OR(Tabela2[[#This Row],[MTRANS]]="Walking",Tabela2[[#This Row],[MTRANS]]="Bike"),Tabela2[[#This Row],[FAF_atividade_fisica_frequente_em_horas]]+1,M1194)</f>
        <v>1.1945190000000001</v>
      </c>
      <c r="V1194">
        <f>(Tabela2[[#This Row],[SMOKE]]+Tabela2[[#This Row],[CALC_bebe_alcool_frequentemente]])</f>
        <v>0</v>
      </c>
      <c r="W1194" s="8">
        <f>(Tabela2[[#This Row],[Weight]]/(Tabela2[[#This Row],[Height]] ^2))</f>
        <v>28.184911689652775</v>
      </c>
    </row>
    <row r="1195" spans="1:23" x14ac:dyDescent="0.25">
      <c r="A1195" t="s">
        <v>15</v>
      </c>
      <c r="B1195" s="7">
        <v>19.565496</v>
      </c>
      <c r="C1195" s="4">
        <v>1.705584</v>
      </c>
      <c r="D1195" s="7">
        <v>78.025625000000005</v>
      </c>
      <c r="E1195">
        <v>1</v>
      </c>
      <c r="F1195">
        <v>0</v>
      </c>
      <c r="G1195" s="2">
        <v>1.9364790000000001</v>
      </c>
      <c r="H1195" s="2">
        <v>2.8373879999999998</v>
      </c>
      <c r="I1195">
        <v>1</v>
      </c>
      <c r="J1195">
        <v>0</v>
      </c>
      <c r="K1195" s="2">
        <v>2.1599870000000001</v>
      </c>
      <c r="L1195">
        <v>0</v>
      </c>
      <c r="M1195" s="7">
        <v>1.4757720000000001</v>
      </c>
      <c r="N1195" s="7">
        <v>0.64651400000000003</v>
      </c>
      <c r="O1195">
        <v>1</v>
      </c>
      <c r="P1195" t="s">
        <v>14</v>
      </c>
      <c r="Q1195">
        <v>3</v>
      </c>
      <c r="R1195" s="8">
        <f>(Tabela2[[#This Row],[FAF_atividade_fisica_frequente_em_horas]]+ 0.1)</f>
        <v>1.5757720000000002</v>
      </c>
      <c r="S1195" s="1">
        <f>(Tabela2[[#This Row],[TUE_tempo_uso_aparelhos_em_horas]]/Tabela2[[#This Row],[FAF_Var]])</f>
        <v>0.41028397509284337</v>
      </c>
      <c r="T1195">
        <f>(Tabela2[[#This Row],[CAEC_lanche_entre_refeicoes]]*Tabela2[[#This Row],[FAVC_consumo_frequente_de_alimentos_mt_caloricos]])</f>
        <v>0</v>
      </c>
      <c r="U1195" s="1">
        <f>IF(OR(Tabela2[[#This Row],[MTRANS]]="Walking",Tabela2[[#This Row],[MTRANS]]="Bike"),Tabela2[[#This Row],[FAF_atividade_fisica_frequente_em_horas]]+1,M1195)</f>
        <v>1.4757720000000001</v>
      </c>
      <c r="V1195">
        <f>(Tabela2[[#This Row],[SMOKE]]+Tabela2[[#This Row],[CALC_bebe_alcool_frequentemente]])</f>
        <v>1</v>
      </c>
      <c r="W1195" s="8">
        <f>(Tabela2[[#This Row],[Weight]]/(Tabela2[[#This Row],[Height]] ^2))</f>
        <v>26.821992058662506</v>
      </c>
    </row>
    <row r="1196" spans="1:23" x14ac:dyDescent="0.25">
      <c r="A1196" t="s">
        <v>15</v>
      </c>
      <c r="B1196" s="7">
        <v>30.357745000000001</v>
      </c>
      <c r="C1196" s="4">
        <v>1.841852</v>
      </c>
      <c r="D1196" s="7">
        <v>93.614245999999994</v>
      </c>
      <c r="E1196">
        <v>1</v>
      </c>
      <c r="F1196">
        <v>1</v>
      </c>
      <c r="G1196" s="2">
        <v>2.0450270000000002</v>
      </c>
      <c r="H1196" s="2">
        <v>2.9460630000000001</v>
      </c>
      <c r="I1196">
        <v>1</v>
      </c>
      <c r="J1196">
        <v>0</v>
      </c>
      <c r="K1196" s="2">
        <v>1.307563</v>
      </c>
      <c r="L1196">
        <v>0</v>
      </c>
      <c r="M1196" s="7">
        <v>1.442485</v>
      </c>
      <c r="N1196" s="7">
        <v>0.93449300000000002</v>
      </c>
      <c r="O1196">
        <v>1</v>
      </c>
      <c r="P1196" t="s">
        <v>14</v>
      </c>
      <c r="Q1196">
        <v>3</v>
      </c>
      <c r="R1196" s="8">
        <f>(Tabela2[[#This Row],[FAF_atividade_fisica_frequente_em_horas]]+ 0.1)</f>
        <v>1.5424850000000001</v>
      </c>
      <c r="S1196" s="1">
        <f>(Tabela2[[#This Row],[TUE_tempo_uso_aparelhos_em_horas]]/Tabela2[[#This Row],[FAF_Var]])</f>
        <v>0.60583603730344215</v>
      </c>
      <c r="T1196">
        <f>(Tabela2[[#This Row],[CAEC_lanche_entre_refeicoes]]*Tabela2[[#This Row],[FAVC_consumo_frequente_de_alimentos_mt_caloricos]])</f>
        <v>1</v>
      </c>
      <c r="U1196" s="1">
        <f>IF(OR(Tabela2[[#This Row],[MTRANS]]="Walking",Tabela2[[#This Row],[MTRANS]]="Bike"),Tabela2[[#This Row],[FAF_atividade_fisica_frequente_em_horas]]+1,M1196)</f>
        <v>1.442485</v>
      </c>
      <c r="V1196">
        <f>(Tabela2[[#This Row],[SMOKE]]+Tabela2[[#This Row],[CALC_bebe_alcool_frequentemente]])</f>
        <v>1</v>
      </c>
      <c r="W1196" s="8">
        <f>(Tabela2[[#This Row],[Weight]]/(Tabela2[[#This Row],[Height]] ^2))</f>
        <v>27.595132499147937</v>
      </c>
    </row>
    <row r="1197" spans="1:23" x14ac:dyDescent="0.25">
      <c r="A1197" t="s">
        <v>15</v>
      </c>
      <c r="B1197" s="7">
        <v>27</v>
      </c>
      <c r="C1197" s="4">
        <v>1.834986</v>
      </c>
      <c r="D1197" s="7">
        <v>99.083477999999999</v>
      </c>
      <c r="E1197">
        <v>1</v>
      </c>
      <c r="F1197">
        <v>1</v>
      </c>
      <c r="G1197" s="2">
        <v>2.7606069999999998</v>
      </c>
      <c r="H1197" s="2">
        <v>1</v>
      </c>
      <c r="I1197">
        <v>1</v>
      </c>
      <c r="J1197">
        <v>0</v>
      </c>
      <c r="K1197" s="2">
        <v>1.3363780000000001</v>
      </c>
      <c r="L1197">
        <v>0</v>
      </c>
      <c r="M1197" s="7">
        <v>1.898889</v>
      </c>
      <c r="N1197" s="7">
        <v>0.487375</v>
      </c>
      <c r="O1197">
        <v>1</v>
      </c>
      <c r="P1197" t="s">
        <v>14</v>
      </c>
      <c r="Q1197">
        <v>3</v>
      </c>
      <c r="R1197" s="8">
        <f>(Tabela2[[#This Row],[FAF_atividade_fisica_frequente_em_horas]]+ 0.1)</f>
        <v>1.9988890000000001</v>
      </c>
      <c r="S1197" s="1">
        <f>(Tabela2[[#This Row],[TUE_tempo_uso_aparelhos_em_horas]]/Tabela2[[#This Row],[FAF_Var]])</f>
        <v>0.24382294364519488</v>
      </c>
      <c r="T1197">
        <f>(Tabela2[[#This Row],[CAEC_lanche_entre_refeicoes]]*Tabela2[[#This Row],[FAVC_consumo_frequente_de_alimentos_mt_caloricos]])</f>
        <v>1</v>
      </c>
      <c r="U1197" s="1">
        <f>IF(OR(Tabela2[[#This Row],[MTRANS]]="Walking",Tabela2[[#This Row],[MTRANS]]="Bike"),Tabela2[[#This Row],[FAF_atividade_fisica_frequente_em_horas]]+1,M1197)</f>
        <v>1.898889</v>
      </c>
      <c r="V1197">
        <f>(Tabela2[[#This Row],[SMOKE]]+Tabela2[[#This Row],[CALC_bebe_alcool_frequentemente]])</f>
        <v>1</v>
      </c>
      <c r="W1197" s="8">
        <f>(Tabela2[[#This Row],[Weight]]/(Tabela2[[#This Row],[Height]] ^2))</f>
        <v>29.426305019054062</v>
      </c>
    </row>
    <row r="1198" spans="1:23" x14ac:dyDescent="0.25">
      <c r="A1198" t="s">
        <v>15</v>
      </c>
      <c r="B1198" s="7">
        <v>21.380336</v>
      </c>
      <c r="C1198" s="4">
        <v>1.724839</v>
      </c>
      <c r="D1198" s="7">
        <v>82.276349999999994</v>
      </c>
      <c r="E1198">
        <v>1</v>
      </c>
      <c r="F1198">
        <v>1</v>
      </c>
      <c r="G1198" s="2">
        <v>2.09449</v>
      </c>
      <c r="H1198" s="2">
        <v>1.8734839999999999</v>
      </c>
      <c r="I1198">
        <v>1</v>
      </c>
      <c r="J1198">
        <v>0</v>
      </c>
      <c r="K1198" s="2">
        <v>2</v>
      </c>
      <c r="L1198">
        <v>0</v>
      </c>
      <c r="M1198" s="7">
        <v>2.0797089999999998</v>
      </c>
      <c r="N1198" s="7">
        <v>0.88041400000000003</v>
      </c>
      <c r="O1198">
        <v>1</v>
      </c>
      <c r="P1198" t="s">
        <v>14</v>
      </c>
      <c r="Q1198">
        <v>3</v>
      </c>
      <c r="R1198" s="8">
        <f>(Tabela2[[#This Row],[FAF_atividade_fisica_frequente_em_horas]]+ 0.1)</f>
        <v>2.1797089999999999</v>
      </c>
      <c r="S1198" s="1">
        <f>(Tabela2[[#This Row],[TUE_tempo_uso_aparelhos_em_horas]]/Tabela2[[#This Row],[FAF_Var]])</f>
        <v>0.403913549927995</v>
      </c>
      <c r="T1198">
        <f>(Tabela2[[#This Row],[CAEC_lanche_entre_refeicoes]]*Tabela2[[#This Row],[FAVC_consumo_frequente_de_alimentos_mt_caloricos]])</f>
        <v>1</v>
      </c>
      <c r="U1198" s="1">
        <f>IF(OR(Tabela2[[#This Row],[MTRANS]]="Walking",Tabela2[[#This Row],[MTRANS]]="Bike"),Tabela2[[#This Row],[FAF_atividade_fisica_frequente_em_horas]]+1,M1198)</f>
        <v>2.0797089999999998</v>
      </c>
      <c r="V1198">
        <f>(Tabela2[[#This Row],[SMOKE]]+Tabela2[[#This Row],[CALC_bebe_alcool_frequentemente]])</f>
        <v>1</v>
      </c>
      <c r="W1198" s="8">
        <f>(Tabela2[[#This Row],[Weight]]/(Tabela2[[#This Row],[Height]] ^2))</f>
        <v>27.655269196361395</v>
      </c>
    </row>
    <row r="1199" spans="1:23" x14ac:dyDescent="0.25">
      <c r="A1199" t="s">
        <v>15</v>
      </c>
      <c r="B1199" s="7">
        <v>33.151904999999999</v>
      </c>
      <c r="C1199" s="4">
        <v>1.685127</v>
      </c>
      <c r="D1199" s="7">
        <v>83.986895000000004</v>
      </c>
      <c r="E1199">
        <v>1</v>
      </c>
      <c r="F1199">
        <v>1</v>
      </c>
      <c r="G1199" s="2">
        <v>2</v>
      </c>
      <c r="H1199" s="2">
        <v>2.4739110000000002</v>
      </c>
      <c r="I1199">
        <v>1</v>
      </c>
      <c r="J1199">
        <v>0</v>
      </c>
      <c r="K1199" s="2">
        <v>2.4527890000000001</v>
      </c>
      <c r="L1199">
        <v>0</v>
      </c>
      <c r="M1199" s="7">
        <v>0.93279199999999995</v>
      </c>
      <c r="N1199" s="7">
        <v>0</v>
      </c>
      <c r="O1199">
        <v>0</v>
      </c>
      <c r="P1199" t="s">
        <v>17</v>
      </c>
      <c r="Q1199">
        <v>3</v>
      </c>
      <c r="R1199" s="8">
        <f>(Tabela2[[#This Row],[FAF_atividade_fisica_frequente_em_horas]]+ 0.1)</f>
        <v>1.0327919999999999</v>
      </c>
      <c r="S1199" s="1">
        <f>(Tabela2[[#This Row],[TUE_tempo_uso_aparelhos_em_horas]]/Tabela2[[#This Row],[FAF_Var]])</f>
        <v>0</v>
      </c>
      <c r="T1199">
        <f>(Tabela2[[#This Row],[CAEC_lanche_entre_refeicoes]]*Tabela2[[#This Row],[FAVC_consumo_frequente_de_alimentos_mt_caloricos]])</f>
        <v>1</v>
      </c>
      <c r="U1199" s="1">
        <f>IF(OR(Tabela2[[#This Row],[MTRANS]]="Walking",Tabela2[[#This Row],[MTRANS]]="Bike"),Tabela2[[#This Row],[FAF_atividade_fisica_frequente_em_horas]]+1,M1199)</f>
        <v>0.93279199999999995</v>
      </c>
      <c r="V1199">
        <f>(Tabela2[[#This Row],[SMOKE]]+Tabela2[[#This Row],[CALC_bebe_alcool_frequentemente]])</f>
        <v>0</v>
      </c>
      <c r="W1199" s="8">
        <f>(Tabela2[[#This Row],[Weight]]/(Tabela2[[#This Row],[Height]] ^2))</f>
        <v>29.5764640323046</v>
      </c>
    </row>
    <row r="1200" spans="1:23" x14ac:dyDescent="0.25">
      <c r="A1200" t="s">
        <v>15</v>
      </c>
      <c r="B1200" s="7">
        <v>18</v>
      </c>
      <c r="C1200" s="4">
        <v>1.750097</v>
      </c>
      <c r="D1200" s="7">
        <v>86.372140999999999</v>
      </c>
      <c r="E1200">
        <v>1</v>
      </c>
      <c r="F1200">
        <v>1</v>
      </c>
      <c r="G1200" s="2">
        <v>2.9070619999999998</v>
      </c>
      <c r="H1200" s="2">
        <v>3</v>
      </c>
      <c r="I1200">
        <v>1</v>
      </c>
      <c r="J1200">
        <v>0</v>
      </c>
      <c r="K1200" s="2">
        <v>2.7408480000000002</v>
      </c>
      <c r="L1200">
        <v>0</v>
      </c>
      <c r="M1200" s="7">
        <v>1.219827</v>
      </c>
      <c r="N1200" s="7">
        <v>3.7634000000000001E-2</v>
      </c>
      <c r="O1200">
        <v>1</v>
      </c>
      <c r="P1200" t="s">
        <v>14</v>
      </c>
      <c r="Q1200">
        <v>3</v>
      </c>
      <c r="R1200" s="8">
        <f>(Tabela2[[#This Row],[FAF_atividade_fisica_frequente_em_horas]]+ 0.1)</f>
        <v>1.3198270000000001</v>
      </c>
      <c r="S1200" s="1">
        <f>(Tabela2[[#This Row],[TUE_tempo_uso_aparelhos_em_horas]]/Tabela2[[#This Row],[FAF_Var]])</f>
        <v>2.851434316770304E-2</v>
      </c>
      <c r="T1200">
        <f>(Tabela2[[#This Row],[CAEC_lanche_entre_refeicoes]]*Tabela2[[#This Row],[FAVC_consumo_frequente_de_alimentos_mt_caloricos]])</f>
        <v>1</v>
      </c>
      <c r="U1200" s="1">
        <f>IF(OR(Tabela2[[#This Row],[MTRANS]]="Walking",Tabela2[[#This Row],[MTRANS]]="Bike"),Tabela2[[#This Row],[FAF_atividade_fisica_frequente_em_horas]]+1,M1200)</f>
        <v>1.219827</v>
      </c>
      <c r="V1200">
        <f>(Tabela2[[#This Row],[SMOKE]]+Tabela2[[#This Row],[CALC_bebe_alcool_frequentemente]])</f>
        <v>1</v>
      </c>
      <c r="W1200" s="8">
        <f>(Tabela2[[#This Row],[Weight]]/(Tabela2[[#This Row],[Height]] ^2))</f>
        <v>28.200021821145373</v>
      </c>
    </row>
    <row r="1201" spans="1:23" x14ac:dyDescent="0.25">
      <c r="A1201" t="s">
        <v>15</v>
      </c>
      <c r="B1201" s="7">
        <v>32.241587000000003</v>
      </c>
      <c r="C1201" s="4">
        <v>1.7579610000000001</v>
      </c>
      <c r="D1201" s="7">
        <v>87.906019000000001</v>
      </c>
      <c r="E1201">
        <v>1</v>
      </c>
      <c r="F1201">
        <v>1</v>
      </c>
      <c r="G1201" s="2">
        <v>2</v>
      </c>
      <c r="H1201" s="2">
        <v>1.79558</v>
      </c>
      <c r="I1201">
        <v>1</v>
      </c>
      <c r="J1201">
        <v>0</v>
      </c>
      <c r="K1201" s="2">
        <v>1.855054</v>
      </c>
      <c r="L1201">
        <v>0</v>
      </c>
      <c r="M1201" s="7">
        <v>1.083572</v>
      </c>
      <c r="N1201" s="7">
        <v>0.21857399999999999</v>
      </c>
      <c r="O1201">
        <v>1</v>
      </c>
      <c r="P1201" t="s">
        <v>14</v>
      </c>
      <c r="Q1201">
        <v>3</v>
      </c>
      <c r="R1201" s="8">
        <f>(Tabela2[[#This Row],[FAF_atividade_fisica_frequente_em_horas]]+ 0.1)</f>
        <v>1.1835720000000001</v>
      </c>
      <c r="S1201" s="1">
        <f>(Tabela2[[#This Row],[TUE_tempo_uso_aparelhos_em_horas]]/Tabela2[[#This Row],[FAF_Var]])</f>
        <v>0.1846731757763786</v>
      </c>
      <c r="T1201">
        <f>(Tabela2[[#This Row],[CAEC_lanche_entre_refeicoes]]*Tabela2[[#This Row],[FAVC_consumo_frequente_de_alimentos_mt_caloricos]])</f>
        <v>1</v>
      </c>
      <c r="U1201" s="1">
        <f>IF(OR(Tabela2[[#This Row],[MTRANS]]="Walking",Tabela2[[#This Row],[MTRANS]]="Bike"),Tabela2[[#This Row],[FAF_atividade_fisica_frequente_em_horas]]+1,M1201)</f>
        <v>1.083572</v>
      </c>
      <c r="V1201">
        <f>(Tabela2[[#This Row],[SMOKE]]+Tabela2[[#This Row],[CALC_bebe_alcool_frequentemente]])</f>
        <v>1</v>
      </c>
      <c r="W1201" s="8">
        <f>(Tabela2[[#This Row],[Weight]]/(Tabela2[[#This Row],[Height]] ^2))</f>
        <v>28.444620268936507</v>
      </c>
    </row>
    <row r="1202" spans="1:23" x14ac:dyDescent="0.25">
      <c r="A1202" t="s">
        <v>15</v>
      </c>
      <c r="B1202" s="7">
        <v>31.662814000000001</v>
      </c>
      <c r="C1202" s="4">
        <v>1.848965</v>
      </c>
      <c r="D1202" s="7">
        <v>98.912261000000001</v>
      </c>
      <c r="E1202">
        <v>1</v>
      </c>
      <c r="F1202">
        <v>1</v>
      </c>
      <c r="G1202" s="2">
        <v>2.3995310000000001</v>
      </c>
      <c r="H1202" s="2">
        <v>2.6230790000000002</v>
      </c>
      <c r="I1202">
        <v>1</v>
      </c>
      <c r="J1202">
        <v>0</v>
      </c>
      <c r="K1202" s="2">
        <v>2.5351270000000001</v>
      </c>
      <c r="L1202">
        <v>0</v>
      </c>
      <c r="M1202" s="7">
        <v>1.0307519999999999</v>
      </c>
      <c r="N1202" s="7">
        <v>0.60626400000000003</v>
      </c>
      <c r="O1202">
        <v>1</v>
      </c>
      <c r="P1202" t="s">
        <v>17</v>
      </c>
      <c r="Q1202">
        <v>3</v>
      </c>
      <c r="R1202" s="8">
        <f>(Tabela2[[#This Row],[FAF_atividade_fisica_frequente_em_horas]]+ 0.1)</f>
        <v>1.130752</v>
      </c>
      <c r="S1202" s="1">
        <f>(Tabela2[[#This Row],[TUE_tempo_uso_aparelhos_em_horas]]/Tabela2[[#This Row],[FAF_Var]])</f>
        <v>0.53616000679194031</v>
      </c>
      <c r="T1202">
        <f>(Tabela2[[#This Row],[CAEC_lanche_entre_refeicoes]]*Tabela2[[#This Row],[FAVC_consumo_frequente_de_alimentos_mt_caloricos]])</f>
        <v>1</v>
      </c>
      <c r="U1202" s="1">
        <f>IF(OR(Tabela2[[#This Row],[MTRANS]]="Walking",Tabela2[[#This Row],[MTRANS]]="Bike"),Tabela2[[#This Row],[FAF_atividade_fisica_frequente_em_horas]]+1,M1202)</f>
        <v>1.0307519999999999</v>
      </c>
      <c r="V1202">
        <f>(Tabela2[[#This Row],[SMOKE]]+Tabela2[[#This Row],[CALC_bebe_alcool_frequentemente]])</f>
        <v>1</v>
      </c>
      <c r="W1202" s="8">
        <f>(Tabela2[[#This Row],[Weight]]/(Tabela2[[#This Row],[Height]] ^2))</f>
        <v>28.932952153855812</v>
      </c>
    </row>
    <row r="1203" spans="1:23" x14ac:dyDescent="0.25">
      <c r="A1203" t="s">
        <v>15</v>
      </c>
      <c r="B1203" s="7">
        <v>24.347414000000001</v>
      </c>
      <c r="C1203" s="4">
        <v>1.789193</v>
      </c>
      <c r="D1203" s="7">
        <v>89.393589000000006</v>
      </c>
      <c r="E1203">
        <v>1</v>
      </c>
      <c r="F1203">
        <v>1</v>
      </c>
      <c r="G1203" s="2">
        <v>1.521604</v>
      </c>
      <c r="H1203" s="2">
        <v>2.1749679999999998</v>
      </c>
      <c r="I1203">
        <v>1</v>
      </c>
      <c r="J1203">
        <v>0</v>
      </c>
      <c r="K1203" s="2">
        <v>2</v>
      </c>
      <c r="L1203">
        <v>0</v>
      </c>
      <c r="M1203" s="7">
        <v>0</v>
      </c>
      <c r="N1203" s="7">
        <v>0.632467</v>
      </c>
      <c r="O1203">
        <v>1</v>
      </c>
      <c r="P1203" t="s">
        <v>14</v>
      </c>
      <c r="Q1203">
        <v>3</v>
      </c>
      <c r="R1203" s="8">
        <f>(Tabela2[[#This Row],[FAF_atividade_fisica_frequente_em_horas]]+ 0.1)</f>
        <v>0.1</v>
      </c>
      <c r="S1203" s="1">
        <f>(Tabela2[[#This Row],[TUE_tempo_uso_aparelhos_em_horas]]/Tabela2[[#This Row],[FAF_Var]])</f>
        <v>6.3246699999999993</v>
      </c>
      <c r="T1203">
        <f>(Tabela2[[#This Row],[CAEC_lanche_entre_refeicoes]]*Tabela2[[#This Row],[FAVC_consumo_frequente_de_alimentos_mt_caloricos]])</f>
        <v>1</v>
      </c>
      <c r="U1203" s="1">
        <f>IF(OR(Tabela2[[#This Row],[MTRANS]]="Walking",Tabela2[[#This Row],[MTRANS]]="Bike"),Tabela2[[#This Row],[FAF_atividade_fisica_frequente_em_horas]]+1,M1203)</f>
        <v>0</v>
      </c>
      <c r="V1203">
        <f>(Tabela2[[#This Row],[SMOKE]]+Tabela2[[#This Row],[CALC_bebe_alcool_frequentemente]])</f>
        <v>1</v>
      </c>
      <c r="W1203" s="8">
        <f>(Tabela2[[#This Row],[Weight]]/(Tabela2[[#This Row],[Height]] ^2))</f>
        <v>27.924923564681261</v>
      </c>
    </row>
    <row r="1204" spans="1:23" x14ac:dyDescent="0.25">
      <c r="A1204" t="s">
        <v>15</v>
      </c>
      <c r="B1204" s="7">
        <v>24.362124000000001</v>
      </c>
      <c r="C1204" s="4">
        <v>1.716677</v>
      </c>
      <c r="D1204" s="7">
        <v>85.261339000000007</v>
      </c>
      <c r="E1204">
        <v>1</v>
      </c>
      <c r="F1204">
        <v>1</v>
      </c>
      <c r="G1204" s="2">
        <v>2</v>
      </c>
      <c r="H1204" s="2">
        <v>2.676148</v>
      </c>
      <c r="I1204">
        <v>1</v>
      </c>
      <c r="J1204">
        <v>0</v>
      </c>
      <c r="K1204" s="2">
        <v>2.083939</v>
      </c>
      <c r="L1204">
        <v>0</v>
      </c>
      <c r="M1204" s="7">
        <v>0.63216399999999995</v>
      </c>
      <c r="N1204" s="7">
        <v>0.99378599999999995</v>
      </c>
      <c r="O1204">
        <v>1</v>
      </c>
      <c r="P1204" t="s">
        <v>14</v>
      </c>
      <c r="Q1204">
        <v>3</v>
      </c>
      <c r="R1204" s="8">
        <f>(Tabela2[[#This Row],[FAF_atividade_fisica_frequente_em_horas]]+ 0.1)</f>
        <v>0.73216399999999993</v>
      </c>
      <c r="S1204" s="1">
        <f>(Tabela2[[#This Row],[TUE_tempo_uso_aparelhos_em_horas]]/Tabela2[[#This Row],[FAF_Var]])</f>
        <v>1.3573270469457663</v>
      </c>
      <c r="T1204">
        <f>(Tabela2[[#This Row],[CAEC_lanche_entre_refeicoes]]*Tabela2[[#This Row],[FAVC_consumo_frequente_de_alimentos_mt_caloricos]])</f>
        <v>1</v>
      </c>
      <c r="U1204" s="1">
        <f>IF(OR(Tabela2[[#This Row],[MTRANS]]="Walking",Tabela2[[#This Row],[MTRANS]]="Bike"),Tabela2[[#This Row],[FAF_atividade_fisica_frequente_em_horas]]+1,M1204)</f>
        <v>0.63216399999999995</v>
      </c>
      <c r="V1204">
        <f>(Tabela2[[#This Row],[SMOKE]]+Tabela2[[#This Row],[CALC_bebe_alcool_frequentemente]])</f>
        <v>1</v>
      </c>
      <c r="W1204" s="8">
        <f>(Tabela2[[#This Row],[Weight]]/(Tabela2[[#This Row],[Height]] ^2))</f>
        <v>28.93176785969343</v>
      </c>
    </row>
    <row r="1205" spans="1:23" x14ac:dyDescent="0.25">
      <c r="A1205" t="s">
        <v>13</v>
      </c>
      <c r="B1205" s="7">
        <v>19.462713000000001</v>
      </c>
      <c r="C1205" s="4">
        <v>1.550122</v>
      </c>
      <c r="D1205" s="7">
        <v>69.936072999999993</v>
      </c>
      <c r="E1205">
        <v>1</v>
      </c>
      <c r="F1205">
        <v>0</v>
      </c>
      <c r="G1205" s="2">
        <v>2.5016829999999999</v>
      </c>
      <c r="H1205" s="2">
        <v>3.3947880000000001</v>
      </c>
      <c r="I1205">
        <v>1</v>
      </c>
      <c r="J1205">
        <v>0</v>
      </c>
      <c r="K1205" s="2">
        <v>1.337378</v>
      </c>
      <c r="L1205">
        <v>0</v>
      </c>
      <c r="M1205" s="7">
        <v>0.93288800000000005</v>
      </c>
      <c r="N1205" s="7">
        <v>1</v>
      </c>
      <c r="O1205">
        <v>0</v>
      </c>
      <c r="P1205" t="s">
        <v>14</v>
      </c>
      <c r="Q1205">
        <v>3</v>
      </c>
      <c r="R1205" s="8">
        <f>(Tabela2[[#This Row],[FAF_atividade_fisica_frequente_em_horas]]+ 0.1)</f>
        <v>1.032888</v>
      </c>
      <c r="S1205" s="1">
        <f>(Tabela2[[#This Row],[TUE_tempo_uso_aparelhos_em_horas]]/Tabela2[[#This Row],[FAF_Var]])</f>
        <v>0.96815918085988029</v>
      </c>
      <c r="T1205">
        <f>(Tabela2[[#This Row],[CAEC_lanche_entre_refeicoes]]*Tabela2[[#This Row],[FAVC_consumo_frequente_de_alimentos_mt_caloricos]])</f>
        <v>0</v>
      </c>
      <c r="U1205" s="1">
        <f>IF(OR(Tabela2[[#This Row],[MTRANS]]="Walking",Tabela2[[#This Row],[MTRANS]]="Bike"),Tabela2[[#This Row],[FAF_atividade_fisica_frequente_em_horas]]+1,M1205)</f>
        <v>0.93288800000000005</v>
      </c>
      <c r="V1205">
        <f>(Tabela2[[#This Row],[SMOKE]]+Tabela2[[#This Row],[CALC_bebe_alcool_frequentemente]])</f>
        <v>0</v>
      </c>
      <c r="W1205" s="8">
        <f>(Tabela2[[#This Row],[Weight]]/(Tabela2[[#This Row],[Height]] ^2))</f>
        <v>29.105125913914112</v>
      </c>
    </row>
    <row r="1206" spans="1:23" x14ac:dyDescent="0.25">
      <c r="A1206" t="s">
        <v>13</v>
      </c>
      <c r="B1206" s="7">
        <v>35.432059000000002</v>
      </c>
      <c r="C1206" s="4">
        <v>1.663178</v>
      </c>
      <c r="D1206" s="7">
        <v>80.135166999999996</v>
      </c>
      <c r="E1206">
        <v>1</v>
      </c>
      <c r="F1206">
        <v>1</v>
      </c>
      <c r="G1206" s="2">
        <v>2</v>
      </c>
      <c r="H1206" s="2">
        <v>3</v>
      </c>
      <c r="I1206">
        <v>1</v>
      </c>
      <c r="J1206">
        <v>0</v>
      </c>
      <c r="K1206" s="2">
        <v>1.992548</v>
      </c>
      <c r="L1206">
        <v>0</v>
      </c>
      <c r="M1206" s="7">
        <v>3.9206999999999999E-2</v>
      </c>
      <c r="N1206" s="7">
        <v>1.5287139999999999</v>
      </c>
      <c r="O1206">
        <v>0</v>
      </c>
      <c r="P1206" t="s">
        <v>17</v>
      </c>
      <c r="Q1206">
        <v>3</v>
      </c>
      <c r="R1206" s="8">
        <f>(Tabela2[[#This Row],[FAF_atividade_fisica_frequente_em_horas]]+ 0.1)</f>
        <v>0.139207</v>
      </c>
      <c r="S1206" s="1">
        <f>(Tabela2[[#This Row],[TUE_tempo_uso_aparelhos_em_horas]]/Tabela2[[#This Row],[FAF_Var]])</f>
        <v>10.981588569540325</v>
      </c>
      <c r="T1206">
        <f>(Tabela2[[#This Row],[CAEC_lanche_entre_refeicoes]]*Tabela2[[#This Row],[FAVC_consumo_frequente_de_alimentos_mt_caloricos]])</f>
        <v>1</v>
      </c>
      <c r="U1206" s="1">
        <f>IF(OR(Tabela2[[#This Row],[MTRANS]]="Walking",Tabela2[[#This Row],[MTRANS]]="Bike"),Tabela2[[#This Row],[FAF_atividade_fisica_frequente_em_horas]]+1,M1206)</f>
        <v>3.9206999999999999E-2</v>
      </c>
      <c r="V1206">
        <f>(Tabela2[[#This Row],[SMOKE]]+Tabela2[[#This Row],[CALC_bebe_alcool_frequentemente]])</f>
        <v>0</v>
      </c>
      <c r="W1206" s="8">
        <f>(Tabela2[[#This Row],[Weight]]/(Tabela2[[#This Row],[Height]] ^2))</f>
        <v>28.96981241184649</v>
      </c>
    </row>
    <row r="1207" spans="1:23" x14ac:dyDescent="0.25">
      <c r="A1207" t="s">
        <v>13</v>
      </c>
      <c r="B1207" s="7">
        <v>33.864257000000002</v>
      </c>
      <c r="C1207" s="4">
        <v>1.6792990000000001</v>
      </c>
      <c r="D1207" s="7">
        <v>77.355417000000003</v>
      </c>
      <c r="E1207">
        <v>1</v>
      </c>
      <c r="F1207">
        <v>1</v>
      </c>
      <c r="G1207" s="2">
        <v>2.7680199999999999</v>
      </c>
      <c r="H1207" s="2">
        <v>2.1370680000000002</v>
      </c>
      <c r="I1207">
        <v>1</v>
      </c>
      <c r="J1207">
        <v>0</v>
      </c>
      <c r="K1207" s="2">
        <v>1.873591</v>
      </c>
      <c r="L1207">
        <v>0</v>
      </c>
      <c r="M1207" s="7">
        <v>0.96697299999999997</v>
      </c>
      <c r="N1207" s="7">
        <v>0.691944</v>
      </c>
      <c r="O1207">
        <v>0</v>
      </c>
      <c r="P1207" t="s">
        <v>17</v>
      </c>
      <c r="Q1207">
        <v>3</v>
      </c>
      <c r="R1207" s="8">
        <f>(Tabela2[[#This Row],[FAF_atividade_fisica_frequente_em_horas]]+ 0.1)</f>
        <v>1.0669729999999999</v>
      </c>
      <c r="S1207" s="1">
        <f>(Tabela2[[#This Row],[TUE_tempo_uso_aparelhos_em_horas]]/Tabela2[[#This Row],[FAF_Var]])</f>
        <v>0.64851125567376122</v>
      </c>
      <c r="T1207">
        <f>(Tabela2[[#This Row],[CAEC_lanche_entre_refeicoes]]*Tabela2[[#This Row],[FAVC_consumo_frequente_de_alimentos_mt_caloricos]])</f>
        <v>1</v>
      </c>
      <c r="U1207" s="1">
        <f>IF(OR(Tabela2[[#This Row],[MTRANS]]="Walking",Tabela2[[#This Row],[MTRANS]]="Bike"),Tabela2[[#This Row],[FAF_atividade_fisica_frequente_em_horas]]+1,M1207)</f>
        <v>0.96697299999999997</v>
      </c>
      <c r="V1207">
        <f>(Tabela2[[#This Row],[SMOKE]]+Tabela2[[#This Row],[CALC_bebe_alcool_frequentemente]])</f>
        <v>0</v>
      </c>
      <c r="W1207" s="8">
        <f>(Tabela2[[#This Row],[Weight]]/(Tabela2[[#This Row],[Height]] ^2))</f>
        <v>27.430559936312005</v>
      </c>
    </row>
    <row r="1208" spans="1:23" x14ac:dyDescent="0.25">
      <c r="A1208" t="s">
        <v>15</v>
      </c>
      <c r="B1208" s="7">
        <v>23.807181</v>
      </c>
      <c r="C1208" s="4">
        <v>1.729177</v>
      </c>
      <c r="D1208" s="7">
        <v>82.527240000000006</v>
      </c>
      <c r="E1208">
        <v>1</v>
      </c>
      <c r="F1208">
        <v>1</v>
      </c>
      <c r="G1208" s="2">
        <v>2.7427959999999998</v>
      </c>
      <c r="H1208" s="2">
        <v>2.9376069999999999</v>
      </c>
      <c r="I1208">
        <v>1</v>
      </c>
      <c r="J1208">
        <v>0</v>
      </c>
      <c r="K1208" s="2">
        <v>1.9946699999999999</v>
      </c>
      <c r="L1208">
        <v>0</v>
      </c>
      <c r="M1208" s="7">
        <v>1</v>
      </c>
      <c r="N1208" s="7">
        <v>2.3564000000000002E-2</v>
      </c>
      <c r="O1208">
        <v>1</v>
      </c>
      <c r="P1208" t="s">
        <v>14</v>
      </c>
      <c r="Q1208">
        <v>3</v>
      </c>
      <c r="R1208" s="8">
        <f>(Tabela2[[#This Row],[FAF_atividade_fisica_frequente_em_horas]]+ 0.1)</f>
        <v>1.1000000000000001</v>
      </c>
      <c r="S1208" s="1">
        <f>(Tabela2[[#This Row],[TUE_tempo_uso_aparelhos_em_horas]]/Tabela2[[#This Row],[FAF_Var]])</f>
        <v>2.1421818181818181E-2</v>
      </c>
      <c r="T1208">
        <f>(Tabela2[[#This Row],[CAEC_lanche_entre_refeicoes]]*Tabela2[[#This Row],[FAVC_consumo_frequente_de_alimentos_mt_caloricos]])</f>
        <v>1</v>
      </c>
      <c r="U1208" s="1">
        <f>IF(OR(Tabela2[[#This Row],[MTRANS]]="Walking",Tabela2[[#This Row],[MTRANS]]="Bike"),Tabela2[[#This Row],[FAF_atividade_fisica_frequente_em_horas]]+1,M1208)</f>
        <v>1</v>
      </c>
      <c r="V1208">
        <f>(Tabela2[[#This Row],[SMOKE]]+Tabela2[[#This Row],[CALC_bebe_alcool_frequentemente]])</f>
        <v>1</v>
      </c>
      <c r="W1208" s="8">
        <f>(Tabela2[[#This Row],[Weight]]/(Tabela2[[#This Row],[Height]] ^2))</f>
        <v>27.600593472310305</v>
      </c>
    </row>
    <row r="1209" spans="1:23" x14ac:dyDescent="0.25">
      <c r="A1209" t="s">
        <v>15</v>
      </c>
      <c r="B1209" s="7">
        <v>39.585811</v>
      </c>
      <c r="C1209" s="4">
        <v>1.7191529999999999</v>
      </c>
      <c r="D1209" s="7">
        <v>86.464843000000002</v>
      </c>
      <c r="E1209">
        <v>1</v>
      </c>
      <c r="F1209">
        <v>1</v>
      </c>
      <c r="G1209" s="2">
        <v>2.3256230000000002</v>
      </c>
      <c r="H1209" s="2">
        <v>1.3134030000000001</v>
      </c>
      <c r="I1209">
        <v>1</v>
      </c>
      <c r="J1209">
        <v>0</v>
      </c>
      <c r="K1209" s="2">
        <v>1.9460900000000001</v>
      </c>
      <c r="L1209">
        <v>0</v>
      </c>
      <c r="M1209" s="7">
        <v>0.60425899999999999</v>
      </c>
      <c r="N1209" s="7">
        <v>0</v>
      </c>
      <c r="O1209">
        <v>0</v>
      </c>
      <c r="P1209" t="s">
        <v>17</v>
      </c>
      <c r="Q1209">
        <v>3</v>
      </c>
      <c r="R1209" s="8">
        <f>(Tabela2[[#This Row],[FAF_atividade_fisica_frequente_em_horas]]+ 0.1)</f>
        <v>0.70425899999999997</v>
      </c>
      <c r="S1209" s="1">
        <f>(Tabela2[[#This Row],[TUE_tempo_uso_aparelhos_em_horas]]/Tabela2[[#This Row],[FAF_Var]])</f>
        <v>0</v>
      </c>
      <c r="T1209">
        <f>(Tabela2[[#This Row],[CAEC_lanche_entre_refeicoes]]*Tabela2[[#This Row],[FAVC_consumo_frequente_de_alimentos_mt_caloricos]])</f>
        <v>1</v>
      </c>
      <c r="U1209" s="1">
        <f>IF(OR(Tabela2[[#This Row],[MTRANS]]="Walking",Tabela2[[#This Row],[MTRANS]]="Bike"),Tabela2[[#This Row],[FAF_atividade_fisica_frequente_em_horas]]+1,M1209)</f>
        <v>0.60425899999999999</v>
      </c>
      <c r="V1209">
        <f>(Tabela2[[#This Row],[SMOKE]]+Tabela2[[#This Row],[CALC_bebe_alcool_frequentemente]])</f>
        <v>0</v>
      </c>
      <c r="W1209" s="8">
        <f>(Tabela2[[#This Row],[Weight]]/(Tabela2[[#This Row],[Height]] ^2))</f>
        <v>29.2557002976408</v>
      </c>
    </row>
    <row r="1210" spans="1:23" x14ac:dyDescent="0.25">
      <c r="A1210" t="s">
        <v>13</v>
      </c>
      <c r="B1210" s="7">
        <v>45.821266999999999</v>
      </c>
      <c r="C1210" s="4">
        <v>1.6873260000000001</v>
      </c>
      <c r="D1210" s="7">
        <v>80.413996999999995</v>
      </c>
      <c r="E1210">
        <v>1</v>
      </c>
      <c r="F1210">
        <v>1</v>
      </c>
      <c r="G1210" s="2">
        <v>2.076689</v>
      </c>
      <c r="H1210" s="2">
        <v>3</v>
      </c>
      <c r="I1210">
        <v>1</v>
      </c>
      <c r="J1210">
        <v>0</v>
      </c>
      <c r="K1210" s="2">
        <v>1.026729</v>
      </c>
      <c r="L1210">
        <v>0</v>
      </c>
      <c r="M1210" s="7">
        <v>0.64779799999999998</v>
      </c>
      <c r="N1210" s="7">
        <v>0</v>
      </c>
      <c r="O1210">
        <v>0</v>
      </c>
      <c r="P1210" t="s">
        <v>17</v>
      </c>
      <c r="Q1210">
        <v>3</v>
      </c>
      <c r="R1210" s="8">
        <f>(Tabela2[[#This Row],[FAF_atividade_fisica_frequente_em_horas]]+ 0.1)</f>
        <v>0.74779799999999996</v>
      </c>
      <c r="S1210" s="1">
        <f>(Tabela2[[#This Row],[TUE_tempo_uso_aparelhos_em_horas]]/Tabela2[[#This Row],[FAF_Var]])</f>
        <v>0</v>
      </c>
      <c r="T1210">
        <f>(Tabela2[[#This Row],[CAEC_lanche_entre_refeicoes]]*Tabela2[[#This Row],[FAVC_consumo_frequente_de_alimentos_mt_caloricos]])</f>
        <v>1</v>
      </c>
      <c r="U1210" s="1">
        <f>IF(OR(Tabela2[[#This Row],[MTRANS]]="Walking",Tabela2[[#This Row],[MTRANS]]="Bike"),Tabela2[[#This Row],[FAF_atividade_fisica_frequente_em_horas]]+1,M1210)</f>
        <v>0.64779799999999998</v>
      </c>
      <c r="V1210">
        <f>(Tabela2[[#This Row],[SMOKE]]+Tabela2[[#This Row],[CALC_bebe_alcool_frequentemente]])</f>
        <v>0</v>
      </c>
      <c r="W1210" s="8">
        <f>(Tabela2[[#This Row],[Weight]]/(Tabela2[[#This Row],[Height]] ^2))</f>
        <v>28.244484466259856</v>
      </c>
    </row>
    <row r="1211" spans="1:23" x14ac:dyDescent="0.25">
      <c r="A1211" t="s">
        <v>15</v>
      </c>
      <c r="B1211" s="7">
        <v>25.929746000000002</v>
      </c>
      <c r="C1211" s="4">
        <v>1.7724489999999999</v>
      </c>
      <c r="D1211" s="7">
        <v>105</v>
      </c>
      <c r="E1211">
        <v>1</v>
      </c>
      <c r="F1211">
        <v>1</v>
      </c>
      <c r="G1211" s="2">
        <v>3</v>
      </c>
      <c r="H1211" s="2">
        <v>3</v>
      </c>
      <c r="I1211">
        <v>1</v>
      </c>
      <c r="J1211">
        <v>0</v>
      </c>
      <c r="K1211" s="2">
        <v>2.0450689999999998</v>
      </c>
      <c r="L1211">
        <v>0</v>
      </c>
      <c r="M1211" s="7">
        <v>1.7259310000000001</v>
      </c>
      <c r="N1211" s="7">
        <v>1.619596</v>
      </c>
      <c r="O1211">
        <v>1</v>
      </c>
      <c r="P1211" t="s">
        <v>14</v>
      </c>
      <c r="Q1211">
        <v>4</v>
      </c>
      <c r="R1211" s="8">
        <f>(Tabela2[[#This Row],[FAF_atividade_fisica_frequente_em_horas]]+ 0.1)</f>
        <v>1.8259310000000002</v>
      </c>
      <c r="S1211" s="1">
        <f>(Tabela2[[#This Row],[TUE_tempo_uso_aparelhos_em_horas]]/Tabela2[[#This Row],[FAF_Var]])</f>
        <v>0.88699737284705715</v>
      </c>
      <c r="T1211">
        <f>(Tabela2[[#This Row],[CAEC_lanche_entre_refeicoes]]*Tabela2[[#This Row],[FAVC_consumo_frequente_de_alimentos_mt_caloricos]])</f>
        <v>1</v>
      </c>
      <c r="U1211" s="1">
        <f>IF(OR(Tabela2[[#This Row],[MTRANS]]="Walking",Tabela2[[#This Row],[MTRANS]]="Bike"),Tabela2[[#This Row],[FAF_atividade_fisica_frequente_em_horas]]+1,M1211)</f>
        <v>1.7259310000000001</v>
      </c>
      <c r="V1211">
        <f>(Tabela2[[#This Row],[SMOKE]]+Tabela2[[#This Row],[CALC_bebe_alcool_frequentemente]])</f>
        <v>1</v>
      </c>
      <c r="W1211" s="8">
        <f>(Tabela2[[#This Row],[Weight]]/(Tabela2[[#This Row],[Height]] ^2))</f>
        <v>33.42272099368293</v>
      </c>
    </row>
    <row r="1212" spans="1:23" x14ac:dyDescent="0.25">
      <c r="A1212" t="s">
        <v>15</v>
      </c>
      <c r="B1212" s="7">
        <v>26.042738</v>
      </c>
      <c r="C1212" s="4">
        <v>1.8371170000000001</v>
      </c>
      <c r="D1212" s="7">
        <v>105.712219</v>
      </c>
      <c r="E1212">
        <v>1</v>
      </c>
      <c r="F1212">
        <v>1</v>
      </c>
      <c r="G1212" s="2">
        <v>3</v>
      </c>
      <c r="H1212" s="2">
        <v>3</v>
      </c>
      <c r="I1212">
        <v>1</v>
      </c>
      <c r="J1212">
        <v>0</v>
      </c>
      <c r="K1212" s="2">
        <v>2.509147</v>
      </c>
      <c r="L1212">
        <v>0</v>
      </c>
      <c r="M1212" s="7">
        <v>2</v>
      </c>
      <c r="N1212" s="7">
        <v>1.5647960000000001</v>
      </c>
      <c r="O1212">
        <v>1</v>
      </c>
      <c r="P1212" t="s">
        <v>14</v>
      </c>
      <c r="Q1212">
        <v>4</v>
      </c>
      <c r="R1212" s="8">
        <f>(Tabela2[[#This Row],[FAF_atividade_fisica_frequente_em_horas]]+ 0.1)</f>
        <v>2.1</v>
      </c>
      <c r="S1212" s="1">
        <f>(Tabela2[[#This Row],[TUE_tempo_uso_aparelhos_em_horas]]/Tabela2[[#This Row],[FAF_Var]])</f>
        <v>0.74514095238095235</v>
      </c>
      <c r="T1212">
        <f>(Tabela2[[#This Row],[CAEC_lanche_entre_refeicoes]]*Tabela2[[#This Row],[FAVC_consumo_frequente_de_alimentos_mt_caloricos]])</f>
        <v>1</v>
      </c>
      <c r="U1212" s="1">
        <f>IF(OR(Tabela2[[#This Row],[MTRANS]]="Walking",Tabela2[[#This Row],[MTRANS]]="Bike"),Tabela2[[#This Row],[FAF_atividade_fisica_frequente_em_horas]]+1,M1212)</f>
        <v>2</v>
      </c>
      <c r="V1212">
        <f>(Tabela2[[#This Row],[SMOKE]]+Tabela2[[#This Row],[CALC_bebe_alcool_frequentemente]])</f>
        <v>1</v>
      </c>
      <c r="W1212" s="8">
        <f>(Tabela2[[#This Row],[Weight]]/(Tabela2[[#This Row],[Height]] ^2))</f>
        <v>31.322149434407628</v>
      </c>
    </row>
    <row r="1213" spans="1:23" x14ac:dyDescent="0.25">
      <c r="A1213" t="s">
        <v>15</v>
      </c>
      <c r="B1213" s="7">
        <v>30.551762</v>
      </c>
      <c r="C1213" s="4">
        <v>1.7843770000000001</v>
      </c>
      <c r="D1213" s="7">
        <v>102.872505</v>
      </c>
      <c r="E1213">
        <v>1</v>
      </c>
      <c r="F1213">
        <v>1</v>
      </c>
      <c r="G1213" s="2">
        <v>2.271306</v>
      </c>
      <c r="H1213" s="2">
        <v>3</v>
      </c>
      <c r="I1213">
        <v>1</v>
      </c>
      <c r="J1213">
        <v>0</v>
      </c>
      <c r="K1213" s="2">
        <v>1.7711980000000001</v>
      </c>
      <c r="L1213">
        <v>0</v>
      </c>
      <c r="M1213" s="7">
        <v>2</v>
      </c>
      <c r="N1213" s="7">
        <v>0.41375200000000001</v>
      </c>
      <c r="O1213">
        <v>1</v>
      </c>
      <c r="P1213" t="s">
        <v>17</v>
      </c>
      <c r="Q1213">
        <v>4</v>
      </c>
      <c r="R1213" s="8">
        <f>(Tabela2[[#This Row],[FAF_atividade_fisica_frequente_em_horas]]+ 0.1)</f>
        <v>2.1</v>
      </c>
      <c r="S1213" s="1">
        <f>(Tabela2[[#This Row],[TUE_tempo_uso_aparelhos_em_horas]]/Tabela2[[#This Row],[FAF_Var]])</f>
        <v>0.1970247619047619</v>
      </c>
      <c r="T1213">
        <f>(Tabela2[[#This Row],[CAEC_lanche_entre_refeicoes]]*Tabela2[[#This Row],[FAVC_consumo_frequente_de_alimentos_mt_caloricos]])</f>
        <v>1</v>
      </c>
      <c r="U1213" s="1">
        <f>IF(OR(Tabela2[[#This Row],[MTRANS]]="Walking",Tabela2[[#This Row],[MTRANS]]="Bike"),Tabela2[[#This Row],[FAF_atividade_fisica_frequente_em_horas]]+1,M1213)</f>
        <v>2</v>
      </c>
      <c r="V1213">
        <f>(Tabela2[[#This Row],[SMOKE]]+Tabela2[[#This Row],[CALC_bebe_alcool_frequentemente]])</f>
        <v>1</v>
      </c>
      <c r="W1213" s="8">
        <f>(Tabela2[[#This Row],[Weight]]/(Tabela2[[#This Row],[Height]] ^2))</f>
        <v>32.30919086202455</v>
      </c>
    </row>
    <row r="1214" spans="1:23" x14ac:dyDescent="0.25">
      <c r="A1214" t="s">
        <v>15</v>
      </c>
      <c r="B1214" s="7">
        <v>39.759574999999998</v>
      </c>
      <c r="C1214" s="4">
        <v>1.7925070000000001</v>
      </c>
      <c r="D1214" s="7">
        <v>101.78009900000001</v>
      </c>
      <c r="E1214">
        <v>1</v>
      </c>
      <c r="F1214">
        <v>1</v>
      </c>
      <c r="G1214" s="2">
        <v>2.3336100000000002</v>
      </c>
      <c r="H1214" s="2">
        <v>2.113575</v>
      </c>
      <c r="I1214">
        <v>1</v>
      </c>
      <c r="J1214">
        <v>0</v>
      </c>
      <c r="K1214" s="2">
        <v>2.5041359999999999</v>
      </c>
      <c r="L1214">
        <v>0</v>
      </c>
      <c r="M1214" s="7">
        <v>2.9989810000000001</v>
      </c>
      <c r="N1214" s="7">
        <v>1</v>
      </c>
      <c r="O1214">
        <v>1</v>
      </c>
      <c r="P1214" t="s">
        <v>17</v>
      </c>
      <c r="Q1214">
        <v>4</v>
      </c>
      <c r="R1214" s="8">
        <f>(Tabela2[[#This Row],[FAF_atividade_fisica_frequente_em_horas]]+ 0.1)</f>
        <v>3.0989810000000002</v>
      </c>
      <c r="S1214" s="1">
        <f>(Tabela2[[#This Row],[TUE_tempo_uso_aparelhos_em_horas]]/Tabela2[[#This Row],[FAF_Var]])</f>
        <v>0.32268671540741939</v>
      </c>
      <c r="T1214">
        <f>(Tabela2[[#This Row],[CAEC_lanche_entre_refeicoes]]*Tabela2[[#This Row],[FAVC_consumo_frequente_de_alimentos_mt_caloricos]])</f>
        <v>1</v>
      </c>
      <c r="U1214" s="1">
        <f>IF(OR(Tabela2[[#This Row],[MTRANS]]="Walking",Tabela2[[#This Row],[MTRANS]]="Bike"),Tabela2[[#This Row],[FAF_atividade_fisica_frequente_em_horas]]+1,M1214)</f>
        <v>2.9989810000000001</v>
      </c>
      <c r="V1214">
        <f>(Tabela2[[#This Row],[SMOKE]]+Tabela2[[#This Row],[CALC_bebe_alcool_frequentemente]])</f>
        <v>1</v>
      </c>
      <c r="W1214" s="8">
        <f>(Tabela2[[#This Row],[Weight]]/(Tabela2[[#This Row],[Height]] ^2))</f>
        <v>31.676788748853738</v>
      </c>
    </row>
    <row r="1215" spans="1:23" x14ac:dyDescent="0.25">
      <c r="A1215" t="s">
        <v>13</v>
      </c>
      <c r="B1215" s="7">
        <v>31.386405</v>
      </c>
      <c r="C1215" s="4">
        <v>1.5565789999999999</v>
      </c>
      <c r="D1215" s="7">
        <v>78.233340999999996</v>
      </c>
      <c r="E1215">
        <v>1</v>
      </c>
      <c r="F1215">
        <v>1</v>
      </c>
      <c r="G1215" s="2">
        <v>2.1368299999999998</v>
      </c>
      <c r="H1215" s="2">
        <v>2.0921789999999998</v>
      </c>
      <c r="I1215">
        <v>1</v>
      </c>
      <c r="J1215">
        <v>0</v>
      </c>
      <c r="K1215" s="2">
        <v>1.5053810000000001</v>
      </c>
      <c r="L1215">
        <v>0</v>
      </c>
      <c r="M1215" s="7">
        <v>0</v>
      </c>
      <c r="N1215" s="7">
        <v>0</v>
      </c>
      <c r="O1215">
        <v>1</v>
      </c>
      <c r="P1215" t="s">
        <v>14</v>
      </c>
      <c r="Q1215">
        <v>4</v>
      </c>
      <c r="R1215" s="8">
        <f>(Tabela2[[#This Row],[FAF_atividade_fisica_frequente_em_horas]]+ 0.1)</f>
        <v>0.1</v>
      </c>
      <c r="S1215" s="1">
        <f>(Tabela2[[#This Row],[TUE_tempo_uso_aparelhos_em_horas]]/Tabela2[[#This Row],[FAF_Var]])</f>
        <v>0</v>
      </c>
      <c r="T1215">
        <f>(Tabela2[[#This Row],[CAEC_lanche_entre_refeicoes]]*Tabela2[[#This Row],[FAVC_consumo_frequente_de_alimentos_mt_caloricos]])</f>
        <v>1</v>
      </c>
      <c r="U1215" s="1">
        <f>IF(OR(Tabela2[[#This Row],[MTRANS]]="Walking",Tabela2[[#This Row],[MTRANS]]="Bike"),Tabela2[[#This Row],[FAF_atividade_fisica_frequente_em_horas]]+1,M1215)</f>
        <v>0</v>
      </c>
      <c r="V1215">
        <f>(Tabela2[[#This Row],[SMOKE]]+Tabela2[[#This Row],[CALC_bebe_alcool_frequentemente]])</f>
        <v>1</v>
      </c>
      <c r="W1215" s="8">
        <f>(Tabela2[[#This Row],[Weight]]/(Tabela2[[#This Row],[Height]] ^2))</f>
        <v>32.288624423489239</v>
      </c>
    </row>
    <row r="1216" spans="1:23" x14ac:dyDescent="0.25">
      <c r="A1216" t="s">
        <v>13</v>
      </c>
      <c r="B1216" s="7">
        <v>25.706285000000001</v>
      </c>
      <c r="C1216" s="4">
        <v>1.585547</v>
      </c>
      <c r="D1216" s="7">
        <v>80.351263000000003</v>
      </c>
      <c r="E1216">
        <v>1</v>
      </c>
      <c r="F1216">
        <v>1</v>
      </c>
      <c r="G1216" s="2">
        <v>2</v>
      </c>
      <c r="H1216" s="2">
        <v>1</v>
      </c>
      <c r="I1216">
        <v>1</v>
      </c>
      <c r="J1216">
        <v>0</v>
      </c>
      <c r="K1216" s="2">
        <v>2</v>
      </c>
      <c r="L1216">
        <v>0</v>
      </c>
      <c r="M1216" s="7">
        <v>0</v>
      </c>
      <c r="N1216" s="7">
        <v>0</v>
      </c>
      <c r="O1216">
        <v>1</v>
      </c>
      <c r="P1216" t="s">
        <v>14</v>
      </c>
      <c r="Q1216">
        <v>4</v>
      </c>
      <c r="R1216" s="8">
        <f>(Tabela2[[#This Row],[FAF_atividade_fisica_frequente_em_horas]]+ 0.1)</f>
        <v>0.1</v>
      </c>
      <c r="S1216" s="1">
        <f>(Tabela2[[#This Row],[TUE_tempo_uso_aparelhos_em_horas]]/Tabela2[[#This Row],[FAF_Var]])</f>
        <v>0</v>
      </c>
      <c r="T1216">
        <f>(Tabela2[[#This Row],[CAEC_lanche_entre_refeicoes]]*Tabela2[[#This Row],[FAVC_consumo_frequente_de_alimentos_mt_caloricos]])</f>
        <v>1</v>
      </c>
      <c r="U1216" s="1">
        <f>IF(OR(Tabela2[[#This Row],[MTRANS]]="Walking",Tabela2[[#This Row],[MTRANS]]="Bike"),Tabela2[[#This Row],[FAF_atividade_fisica_frequente_em_horas]]+1,M1216)</f>
        <v>0</v>
      </c>
      <c r="V1216">
        <f>(Tabela2[[#This Row],[SMOKE]]+Tabela2[[#This Row],[CALC_bebe_alcool_frequentemente]])</f>
        <v>1</v>
      </c>
      <c r="W1216" s="8">
        <f>(Tabela2[[#This Row],[Weight]]/(Tabela2[[#This Row],[Height]] ^2))</f>
        <v>31.962038265656233</v>
      </c>
    </row>
    <row r="1217" spans="1:23" x14ac:dyDescent="0.25">
      <c r="A1217" t="s">
        <v>13</v>
      </c>
      <c r="B1217" s="7">
        <v>43.604900999999998</v>
      </c>
      <c r="C1217" s="4">
        <v>1.569234</v>
      </c>
      <c r="D1217" s="7">
        <v>81.827287999999996</v>
      </c>
      <c r="E1217">
        <v>1</v>
      </c>
      <c r="F1217">
        <v>1</v>
      </c>
      <c r="G1217" s="2">
        <v>2.909853</v>
      </c>
      <c r="H1217" s="2">
        <v>1</v>
      </c>
      <c r="I1217">
        <v>1</v>
      </c>
      <c r="J1217">
        <v>0</v>
      </c>
      <c r="K1217" s="2">
        <v>2</v>
      </c>
      <c r="L1217">
        <v>0</v>
      </c>
      <c r="M1217" s="7">
        <v>1.3088519999999999</v>
      </c>
      <c r="N1217" s="7">
        <v>0</v>
      </c>
      <c r="O1217">
        <v>0</v>
      </c>
      <c r="P1217" t="s">
        <v>17</v>
      </c>
      <c r="Q1217">
        <v>4</v>
      </c>
      <c r="R1217" s="8">
        <f>(Tabela2[[#This Row],[FAF_atividade_fisica_frequente_em_horas]]+ 0.1)</f>
        <v>1.408852</v>
      </c>
      <c r="S1217" s="1">
        <f>(Tabela2[[#This Row],[TUE_tempo_uso_aparelhos_em_horas]]/Tabela2[[#This Row],[FAF_Var]])</f>
        <v>0</v>
      </c>
      <c r="T1217">
        <f>(Tabela2[[#This Row],[CAEC_lanche_entre_refeicoes]]*Tabela2[[#This Row],[FAVC_consumo_frequente_de_alimentos_mt_caloricos]])</f>
        <v>1</v>
      </c>
      <c r="U1217" s="1">
        <f>IF(OR(Tabela2[[#This Row],[MTRANS]]="Walking",Tabela2[[#This Row],[MTRANS]]="Bike"),Tabela2[[#This Row],[FAF_atividade_fisica_frequente_em_horas]]+1,M1217)</f>
        <v>1.3088519999999999</v>
      </c>
      <c r="V1217">
        <f>(Tabela2[[#This Row],[SMOKE]]+Tabela2[[#This Row],[CALC_bebe_alcool_frequentemente]])</f>
        <v>0</v>
      </c>
      <c r="W1217" s="8">
        <f>(Tabela2[[#This Row],[Weight]]/(Tabela2[[#This Row],[Height]] ^2))</f>
        <v>33.229418324707183</v>
      </c>
    </row>
    <row r="1218" spans="1:23" x14ac:dyDescent="0.25">
      <c r="A1218" t="s">
        <v>13</v>
      </c>
      <c r="B1218" s="7">
        <v>42.316070000000003</v>
      </c>
      <c r="C1218" s="4">
        <v>1.5839430000000001</v>
      </c>
      <c r="D1218" s="7">
        <v>81.936397999999997</v>
      </c>
      <c r="E1218">
        <v>1</v>
      </c>
      <c r="F1218">
        <v>1</v>
      </c>
      <c r="G1218" s="2">
        <v>2.490507</v>
      </c>
      <c r="H1218" s="2">
        <v>2.9742039999999998</v>
      </c>
      <c r="I1218">
        <v>1</v>
      </c>
      <c r="J1218">
        <v>0</v>
      </c>
      <c r="K1218" s="2">
        <v>1.846754</v>
      </c>
      <c r="L1218">
        <v>0</v>
      </c>
      <c r="M1218" s="7">
        <v>0</v>
      </c>
      <c r="N1218" s="7">
        <v>0</v>
      </c>
      <c r="O1218">
        <v>0</v>
      </c>
      <c r="P1218" t="s">
        <v>17</v>
      </c>
      <c r="Q1218">
        <v>4</v>
      </c>
      <c r="R1218" s="8">
        <f>(Tabela2[[#This Row],[FAF_atividade_fisica_frequente_em_horas]]+ 0.1)</f>
        <v>0.1</v>
      </c>
      <c r="S1218" s="1">
        <f>(Tabela2[[#This Row],[TUE_tempo_uso_aparelhos_em_horas]]/Tabela2[[#This Row],[FAF_Var]])</f>
        <v>0</v>
      </c>
      <c r="T1218">
        <f>(Tabela2[[#This Row],[CAEC_lanche_entre_refeicoes]]*Tabela2[[#This Row],[FAVC_consumo_frequente_de_alimentos_mt_caloricos]])</f>
        <v>1</v>
      </c>
      <c r="U1218" s="1">
        <f>IF(OR(Tabela2[[#This Row],[MTRANS]]="Walking",Tabela2[[#This Row],[MTRANS]]="Bike"),Tabela2[[#This Row],[FAF_atividade_fisica_frequente_em_horas]]+1,M1218)</f>
        <v>0</v>
      </c>
      <c r="V1218">
        <f>(Tabela2[[#This Row],[SMOKE]]+Tabela2[[#This Row],[CALC_bebe_alcool_frequentemente]])</f>
        <v>0</v>
      </c>
      <c r="W1218" s="8">
        <f>(Tabela2[[#This Row],[Weight]]/(Tabela2[[#This Row],[Height]] ^2))</f>
        <v>32.658615533511693</v>
      </c>
    </row>
    <row r="1219" spans="1:23" x14ac:dyDescent="0.25">
      <c r="A1219" t="s">
        <v>13</v>
      </c>
      <c r="B1219" s="7">
        <v>22.654316000000001</v>
      </c>
      <c r="C1219" s="4">
        <v>1.6212329999999999</v>
      </c>
      <c r="D1219" s="7">
        <v>82</v>
      </c>
      <c r="E1219">
        <v>1</v>
      </c>
      <c r="F1219">
        <v>1</v>
      </c>
      <c r="G1219" s="2">
        <v>1.0634490000000001</v>
      </c>
      <c r="H1219" s="2">
        <v>1</v>
      </c>
      <c r="I1219">
        <v>1</v>
      </c>
      <c r="J1219">
        <v>0</v>
      </c>
      <c r="K1219" s="2">
        <v>2</v>
      </c>
      <c r="L1219">
        <v>0</v>
      </c>
      <c r="M1219" s="7">
        <v>0</v>
      </c>
      <c r="N1219" s="7">
        <v>1.482016</v>
      </c>
      <c r="O1219">
        <v>1</v>
      </c>
      <c r="P1219" t="s">
        <v>14</v>
      </c>
      <c r="Q1219">
        <v>4</v>
      </c>
      <c r="R1219" s="8">
        <f>(Tabela2[[#This Row],[FAF_atividade_fisica_frequente_em_horas]]+ 0.1)</f>
        <v>0.1</v>
      </c>
      <c r="S1219" s="1">
        <f>(Tabela2[[#This Row],[TUE_tempo_uso_aparelhos_em_horas]]/Tabela2[[#This Row],[FAF_Var]])</f>
        <v>14.82016</v>
      </c>
      <c r="T1219">
        <f>(Tabela2[[#This Row],[CAEC_lanche_entre_refeicoes]]*Tabela2[[#This Row],[FAVC_consumo_frequente_de_alimentos_mt_caloricos]])</f>
        <v>1</v>
      </c>
      <c r="U1219" s="1">
        <f>IF(OR(Tabela2[[#This Row],[MTRANS]]="Walking",Tabela2[[#This Row],[MTRANS]]="Bike"),Tabela2[[#This Row],[FAF_atividade_fisica_frequente_em_horas]]+1,M1219)</f>
        <v>0</v>
      </c>
      <c r="V1219">
        <f>(Tabela2[[#This Row],[SMOKE]]+Tabela2[[#This Row],[CALC_bebe_alcool_frequentemente]])</f>
        <v>1</v>
      </c>
      <c r="W1219" s="8">
        <f>(Tabela2[[#This Row],[Weight]]/(Tabela2[[#This Row],[Height]] ^2))</f>
        <v>31.197729057563272</v>
      </c>
    </row>
    <row r="1220" spans="1:23" x14ac:dyDescent="0.25">
      <c r="A1220" t="s">
        <v>13</v>
      </c>
      <c r="B1220" s="7">
        <v>22.679935</v>
      </c>
      <c r="C1220" s="4">
        <v>1.6084000000000001</v>
      </c>
      <c r="D1220" s="7">
        <v>82.603983999999997</v>
      </c>
      <c r="E1220">
        <v>1</v>
      </c>
      <c r="F1220">
        <v>1</v>
      </c>
      <c r="G1220" s="2">
        <v>2.6992820000000002</v>
      </c>
      <c r="H1220" s="2">
        <v>1</v>
      </c>
      <c r="I1220">
        <v>1</v>
      </c>
      <c r="J1220">
        <v>0</v>
      </c>
      <c r="K1220" s="2">
        <v>2.5986319999999998</v>
      </c>
      <c r="L1220">
        <v>0</v>
      </c>
      <c r="M1220" s="7">
        <v>0.29209299999999999</v>
      </c>
      <c r="N1220" s="7">
        <v>2</v>
      </c>
      <c r="O1220">
        <v>1</v>
      </c>
      <c r="P1220" t="s">
        <v>14</v>
      </c>
      <c r="Q1220">
        <v>4</v>
      </c>
      <c r="R1220" s="8">
        <f>(Tabela2[[#This Row],[FAF_atividade_fisica_frequente_em_horas]]+ 0.1)</f>
        <v>0.39209300000000002</v>
      </c>
      <c r="S1220" s="1">
        <f>(Tabela2[[#This Row],[TUE_tempo_uso_aparelhos_em_horas]]/Tabela2[[#This Row],[FAF_Var]])</f>
        <v>5.1008306702746538</v>
      </c>
      <c r="T1220">
        <f>(Tabela2[[#This Row],[CAEC_lanche_entre_refeicoes]]*Tabela2[[#This Row],[FAVC_consumo_frequente_de_alimentos_mt_caloricos]])</f>
        <v>1</v>
      </c>
      <c r="U1220" s="1">
        <f>IF(OR(Tabela2[[#This Row],[MTRANS]]="Walking",Tabela2[[#This Row],[MTRANS]]="Bike"),Tabela2[[#This Row],[FAF_atividade_fisica_frequente_em_horas]]+1,M1220)</f>
        <v>0.29209299999999999</v>
      </c>
      <c r="V1220">
        <f>(Tabela2[[#This Row],[SMOKE]]+Tabela2[[#This Row],[CALC_bebe_alcool_frequentemente]])</f>
        <v>1</v>
      </c>
      <c r="W1220" s="8">
        <f>(Tabela2[[#This Row],[Weight]]/(Tabela2[[#This Row],[Height]] ^2))</f>
        <v>31.931025384574802</v>
      </c>
    </row>
    <row r="1221" spans="1:23" x14ac:dyDescent="0.25">
      <c r="A1221" t="s">
        <v>15</v>
      </c>
      <c r="B1221" s="7">
        <v>24.079523999999999</v>
      </c>
      <c r="C1221" s="4">
        <v>1.733439</v>
      </c>
      <c r="D1221" s="7">
        <v>97.911865000000006</v>
      </c>
      <c r="E1221">
        <v>1</v>
      </c>
      <c r="F1221">
        <v>1</v>
      </c>
      <c r="G1221" s="2">
        <v>2</v>
      </c>
      <c r="H1221" s="2">
        <v>3</v>
      </c>
      <c r="I1221">
        <v>1</v>
      </c>
      <c r="J1221">
        <v>0</v>
      </c>
      <c r="K1221" s="2">
        <v>2.8436750000000002</v>
      </c>
      <c r="L1221">
        <v>0</v>
      </c>
      <c r="M1221" s="7">
        <v>1.309304</v>
      </c>
      <c r="N1221" s="7">
        <v>1.3386549999999999</v>
      </c>
      <c r="O1221">
        <v>0</v>
      </c>
      <c r="P1221" t="s">
        <v>14</v>
      </c>
      <c r="Q1221">
        <v>4</v>
      </c>
      <c r="R1221" s="8">
        <f>(Tabela2[[#This Row],[FAF_atividade_fisica_frequente_em_horas]]+ 0.1)</f>
        <v>1.4093040000000001</v>
      </c>
      <c r="S1221" s="1">
        <f>(Tabela2[[#This Row],[TUE_tempo_uso_aparelhos_em_horas]]/Tabela2[[#This Row],[FAF_Var]])</f>
        <v>0.94986958101303898</v>
      </c>
      <c r="T1221">
        <f>(Tabela2[[#This Row],[CAEC_lanche_entre_refeicoes]]*Tabela2[[#This Row],[FAVC_consumo_frequente_de_alimentos_mt_caloricos]])</f>
        <v>1</v>
      </c>
      <c r="U1221" s="1">
        <f>IF(OR(Tabela2[[#This Row],[MTRANS]]="Walking",Tabela2[[#This Row],[MTRANS]]="Bike"),Tabela2[[#This Row],[FAF_atividade_fisica_frequente_em_horas]]+1,M1221)</f>
        <v>1.309304</v>
      </c>
      <c r="V1221">
        <f>(Tabela2[[#This Row],[SMOKE]]+Tabela2[[#This Row],[CALC_bebe_alcool_frequentemente]])</f>
        <v>0</v>
      </c>
      <c r="W1221" s="8">
        <f>(Tabela2[[#This Row],[Weight]]/(Tabela2[[#This Row],[Height]] ^2))</f>
        <v>32.585035332140514</v>
      </c>
    </row>
    <row r="1222" spans="1:23" x14ac:dyDescent="0.25">
      <c r="A1222" t="s">
        <v>15</v>
      </c>
      <c r="B1222" s="7">
        <v>21.196152000000001</v>
      </c>
      <c r="C1222" s="4">
        <v>1.65</v>
      </c>
      <c r="D1222" s="7">
        <v>88.472358999999997</v>
      </c>
      <c r="E1222">
        <v>1</v>
      </c>
      <c r="F1222">
        <v>1</v>
      </c>
      <c r="G1222" s="2">
        <v>2.4277000000000002</v>
      </c>
      <c r="H1222" s="2">
        <v>1.001633</v>
      </c>
      <c r="I1222">
        <v>1</v>
      </c>
      <c r="J1222">
        <v>0</v>
      </c>
      <c r="K1222" s="2">
        <v>3</v>
      </c>
      <c r="L1222">
        <v>0</v>
      </c>
      <c r="M1222" s="7">
        <v>1.172641</v>
      </c>
      <c r="N1222" s="7">
        <v>1</v>
      </c>
      <c r="O1222">
        <v>0</v>
      </c>
      <c r="P1222" t="s">
        <v>14</v>
      </c>
      <c r="Q1222">
        <v>4</v>
      </c>
      <c r="R1222" s="8">
        <f>(Tabela2[[#This Row],[FAF_atividade_fisica_frequente_em_horas]]+ 0.1)</f>
        <v>1.2726410000000001</v>
      </c>
      <c r="S1222" s="1">
        <f>(Tabela2[[#This Row],[TUE_tempo_uso_aparelhos_em_horas]]/Tabela2[[#This Row],[FAF_Var]])</f>
        <v>0.78576754952889294</v>
      </c>
      <c r="T1222">
        <f>(Tabela2[[#This Row],[CAEC_lanche_entre_refeicoes]]*Tabela2[[#This Row],[FAVC_consumo_frequente_de_alimentos_mt_caloricos]])</f>
        <v>1</v>
      </c>
      <c r="U1222" s="1">
        <f>IF(OR(Tabela2[[#This Row],[MTRANS]]="Walking",Tabela2[[#This Row],[MTRANS]]="Bike"),Tabela2[[#This Row],[FAF_atividade_fisica_frequente_em_horas]]+1,M1222)</f>
        <v>1.172641</v>
      </c>
      <c r="V1222">
        <f>(Tabela2[[#This Row],[SMOKE]]+Tabela2[[#This Row],[CALC_bebe_alcool_frequentemente]])</f>
        <v>0</v>
      </c>
      <c r="W1222" s="8">
        <f>(Tabela2[[#This Row],[Weight]]/(Tabela2[[#This Row],[Height]] ^2))</f>
        <v>32.496734251606981</v>
      </c>
    </row>
    <row r="1223" spans="1:23" x14ac:dyDescent="0.25">
      <c r="A1223" t="s">
        <v>13</v>
      </c>
      <c r="B1223" s="7">
        <v>22.596575999999999</v>
      </c>
      <c r="C1223" s="4">
        <v>1.6500520000000001</v>
      </c>
      <c r="D1223" s="7">
        <v>87.272552000000005</v>
      </c>
      <c r="E1223">
        <v>1</v>
      </c>
      <c r="F1223">
        <v>1</v>
      </c>
      <c r="G1223" s="2">
        <v>2.8759899999999998</v>
      </c>
      <c r="H1223" s="2">
        <v>1.2919</v>
      </c>
      <c r="I1223">
        <v>1</v>
      </c>
      <c r="J1223">
        <v>0</v>
      </c>
      <c r="K1223" s="2">
        <v>2.7777120000000002</v>
      </c>
      <c r="L1223">
        <v>0</v>
      </c>
      <c r="M1223" s="7">
        <v>0.432813</v>
      </c>
      <c r="N1223" s="7">
        <v>1</v>
      </c>
      <c r="O1223">
        <v>0</v>
      </c>
      <c r="P1223" t="s">
        <v>14</v>
      </c>
      <c r="Q1223">
        <v>4</v>
      </c>
      <c r="R1223" s="8">
        <f>(Tabela2[[#This Row],[FAF_atividade_fisica_frequente_em_horas]]+ 0.1)</f>
        <v>0.53281299999999998</v>
      </c>
      <c r="S1223" s="1">
        <f>(Tabela2[[#This Row],[TUE_tempo_uso_aparelhos_em_horas]]/Tabela2[[#This Row],[FAF_Var]])</f>
        <v>1.8768310833256696</v>
      </c>
      <c r="T1223">
        <f>(Tabela2[[#This Row],[CAEC_lanche_entre_refeicoes]]*Tabela2[[#This Row],[FAVC_consumo_frequente_de_alimentos_mt_caloricos]])</f>
        <v>1</v>
      </c>
      <c r="U1223" s="1">
        <f>IF(OR(Tabela2[[#This Row],[MTRANS]]="Walking",Tabela2[[#This Row],[MTRANS]]="Bike"),Tabela2[[#This Row],[FAF_atividade_fisica_frequente_em_horas]]+1,M1223)</f>
        <v>0.432813</v>
      </c>
      <c r="V1223">
        <f>(Tabela2[[#This Row],[SMOKE]]+Tabela2[[#This Row],[CALC_bebe_alcool_frequentemente]])</f>
        <v>0</v>
      </c>
      <c r="W1223" s="8">
        <f>(Tabela2[[#This Row],[Weight]]/(Tabela2[[#This Row],[Height]] ^2))</f>
        <v>32.054013386456873</v>
      </c>
    </row>
    <row r="1224" spans="1:23" x14ac:dyDescent="0.25">
      <c r="A1224" t="s">
        <v>13</v>
      </c>
      <c r="B1224" s="7">
        <v>23</v>
      </c>
      <c r="C1224" s="4">
        <v>1.644161</v>
      </c>
      <c r="D1224" s="7">
        <v>84.340406000000002</v>
      </c>
      <c r="E1224">
        <v>1</v>
      </c>
      <c r="F1224">
        <v>1</v>
      </c>
      <c r="G1224" s="2">
        <v>2.1772429999999998</v>
      </c>
      <c r="H1224" s="2">
        <v>3</v>
      </c>
      <c r="I1224">
        <v>1</v>
      </c>
      <c r="J1224">
        <v>0</v>
      </c>
      <c r="K1224" s="2">
        <v>2.7155719999999999</v>
      </c>
      <c r="L1224">
        <v>0</v>
      </c>
      <c r="M1224" s="7">
        <v>2.2301090000000001</v>
      </c>
      <c r="N1224" s="7">
        <v>7.0897000000000002E-2</v>
      </c>
      <c r="O1224">
        <v>0</v>
      </c>
      <c r="P1224" t="s">
        <v>14</v>
      </c>
      <c r="Q1224">
        <v>4</v>
      </c>
      <c r="R1224" s="8">
        <f>(Tabela2[[#This Row],[FAF_atividade_fisica_frequente_em_horas]]+ 0.1)</f>
        <v>2.3301090000000002</v>
      </c>
      <c r="S1224" s="1">
        <f>(Tabela2[[#This Row],[TUE_tempo_uso_aparelhos_em_horas]]/Tabela2[[#This Row],[FAF_Var]])</f>
        <v>3.0426473611320327E-2</v>
      </c>
      <c r="T1224">
        <f>(Tabela2[[#This Row],[CAEC_lanche_entre_refeicoes]]*Tabela2[[#This Row],[FAVC_consumo_frequente_de_alimentos_mt_caloricos]])</f>
        <v>1</v>
      </c>
      <c r="U1224" s="1">
        <f>IF(OR(Tabela2[[#This Row],[MTRANS]]="Walking",Tabela2[[#This Row],[MTRANS]]="Bike"),Tabela2[[#This Row],[FAF_atividade_fisica_frequente_em_horas]]+1,M1224)</f>
        <v>2.2301090000000001</v>
      </c>
      <c r="V1224">
        <f>(Tabela2[[#This Row],[SMOKE]]+Tabela2[[#This Row],[CALC_bebe_alcool_frequentemente]])</f>
        <v>0</v>
      </c>
      <c r="W1224" s="8">
        <f>(Tabela2[[#This Row],[Weight]]/(Tabela2[[#This Row],[Height]] ^2))</f>
        <v>31.199454626120502</v>
      </c>
    </row>
    <row r="1225" spans="1:23" x14ac:dyDescent="0.25">
      <c r="A1225" t="s">
        <v>13</v>
      </c>
      <c r="B1225" s="7">
        <v>37.356287999999999</v>
      </c>
      <c r="C1225" s="4">
        <v>1.559499</v>
      </c>
      <c r="D1225" s="7">
        <v>77.268129999999999</v>
      </c>
      <c r="E1225">
        <v>1</v>
      </c>
      <c r="F1225">
        <v>1</v>
      </c>
      <c r="G1225" s="2">
        <v>2</v>
      </c>
      <c r="H1225" s="2">
        <v>3</v>
      </c>
      <c r="I1225">
        <v>1</v>
      </c>
      <c r="J1225">
        <v>0</v>
      </c>
      <c r="K1225" s="2">
        <v>1.630528</v>
      </c>
      <c r="L1225">
        <v>0</v>
      </c>
      <c r="M1225" s="7">
        <v>0</v>
      </c>
      <c r="N1225" s="7">
        <v>0</v>
      </c>
      <c r="O1225">
        <v>1</v>
      </c>
      <c r="P1225" t="s">
        <v>17</v>
      </c>
      <c r="Q1225">
        <v>4</v>
      </c>
      <c r="R1225" s="8">
        <f>(Tabela2[[#This Row],[FAF_atividade_fisica_frequente_em_horas]]+ 0.1)</f>
        <v>0.1</v>
      </c>
      <c r="S1225" s="1">
        <f>(Tabela2[[#This Row],[TUE_tempo_uso_aparelhos_em_horas]]/Tabela2[[#This Row],[FAF_Var]])</f>
        <v>0</v>
      </c>
      <c r="T1225">
        <f>(Tabela2[[#This Row],[CAEC_lanche_entre_refeicoes]]*Tabela2[[#This Row],[FAVC_consumo_frequente_de_alimentos_mt_caloricos]])</f>
        <v>1</v>
      </c>
      <c r="U1225" s="1">
        <f>IF(OR(Tabela2[[#This Row],[MTRANS]]="Walking",Tabela2[[#This Row],[MTRANS]]="Bike"),Tabela2[[#This Row],[FAF_atividade_fisica_frequente_em_horas]]+1,M1225)</f>
        <v>0</v>
      </c>
      <c r="V1225">
        <f>(Tabela2[[#This Row],[SMOKE]]+Tabela2[[#This Row],[CALC_bebe_alcool_frequentemente]])</f>
        <v>1</v>
      </c>
      <c r="W1225" s="8">
        <f>(Tabela2[[#This Row],[Weight]]/(Tabela2[[#This Row],[Height]] ^2))</f>
        <v>31.770949964155061</v>
      </c>
    </row>
    <row r="1226" spans="1:23" x14ac:dyDescent="0.25">
      <c r="A1226" t="s">
        <v>15</v>
      </c>
      <c r="B1226" s="7">
        <v>22.754646000000001</v>
      </c>
      <c r="C1226" s="4">
        <v>1.734237</v>
      </c>
      <c r="D1226" s="7">
        <v>95</v>
      </c>
      <c r="E1226">
        <v>1</v>
      </c>
      <c r="F1226">
        <v>1</v>
      </c>
      <c r="G1226" s="2">
        <v>2</v>
      </c>
      <c r="H1226" s="2">
        <v>3</v>
      </c>
      <c r="I1226">
        <v>1</v>
      </c>
      <c r="J1226">
        <v>0</v>
      </c>
      <c r="K1226" s="2">
        <v>2.2872479999999999</v>
      </c>
      <c r="L1226">
        <v>0</v>
      </c>
      <c r="M1226" s="7">
        <v>2.6691790000000002</v>
      </c>
      <c r="N1226" s="7">
        <v>1.2378670000000001</v>
      </c>
      <c r="O1226">
        <v>0</v>
      </c>
      <c r="P1226" t="s">
        <v>14</v>
      </c>
      <c r="Q1226">
        <v>4</v>
      </c>
      <c r="R1226" s="8">
        <f>(Tabela2[[#This Row],[FAF_atividade_fisica_frequente_em_horas]]+ 0.1)</f>
        <v>2.7691790000000003</v>
      </c>
      <c r="S1226" s="1">
        <f>(Tabela2[[#This Row],[TUE_tempo_uso_aparelhos_em_horas]]/Tabela2[[#This Row],[FAF_Var]])</f>
        <v>0.44701588449139618</v>
      </c>
      <c r="T1226">
        <f>(Tabela2[[#This Row],[CAEC_lanche_entre_refeicoes]]*Tabela2[[#This Row],[FAVC_consumo_frequente_de_alimentos_mt_caloricos]])</f>
        <v>1</v>
      </c>
      <c r="U1226" s="1">
        <f>IF(OR(Tabela2[[#This Row],[MTRANS]]="Walking",Tabela2[[#This Row],[MTRANS]]="Bike"),Tabela2[[#This Row],[FAF_atividade_fisica_frequente_em_horas]]+1,M1226)</f>
        <v>2.6691790000000002</v>
      </c>
      <c r="V1226">
        <f>(Tabela2[[#This Row],[SMOKE]]+Tabela2[[#This Row],[CALC_bebe_alcool_frequentemente]])</f>
        <v>0</v>
      </c>
      <c r="W1226" s="8">
        <f>(Tabela2[[#This Row],[Weight]]/(Tabela2[[#This Row],[Height]] ^2))</f>
        <v>31.586878504595532</v>
      </c>
    </row>
    <row r="1227" spans="1:23" x14ac:dyDescent="0.25">
      <c r="A1227" t="s">
        <v>15</v>
      </c>
      <c r="B1227" s="7">
        <v>23.252905999999999</v>
      </c>
      <c r="C1227" s="4">
        <v>1.7758149999999999</v>
      </c>
      <c r="D1227" s="7">
        <v>97.813023000000001</v>
      </c>
      <c r="E1227">
        <v>1</v>
      </c>
      <c r="F1227">
        <v>1</v>
      </c>
      <c r="G1227" s="2">
        <v>2</v>
      </c>
      <c r="H1227" s="2">
        <v>3</v>
      </c>
      <c r="I1227">
        <v>1</v>
      </c>
      <c r="J1227">
        <v>0</v>
      </c>
      <c r="K1227" s="2">
        <v>3</v>
      </c>
      <c r="L1227">
        <v>0</v>
      </c>
      <c r="M1227" s="7">
        <v>3</v>
      </c>
      <c r="N1227" s="7">
        <v>2</v>
      </c>
      <c r="O1227">
        <v>0</v>
      </c>
      <c r="P1227" t="s">
        <v>14</v>
      </c>
      <c r="Q1227">
        <v>4</v>
      </c>
      <c r="R1227" s="8">
        <f>(Tabela2[[#This Row],[FAF_atividade_fisica_frequente_em_horas]]+ 0.1)</f>
        <v>3.1</v>
      </c>
      <c r="S1227" s="1">
        <f>(Tabela2[[#This Row],[TUE_tempo_uso_aparelhos_em_horas]]/Tabela2[[#This Row],[FAF_Var]])</f>
        <v>0.64516129032258063</v>
      </c>
      <c r="T1227">
        <f>(Tabela2[[#This Row],[CAEC_lanche_entre_refeicoes]]*Tabela2[[#This Row],[FAVC_consumo_frequente_de_alimentos_mt_caloricos]])</f>
        <v>1</v>
      </c>
      <c r="U1227" s="1">
        <f>IF(OR(Tabela2[[#This Row],[MTRANS]]="Walking",Tabela2[[#This Row],[MTRANS]]="Bike"),Tabela2[[#This Row],[FAF_atividade_fisica_frequente_em_horas]]+1,M1227)</f>
        <v>3</v>
      </c>
      <c r="V1227">
        <f>(Tabela2[[#This Row],[SMOKE]]+Tabela2[[#This Row],[CALC_bebe_alcool_frequentemente]])</f>
        <v>0</v>
      </c>
      <c r="W1227" s="8">
        <f>(Tabela2[[#This Row],[Weight]]/(Tabela2[[#This Row],[Height]] ^2))</f>
        <v>31.017103642150904</v>
      </c>
    </row>
    <row r="1228" spans="1:23" x14ac:dyDescent="0.25">
      <c r="A1228" t="s">
        <v>13</v>
      </c>
      <c r="B1228" s="7">
        <v>22.025438000000001</v>
      </c>
      <c r="C1228" s="4">
        <v>1.6404259999999999</v>
      </c>
      <c r="D1228" s="7">
        <v>87.344155999999998</v>
      </c>
      <c r="E1228">
        <v>1</v>
      </c>
      <c r="F1228">
        <v>1</v>
      </c>
      <c r="G1228" s="2">
        <v>3</v>
      </c>
      <c r="H1228" s="2">
        <v>1</v>
      </c>
      <c r="I1228">
        <v>1</v>
      </c>
      <c r="J1228">
        <v>0</v>
      </c>
      <c r="K1228" s="2">
        <v>3</v>
      </c>
      <c r="L1228">
        <v>0</v>
      </c>
      <c r="M1228" s="7">
        <v>1.280924</v>
      </c>
      <c r="N1228" s="7">
        <v>1.7779499999999999</v>
      </c>
      <c r="O1228">
        <v>0</v>
      </c>
      <c r="P1228" t="s">
        <v>14</v>
      </c>
      <c r="Q1228">
        <v>4</v>
      </c>
      <c r="R1228" s="8">
        <f>(Tabela2[[#This Row],[FAF_atividade_fisica_frequente_em_horas]]+ 0.1)</f>
        <v>1.380924</v>
      </c>
      <c r="S1228" s="1">
        <f>(Tabela2[[#This Row],[TUE_tempo_uso_aparelhos_em_horas]]/Tabela2[[#This Row],[FAF_Var]])</f>
        <v>1.287507494981621</v>
      </c>
      <c r="T1228">
        <f>(Tabela2[[#This Row],[CAEC_lanche_entre_refeicoes]]*Tabela2[[#This Row],[FAVC_consumo_frequente_de_alimentos_mt_caloricos]])</f>
        <v>1</v>
      </c>
      <c r="U1228" s="1">
        <f>IF(OR(Tabela2[[#This Row],[MTRANS]]="Walking",Tabela2[[#This Row],[MTRANS]]="Bike"),Tabela2[[#This Row],[FAF_atividade_fisica_frequente_em_horas]]+1,M1228)</f>
        <v>1.280924</v>
      </c>
      <c r="V1228">
        <f>(Tabela2[[#This Row],[SMOKE]]+Tabela2[[#This Row],[CALC_bebe_alcool_frequentemente]])</f>
        <v>0</v>
      </c>
      <c r="W1228" s="8">
        <f>(Tabela2[[#This Row],[Weight]]/(Tabela2[[#This Row],[Height]] ^2))</f>
        <v>32.457910960678547</v>
      </c>
    </row>
    <row r="1229" spans="1:23" x14ac:dyDescent="0.25">
      <c r="A1229" t="s">
        <v>13</v>
      </c>
      <c r="B1229" s="7">
        <v>18.086772</v>
      </c>
      <c r="C1229" s="4">
        <v>1.65</v>
      </c>
      <c r="D1229" s="7">
        <v>82.13682</v>
      </c>
      <c r="E1229">
        <v>1</v>
      </c>
      <c r="F1229">
        <v>1</v>
      </c>
      <c r="G1229" s="2">
        <v>3</v>
      </c>
      <c r="H1229" s="2">
        <v>3</v>
      </c>
      <c r="I1229">
        <v>1</v>
      </c>
      <c r="J1229">
        <v>0</v>
      </c>
      <c r="K1229" s="2">
        <v>1</v>
      </c>
      <c r="L1229">
        <v>0</v>
      </c>
      <c r="M1229" s="7">
        <v>1.0297499999999999</v>
      </c>
      <c r="N1229" s="7">
        <v>1.3500989999999999</v>
      </c>
      <c r="O1229">
        <v>1</v>
      </c>
      <c r="P1229" t="s">
        <v>14</v>
      </c>
      <c r="Q1229">
        <v>4</v>
      </c>
      <c r="R1229" s="8">
        <f>(Tabela2[[#This Row],[FAF_atividade_fisica_frequente_em_horas]]+ 0.1)</f>
        <v>1.12975</v>
      </c>
      <c r="S1229" s="1">
        <f>(Tabela2[[#This Row],[TUE_tempo_uso_aparelhos_em_horas]]/Tabela2[[#This Row],[FAF_Var]])</f>
        <v>1.1950422659880504</v>
      </c>
      <c r="T1229">
        <f>(Tabela2[[#This Row],[CAEC_lanche_entre_refeicoes]]*Tabela2[[#This Row],[FAVC_consumo_frequente_de_alimentos_mt_caloricos]])</f>
        <v>1</v>
      </c>
      <c r="U1229" s="1">
        <f>IF(OR(Tabela2[[#This Row],[MTRANS]]="Walking",Tabela2[[#This Row],[MTRANS]]="Bike"),Tabela2[[#This Row],[FAF_atividade_fisica_frequente_em_horas]]+1,M1229)</f>
        <v>1.0297499999999999</v>
      </c>
      <c r="V1229">
        <f>(Tabela2[[#This Row],[SMOKE]]+Tabela2[[#This Row],[CALC_bebe_alcool_frequentemente]])</f>
        <v>1</v>
      </c>
      <c r="W1229" s="8">
        <f>(Tabela2[[#This Row],[Weight]]/(Tabela2[[#This Row],[Height]] ^2))</f>
        <v>30.169630853994494</v>
      </c>
    </row>
    <row r="1230" spans="1:23" x14ac:dyDescent="0.25">
      <c r="A1230" t="s">
        <v>15</v>
      </c>
      <c r="B1230" s="7">
        <v>25.994392999999999</v>
      </c>
      <c r="C1230" s="4">
        <v>1.7533209999999999</v>
      </c>
      <c r="D1230" s="7">
        <v>107.99881499999999</v>
      </c>
      <c r="E1230">
        <v>1</v>
      </c>
      <c r="F1230">
        <v>1</v>
      </c>
      <c r="G1230" s="2">
        <v>3</v>
      </c>
      <c r="H1230" s="2">
        <v>3</v>
      </c>
      <c r="I1230">
        <v>1</v>
      </c>
      <c r="J1230">
        <v>0</v>
      </c>
      <c r="K1230" s="2">
        <v>1.776991</v>
      </c>
      <c r="L1230">
        <v>0</v>
      </c>
      <c r="M1230" s="7">
        <v>1.7577240000000001</v>
      </c>
      <c r="N1230" s="7">
        <v>0</v>
      </c>
      <c r="O1230">
        <v>1</v>
      </c>
      <c r="P1230" t="s">
        <v>17</v>
      </c>
      <c r="Q1230">
        <v>4</v>
      </c>
      <c r="R1230" s="8">
        <f>(Tabela2[[#This Row],[FAF_atividade_fisica_frequente_em_horas]]+ 0.1)</f>
        <v>1.8577240000000002</v>
      </c>
      <c r="S1230" s="1">
        <f>(Tabela2[[#This Row],[TUE_tempo_uso_aparelhos_em_horas]]/Tabela2[[#This Row],[FAF_Var]])</f>
        <v>0</v>
      </c>
      <c r="T1230">
        <f>(Tabela2[[#This Row],[CAEC_lanche_entre_refeicoes]]*Tabela2[[#This Row],[FAVC_consumo_frequente_de_alimentos_mt_caloricos]])</f>
        <v>1</v>
      </c>
      <c r="U1230" s="1">
        <f>IF(OR(Tabela2[[#This Row],[MTRANS]]="Walking",Tabela2[[#This Row],[MTRANS]]="Bike"),Tabela2[[#This Row],[FAF_atividade_fisica_frequente_em_horas]]+1,M1230)</f>
        <v>1.7577240000000001</v>
      </c>
      <c r="V1230">
        <f>(Tabela2[[#This Row],[SMOKE]]+Tabela2[[#This Row],[CALC_bebe_alcool_frequentemente]])</f>
        <v>1</v>
      </c>
      <c r="W1230" s="8">
        <f>(Tabela2[[#This Row],[Weight]]/(Tabela2[[#This Row],[Height]] ^2))</f>
        <v>35.13145374080004</v>
      </c>
    </row>
    <row r="1231" spans="1:23" x14ac:dyDescent="0.25">
      <c r="A1231" t="s">
        <v>13</v>
      </c>
      <c r="B1231" s="7">
        <v>40.821514999999998</v>
      </c>
      <c r="C1231" s="4">
        <v>1.553026</v>
      </c>
      <c r="D1231" s="7">
        <v>77.745180000000005</v>
      </c>
      <c r="E1231">
        <v>1</v>
      </c>
      <c r="F1231">
        <v>1</v>
      </c>
      <c r="G1231" s="2">
        <v>2</v>
      </c>
      <c r="H1231" s="2">
        <v>3</v>
      </c>
      <c r="I1231">
        <v>1</v>
      </c>
      <c r="J1231">
        <v>0</v>
      </c>
      <c r="K1231" s="2">
        <v>1.406115</v>
      </c>
      <c r="L1231">
        <v>0</v>
      </c>
      <c r="M1231" s="7">
        <v>0</v>
      </c>
      <c r="N1231" s="7">
        <v>0</v>
      </c>
      <c r="O1231">
        <v>1</v>
      </c>
      <c r="P1231" t="s">
        <v>17</v>
      </c>
      <c r="Q1231">
        <v>4</v>
      </c>
      <c r="R1231" s="8">
        <f>(Tabela2[[#This Row],[FAF_atividade_fisica_frequente_em_horas]]+ 0.1)</f>
        <v>0.1</v>
      </c>
      <c r="S1231" s="1">
        <f>(Tabela2[[#This Row],[TUE_tempo_uso_aparelhos_em_horas]]/Tabela2[[#This Row],[FAF_Var]])</f>
        <v>0</v>
      </c>
      <c r="T1231">
        <f>(Tabela2[[#This Row],[CAEC_lanche_entre_refeicoes]]*Tabela2[[#This Row],[FAVC_consumo_frequente_de_alimentos_mt_caloricos]])</f>
        <v>1</v>
      </c>
      <c r="U1231" s="1">
        <f>IF(OR(Tabela2[[#This Row],[MTRANS]]="Walking",Tabela2[[#This Row],[MTRANS]]="Bike"),Tabela2[[#This Row],[FAF_atividade_fisica_frequente_em_horas]]+1,M1231)</f>
        <v>0</v>
      </c>
      <c r="V1231">
        <f>(Tabela2[[#This Row],[SMOKE]]+Tabela2[[#This Row],[CALC_bebe_alcool_frequentemente]])</f>
        <v>1</v>
      </c>
      <c r="W1231" s="8">
        <f>(Tabela2[[#This Row],[Weight]]/(Tabela2[[#This Row],[Height]] ^2))</f>
        <v>32.234134990956747</v>
      </c>
    </row>
    <row r="1232" spans="1:23" x14ac:dyDescent="0.25">
      <c r="A1232" t="s">
        <v>15</v>
      </c>
      <c r="B1232" s="7">
        <v>23</v>
      </c>
      <c r="C1232" s="4">
        <v>1.7065250000000001</v>
      </c>
      <c r="D1232" s="7">
        <v>90.500055000000003</v>
      </c>
      <c r="E1232">
        <v>1</v>
      </c>
      <c r="F1232">
        <v>1</v>
      </c>
      <c r="G1232" s="2">
        <v>2</v>
      </c>
      <c r="H1232" s="2">
        <v>3</v>
      </c>
      <c r="I1232">
        <v>1</v>
      </c>
      <c r="J1232">
        <v>0</v>
      </c>
      <c r="K1232" s="2">
        <v>1.5304930000000001</v>
      </c>
      <c r="L1232">
        <v>0</v>
      </c>
      <c r="M1232" s="7">
        <v>0.96762700000000001</v>
      </c>
      <c r="N1232" s="7">
        <v>1</v>
      </c>
      <c r="O1232">
        <v>0</v>
      </c>
      <c r="P1232" t="s">
        <v>14</v>
      </c>
      <c r="Q1232">
        <v>4</v>
      </c>
      <c r="R1232" s="8">
        <f>(Tabela2[[#This Row],[FAF_atividade_fisica_frequente_em_horas]]+ 0.1)</f>
        <v>1.0676270000000001</v>
      </c>
      <c r="S1232" s="1">
        <f>(Tabela2[[#This Row],[TUE_tempo_uso_aparelhos_em_horas]]/Tabela2[[#This Row],[FAF_Var]])</f>
        <v>0.9366567162501509</v>
      </c>
      <c r="T1232">
        <f>(Tabela2[[#This Row],[CAEC_lanche_entre_refeicoes]]*Tabela2[[#This Row],[FAVC_consumo_frequente_de_alimentos_mt_caloricos]])</f>
        <v>1</v>
      </c>
      <c r="U1232" s="1">
        <f>IF(OR(Tabela2[[#This Row],[MTRANS]]="Walking",Tabela2[[#This Row],[MTRANS]]="Bike"),Tabela2[[#This Row],[FAF_atividade_fisica_frequente_em_horas]]+1,M1232)</f>
        <v>0.96762700000000001</v>
      </c>
      <c r="V1232">
        <f>(Tabela2[[#This Row],[SMOKE]]+Tabela2[[#This Row],[CALC_bebe_alcool_frequentemente]])</f>
        <v>0</v>
      </c>
      <c r="W1232" s="8">
        <f>(Tabela2[[#This Row],[Weight]]/(Tabela2[[#This Row],[Height]] ^2))</f>
        <v>31.075886979944404</v>
      </c>
    </row>
    <row r="1233" spans="1:23" x14ac:dyDescent="0.25">
      <c r="A1233" t="s">
        <v>13</v>
      </c>
      <c r="B1233" s="7">
        <v>37.955371</v>
      </c>
      <c r="C1233" s="4">
        <v>1.560648</v>
      </c>
      <c r="D1233" s="7">
        <v>80</v>
      </c>
      <c r="E1233">
        <v>1</v>
      </c>
      <c r="F1233">
        <v>1</v>
      </c>
      <c r="G1233" s="2">
        <v>2.8464520000000002</v>
      </c>
      <c r="H1233" s="2">
        <v>1.1393169999999999</v>
      </c>
      <c r="I1233">
        <v>1</v>
      </c>
      <c r="J1233">
        <v>0</v>
      </c>
      <c r="K1233" s="2">
        <v>1.459511</v>
      </c>
      <c r="L1233">
        <v>0</v>
      </c>
      <c r="M1233" s="7">
        <v>1.71807</v>
      </c>
      <c r="N1233" s="7">
        <v>0</v>
      </c>
      <c r="O1233">
        <v>1</v>
      </c>
      <c r="P1233" t="s">
        <v>17</v>
      </c>
      <c r="Q1233">
        <v>4</v>
      </c>
      <c r="R1233" s="8">
        <f>(Tabela2[[#This Row],[FAF_atividade_fisica_frequente_em_horas]]+ 0.1)</f>
        <v>1.8180700000000001</v>
      </c>
      <c r="S1233" s="1">
        <f>(Tabela2[[#This Row],[TUE_tempo_uso_aparelhos_em_horas]]/Tabela2[[#This Row],[FAF_Var]])</f>
        <v>0</v>
      </c>
      <c r="T1233">
        <f>(Tabela2[[#This Row],[CAEC_lanche_entre_refeicoes]]*Tabela2[[#This Row],[FAVC_consumo_frequente_de_alimentos_mt_caloricos]])</f>
        <v>1</v>
      </c>
      <c r="U1233" s="1">
        <f>IF(OR(Tabela2[[#This Row],[MTRANS]]="Walking",Tabela2[[#This Row],[MTRANS]]="Bike"),Tabela2[[#This Row],[FAF_atividade_fisica_frequente_em_horas]]+1,M1233)</f>
        <v>1.71807</v>
      </c>
      <c r="V1233">
        <f>(Tabela2[[#This Row],[SMOKE]]+Tabela2[[#This Row],[CALC_bebe_alcool_frequentemente]])</f>
        <v>1</v>
      </c>
      <c r="W1233" s="8">
        <f>(Tabela2[[#This Row],[Weight]]/(Tabela2[[#This Row],[Height]] ^2))</f>
        <v>32.845816834839795</v>
      </c>
    </row>
    <row r="1234" spans="1:23" x14ac:dyDescent="0.25">
      <c r="A1234" t="s">
        <v>15</v>
      </c>
      <c r="B1234" s="7">
        <v>31.315593</v>
      </c>
      <c r="C1234" s="4">
        <v>1.673352</v>
      </c>
      <c r="D1234" s="7">
        <v>90</v>
      </c>
      <c r="E1234">
        <v>1</v>
      </c>
      <c r="F1234">
        <v>1</v>
      </c>
      <c r="G1234" s="2">
        <v>2.1901099999999998</v>
      </c>
      <c r="H1234" s="2">
        <v>2.0298579999999999</v>
      </c>
      <c r="I1234">
        <v>1</v>
      </c>
      <c r="J1234">
        <v>0</v>
      </c>
      <c r="K1234" s="2">
        <v>2.3489810000000002</v>
      </c>
      <c r="L1234">
        <v>0</v>
      </c>
      <c r="M1234" s="7">
        <v>1.9469069999999999</v>
      </c>
      <c r="N1234" s="7">
        <v>0</v>
      </c>
      <c r="O1234">
        <v>1</v>
      </c>
      <c r="P1234" t="s">
        <v>17</v>
      </c>
      <c r="Q1234">
        <v>4</v>
      </c>
      <c r="R1234" s="8">
        <f>(Tabela2[[#This Row],[FAF_atividade_fisica_frequente_em_horas]]+ 0.1)</f>
        <v>2.046907</v>
      </c>
      <c r="S1234" s="1">
        <f>(Tabela2[[#This Row],[TUE_tempo_uso_aparelhos_em_horas]]/Tabela2[[#This Row],[FAF_Var]])</f>
        <v>0</v>
      </c>
      <c r="T1234">
        <f>(Tabela2[[#This Row],[CAEC_lanche_entre_refeicoes]]*Tabela2[[#This Row],[FAVC_consumo_frequente_de_alimentos_mt_caloricos]])</f>
        <v>1</v>
      </c>
      <c r="U1234" s="1">
        <f>IF(OR(Tabela2[[#This Row],[MTRANS]]="Walking",Tabela2[[#This Row],[MTRANS]]="Bike"),Tabela2[[#This Row],[FAF_atividade_fisica_frequente_em_horas]]+1,M1234)</f>
        <v>1.9469069999999999</v>
      </c>
      <c r="V1234">
        <f>(Tabela2[[#This Row],[SMOKE]]+Tabela2[[#This Row],[CALC_bebe_alcool_frequentemente]])</f>
        <v>1</v>
      </c>
      <c r="W1234" s="8">
        <f>(Tabela2[[#This Row],[Weight]]/(Tabela2[[#This Row],[Height]] ^2))</f>
        <v>32.141629838782059</v>
      </c>
    </row>
    <row r="1235" spans="1:23" x14ac:dyDescent="0.25">
      <c r="A1235" t="s">
        <v>15</v>
      </c>
      <c r="B1235" s="7">
        <v>22.661556000000001</v>
      </c>
      <c r="C1235" s="4">
        <v>1.6603239999999999</v>
      </c>
      <c r="D1235" s="7">
        <v>94.189166999999998</v>
      </c>
      <c r="E1235">
        <v>1</v>
      </c>
      <c r="F1235">
        <v>1</v>
      </c>
      <c r="G1235" s="2">
        <v>2</v>
      </c>
      <c r="H1235" s="2">
        <v>3</v>
      </c>
      <c r="I1235">
        <v>1</v>
      </c>
      <c r="J1235">
        <v>0</v>
      </c>
      <c r="K1235" s="2">
        <v>2</v>
      </c>
      <c r="L1235">
        <v>0</v>
      </c>
      <c r="M1235" s="7">
        <v>0</v>
      </c>
      <c r="N1235" s="7">
        <v>0.105936</v>
      </c>
      <c r="O1235">
        <v>0</v>
      </c>
      <c r="P1235" t="s">
        <v>14</v>
      </c>
      <c r="Q1235">
        <v>4</v>
      </c>
      <c r="R1235" s="8">
        <f>(Tabela2[[#This Row],[FAF_atividade_fisica_frequente_em_horas]]+ 0.1)</f>
        <v>0.1</v>
      </c>
      <c r="S1235" s="1">
        <f>(Tabela2[[#This Row],[TUE_tempo_uso_aparelhos_em_horas]]/Tabela2[[#This Row],[FAF_Var]])</f>
        <v>1.0593599999999999</v>
      </c>
      <c r="T1235">
        <f>(Tabela2[[#This Row],[CAEC_lanche_entre_refeicoes]]*Tabela2[[#This Row],[FAVC_consumo_frequente_de_alimentos_mt_caloricos]])</f>
        <v>1</v>
      </c>
      <c r="U1235" s="1">
        <f>IF(OR(Tabela2[[#This Row],[MTRANS]]="Walking",Tabela2[[#This Row],[MTRANS]]="Bike"),Tabela2[[#This Row],[FAF_atividade_fisica_frequente_em_horas]]+1,M1235)</f>
        <v>0</v>
      </c>
      <c r="V1235">
        <f>(Tabela2[[#This Row],[SMOKE]]+Tabela2[[#This Row],[CALC_bebe_alcool_frequentemente]])</f>
        <v>0</v>
      </c>
      <c r="W1235" s="8">
        <f>(Tabela2[[#This Row],[Weight]]/(Tabela2[[#This Row],[Height]] ^2))</f>
        <v>34.167662194203238</v>
      </c>
    </row>
    <row r="1236" spans="1:23" x14ac:dyDescent="0.25">
      <c r="A1236" t="s">
        <v>15</v>
      </c>
      <c r="B1236" s="7">
        <v>40.317787000000003</v>
      </c>
      <c r="C1236" s="4">
        <v>1.7863180000000001</v>
      </c>
      <c r="D1236" s="7">
        <v>98.447310999999999</v>
      </c>
      <c r="E1236">
        <v>1</v>
      </c>
      <c r="F1236">
        <v>1</v>
      </c>
      <c r="G1236" s="2">
        <v>2</v>
      </c>
      <c r="H1236" s="2">
        <v>3</v>
      </c>
      <c r="I1236">
        <v>1</v>
      </c>
      <c r="J1236">
        <v>0</v>
      </c>
      <c r="K1236" s="2">
        <v>2.6802920000000001</v>
      </c>
      <c r="L1236">
        <v>0</v>
      </c>
      <c r="M1236" s="7">
        <v>1.549693</v>
      </c>
      <c r="N1236" s="7">
        <v>0.52225900000000003</v>
      </c>
      <c r="O1236">
        <v>1</v>
      </c>
      <c r="P1236" t="s">
        <v>17</v>
      </c>
      <c r="Q1236">
        <v>4</v>
      </c>
      <c r="R1236" s="8">
        <f>(Tabela2[[#This Row],[FAF_atividade_fisica_frequente_em_horas]]+ 0.1)</f>
        <v>1.6496930000000001</v>
      </c>
      <c r="S1236" s="1">
        <f>(Tabela2[[#This Row],[TUE_tempo_uso_aparelhos_em_horas]]/Tabela2[[#This Row],[FAF_Var]])</f>
        <v>0.31657950903592363</v>
      </c>
      <c r="T1236">
        <f>(Tabela2[[#This Row],[CAEC_lanche_entre_refeicoes]]*Tabela2[[#This Row],[FAVC_consumo_frequente_de_alimentos_mt_caloricos]])</f>
        <v>1</v>
      </c>
      <c r="U1236" s="1">
        <f>IF(OR(Tabela2[[#This Row],[MTRANS]]="Walking",Tabela2[[#This Row],[MTRANS]]="Bike"),Tabela2[[#This Row],[FAF_atividade_fisica_frequente_em_horas]]+1,M1236)</f>
        <v>1.549693</v>
      </c>
      <c r="V1236">
        <f>(Tabela2[[#This Row],[SMOKE]]+Tabela2[[#This Row],[CALC_bebe_alcool_frequentemente]])</f>
        <v>1</v>
      </c>
      <c r="W1236" s="8">
        <f>(Tabela2[[#This Row],[Weight]]/(Tabela2[[#This Row],[Height]] ^2))</f>
        <v>30.852212171469326</v>
      </c>
    </row>
    <row r="1237" spans="1:23" x14ac:dyDescent="0.25">
      <c r="A1237" t="s">
        <v>15</v>
      </c>
      <c r="B1237" s="7">
        <v>23.365649000000001</v>
      </c>
      <c r="C1237" s="4">
        <v>1.7576909999999999</v>
      </c>
      <c r="D1237" s="7">
        <v>95.361795000000001</v>
      </c>
      <c r="E1237">
        <v>1</v>
      </c>
      <c r="F1237">
        <v>1</v>
      </c>
      <c r="G1237" s="2">
        <v>2</v>
      </c>
      <c r="H1237" s="2">
        <v>3</v>
      </c>
      <c r="I1237">
        <v>1</v>
      </c>
      <c r="J1237">
        <v>0</v>
      </c>
      <c r="K1237" s="2">
        <v>3</v>
      </c>
      <c r="L1237">
        <v>0</v>
      </c>
      <c r="M1237" s="7">
        <v>3</v>
      </c>
      <c r="N1237" s="7">
        <v>2</v>
      </c>
      <c r="O1237">
        <v>0</v>
      </c>
      <c r="P1237" t="s">
        <v>14</v>
      </c>
      <c r="Q1237">
        <v>4</v>
      </c>
      <c r="R1237" s="8">
        <f>(Tabela2[[#This Row],[FAF_atividade_fisica_frequente_em_horas]]+ 0.1)</f>
        <v>3.1</v>
      </c>
      <c r="S1237" s="1">
        <f>(Tabela2[[#This Row],[TUE_tempo_uso_aparelhos_em_horas]]/Tabela2[[#This Row],[FAF_Var]])</f>
        <v>0.64516129032258063</v>
      </c>
      <c r="T1237">
        <f>(Tabela2[[#This Row],[CAEC_lanche_entre_refeicoes]]*Tabela2[[#This Row],[FAVC_consumo_frequente_de_alimentos_mt_caloricos]])</f>
        <v>1</v>
      </c>
      <c r="U1237" s="1">
        <f>IF(OR(Tabela2[[#This Row],[MTRANS]]="Walking",Tabela2[[#This Row],[MTRANS]]="Bike"),Tabela2[[#This Row],[FAF_atividade_fisica_frequente_em_horas]]+1,M1237)</f>
        <v>3</v>
      </c>
      <c r="V1237">
        <f>(Tabela2[[#This Row],[SMOKE]]+Tabela2[[#This Row],[CALC_bebe_alcool_frequentemente]])</f>
        <v>0</v>
      </c>
      <c r="W1237" s="8">
        <f>(Tabela2[[#This Row],[Weight]]/(Tabela2[[#This Row],[Height]] ^2))</f>
        <v>30.86664017598137</v>
      </c>
    </row>
    <row r="1238" spans="1:23" x14ac:dyDescent="0.25">
      <c r="A1238" t="s">
        <v>15</v>
      </c>
      <c r="B1238" s="7">
        <v>21.721270000000001</v>
      </c>
      <c r="C1238" s="4">
        <v>1.7121630000000001</v>
      </c>
      <c r="D1238" s="7">
        <v>98.699971000000005</v>
      </c>
      <c r="E1238">
        <v>1</v>
      </c>
      <c r="F1238">
        <v>1</v>
      </c>
      <c r="G1238" s="2">
        <v>2</v>
      </c>
      <c r="H1238" s="2">
        <v>2.9775429999999998</v>
      </c>
      <c r="I1238">
        <v>1</v>
      </c>
      <c r="J1238">
        <v>0</v>
      </c>
      <c r="K1238" s="2">
        <v>2.2059769999999999</v>
      </c>
      <c r="L1238">
        <v>0</v>
      </c>
      <c r="M1238" s="7">
        <v>2.698874</v>
      </c>
      <c r="N1238" s="7">
        <v>2</v>
      </c>
      <c r="O1238">
        <v>0</v>
      </c>
      <c r="P1238" t="s">
        <v>14</v>
      </c>
      <c r="Q1238">
        <v>4</v>
      </c>
      <c r="R1238" s="8">
        <f>(Tabela2[[#This Row],[FAF_atividade_fisica_frequente_em_horas]]+ 0.1)</f>
        <v>2.7988740000000001</v>
      </c>
      <c r="S1238" s="1">
        <f>(Tabela2[[#This Row],[TUE_tempo_uso_aparelhos_em_horas]]/Tabela2[[#This Row],[FAF_Var]])</f>
        <v>0.71457307474362908</v>
      </c>
      <c r="T1238">
        <f>(Tabela2[[#This Row],[CAEC_lanche_entre_refeicoes]]*Tabela2[[#This Row],[FAVC_consumo_frequente_de_alimentos_mt_caloricos]])</f>
        <v>1</v>
      </c>
      <c r="U1238" s="1">
        <f>IF(OR(Tabela2[[#This Row],[MTRANS]]="Walking",Tabela2[[#This Row],[MTRANS]]="Bike"),Tabela2[[#This Row],[FAF_atividade_fisica_frequente_em_horas]]+1,M1238)</f>
        <v>2.698874</v>
      </c>
      <c r="V1238">
        <f>(Tabela2[[#This Row],[SMOKE]]+Tabela2[[#This Row],[CALC_bebe_alcool_frequentemente]])</f>
        <v>0</v>
      </c>
      <c r="W1238" s="8">
        <f>(Tabela2[[#This Row],[Weight]]/(Tabela2[[#This Row],[Height]] ^2))</f>
        <v>33.668735799790326</v>
      </c>
    </row>
    <row r="1239" spans="1:23" x14ac:dyDescent="0.25">
      <c r="A1239" t="s">
        <v>15</v>
      </c>
      <c r="B1239" s="7">
        <v>35.389491</v>
      </c>
      <c r="C1239" s="4">
        <v>1.78</v>
      </c>
      <c r="D1239" s="7">
        <v>100.84763</v>
      </c>
      <c r="E1239">
        <v>1</v>
      </c>
      <c r="F1239">
        <v>1</v>
      </c>
      <c r="G1239" s="2">
        <v>2.069267</v>
      </c>
      <c r="H1239" s="2">
        <v>1.4762040000000001</v>
      </c>
      <c r="I1239">
        <v>1</v>
      </c>
      <c r="J1239">
        <v>0</v>
      </c>
      <c r="K1239" s="2">
        <v>3</v>
      </c>
      <c r="L1239">
        <v>0</v>
      </c>
      <c r="M1239" s="7">
        <v>2.0525199999999999</v>
      </c>
      <c r="N1239" s="7">
        <v>9.2735999999999999E-2</v>
      </c>
      <c r="O1239">
        <v>2</v>
      </c>
      <c r="P1239" t="s">
        <v>17</v>
      </c>
      <c r="Q1239">
        <v>4</v>
      </c>
      <c r="R1239" s="8">
        <f>(Tabela2[[#This Row],[FAF_atividade_fisica_frequente_em_horas]]+ 0.1)</f>
        <v>2.15252</v>
      </c>
      <c r="S1239" s="1">
        <f>(Tabela2[[#This Row],[TUE_tempo_uso_aparelhos_em_horas]]/Tabela2[[#This Row],[FAF_Var]])</f>
        <v>4.3082526527047367E-2</v>
      </c>
      <c r="T1239">
        <f>(Tabela2[[#This Row],[CAEC_lanche_entre_refeicoes]]*Tabela2[[#This Row],[FAVC_consumo_frequente_de_alimentos_mt_caloricos]])</f>
        <v>1</v>
      </c>
      <c r="U1239" s="1">
        <f>IF(OR(Tabela2[[#This Row],[MTRANS]]="Walking",Tabela2[[#This Row],[MTRANS]]="Bike"),Tabela2[[#This Row],[FAF_atividade_fisica_frequente_em_horas]]+1,M1239)</f>
        <v>2.0525199999999999</v>
      </c>
      <c r="V1239">
        <f>(Tabela2[[#This Row],[SMOKE]]+Tabela2[[#This Row],[CALC_bebe_alcool_frequentemente]])</f>
        <v>2</v>
      </c>
      <c r="W1239" s="8">
        <f>(Tabela2[[#This Row],[Weight]]/(Tabela2[[#This Row],[Height]] ^2))</f>
        <v>31.82919770231031</v>
      </c>
    </row>
    <row r="1240" spans="1:23" x14ac:dyDescent="0.25">
      <c r="A1240" t="s">
        <v>13</v>
      </c>
      <c r="B1240" s="7">
        <v>22.061461000000001</v>
      </c>
      <c r="C1240" s="4">
        <v>1.6</v>
      </c>
      <c r="D1240" s="7">
        <v>82.040317999999999</v>
      </c>
      <c r="E1240">
        <v>1</v>
      </c>
      <c r="F1240">
        <v>1</v>
      </c>
      <c r="G1240" s="2">
        <v>1.362441</v>
      </c>
      <c r="H1240" s="2">
        <v>2.5703800000000001</v>
      </c>
      <c r="I1240">
        <v>1</v>
      </c>
      <c r="J1240">
        <v>0</v>
      </c>
      <c r="K1240" s="2">
        <v>2.1662279999999998</v>
      </c>
      <c r="L1240">
        <v>0</v>
      </c>
      <c r="M1240" s="7">
        <v>2.2328510000000001</v>
      </c>
      <c r="N1240" s="7">
        <v>1.2811410000000001</v>
      </c>
      <c r="O1240">
        <v>0</v>
      </c>
      <c r="P1240" t="s">
        <v>14</v>
      </c>
      <c r="Q1240">
        <v>4</v>
      </c>
      <c r="R1240" s="8">
        <f>(Tabela2[[#This Row],[FAF_atividade_fisica_frequente_em_horas]]+ 0.1)</f>
        <v>2.3328510000000002</v>
      </c>
      <c r="S1240" s="1">
        <f>(Tabela2[[#This Row],[TUE_tempo_uso_aparelhos_em_horas]]/Tabela2[[#This Row],[FAF_Var]])</f>
        <v>0.54917395067237473</v>
      </c>
      <c r="T1240">
        <f>(Tabela2[[#This Row],[CAEC_lanche_entre_refeicoes]]*Tabela2[[#This Row],[FAVC_consumo_frequente_de_alimentos_mt_caloricos]])</f>
        <v>1</v>
      </c>
      <c r="U1240" s="1">
        <f>IF(OR(Tabela2[[#This Row],[MTRANS]]="Walking",Tabela2[[#This Row],[MTRANS]]="Bike"),Tabela2[[#This Row],[FAF_atividade_fisica_frequente_em_horas]]+1,M1240)</f>
        <v>2.2328510000000001</v>
      </c>
      <c r="V1240">
        <f>(Tabela2[[#This Row],[SMOKE]]+Tabela2[[#This Row],[CALC_bebe_alcool_frequentemente]])</f>
        <v>0</v>
      </c>
      <c r="W1240" s="8">
        <f>(Tabela2[[#This Row],[Weight]]/(Tabela2[[#This Row],[Height]] ^2))</f>
        <v>32.046999218749995</v>
      </c>
    </row>
    <row r="1241" spans="1:23" x14ac:dyDescent="0.25">
      <c r="A1241" t="s">
        <v>13</v>
      </c>
      <c r="B1241" s="7">
        <v>23</v>
      </c>
      <c r="C1241" s="4">
        <v>1.6108199999999999</v>
      </c>
      <c r="D1241" s="7">
        <v>82.532994000000002</v>
      </c>
      <c r="E1241">
        <v>1</v>
      </c>
      <c r="F1241">
        <v>1</v>
      </c>
      <c r="G1241" s="2">
        <v>2.0966300000000002</v>
      </c>
      <c r="H1241" s="2">
        <v>2.8795410000000001</v>
      </c>
      <c r="I1241">
        <v>1</v>
      </c>
      <c r="J1241">
        <v>0</v>
      </c>
      <c r="K1241" s="2">
        <v>2.4329670000000001</v>
      </c>
      <c r="L1241">
        <v>0</v>
      </c>
      <c r="M1241" s="7">
        <v>1.8870119999999999</v>
      </c>
      <c r="N1241" s="7">
        <v>0</v>
      </c>
      <c r="O1241">
        <v>0</v>
      </c>
      <c r="P1241" t="s">
        <v>14</v>
      </c>
      <c r="Q1241">
        <v>4</v>
      </c>
      <c r="R1241" s="8">
        <f>(Tabela2[[#This Row],[FAF_atividade_fisica_frequente_em_horas]]+ 0.1)</f>
        <v>1.987012</v>
      </c>
      <c r="S1241" s="1">
        <f>(Tabela2[[#This Row],[TUE_tempo_uso_aparelhos_em_horas]]/Tabela2[[#This Row],[FAF_Var]])</f>
        <v>0</v>
      </c>
      <c r="T1241">
        <f>(Tabela2[[#This Row],[CAEC_lanche_entre_refeicoes]]*Tabela2[[#This Row],[FAVC_consumo_frequente_de_alimentos_mt_caloricos]])</f>
        <v>1</v>
      </c>
      <c r="U1241" s="1">
        <f>IF(OR(Tabela2[[#This Row],[MTRANS]]="Walking",Tabela2[[#This Row],[MTRANS]]="Bike"),Tabela2[[#This Row],[FAF_atividade_fisica_frequente_em_horas]]+1,M1241)</f>
        <v>1.8870119999999999</v>
      </c>
      <c r="V1241">
        <f>(Tabela2[[#This Row],[SMOKE]]+Tabela2[[#This Row],[CALC_bebe_alcool_frequentemente]])</f>
        <v>0</v>
      </c>
      <c r="W1241" s="8">
        <f>(Tabela2[[#This Row],[Weight]]/(Tabela2[[#This Row],[Height]] ^2))</f>
        <v>31.807795728789731</v>
      </c>
    </row>
    <row r="1242" spans="1:23" x14ac:dyDescent="0.25">
      <c r="A1242" t="s">
        <v>13</v>
      </c>
      <c r="B1242" s="7">
        <v>23</v>
      </c>
      <c r="C1242" s="4">
        <v>1.6651990000000001</v>
      </c>
      <c r="D1242" s="7">
        <v>83.151150000000001</v>
      </c>
      <c r="E1242">
        <v>1</v>
      </c>
      <c r="F1242">
        <v>1</v>
      </c>
      <c r="G1242" s="2">
        <v>2.9282339999999998</v>
      </c>
      <c r="H1242" s="2">
        <v>1.458507</v>
      </c>
      <c r="I1242">
        <v>1</v>
      </c>
      <c r="J1242">
        <v>0</v>
      </c>
      <c r="K1242" s="2">
        <v>2.7773789999999998</v>
      </c>
      <c r="L1242">
        <v>0</v>
      </c>
      <c r="M1242" s="7">
        <v>0.354541</v>
      </c>
      <c r="N1242" s="7">
        <v>1.7070179999999999</v>
      </c>
      <c r="O1242">
        <v>0</v>
      </c>
      <c r="P1242" t="s">
        <v>14</v>
      </c>
      <c r="Q1242">
        <v>4</v>
      </c>
      <c r="R1242" s="8">
        <f>(Tabela2[[#This Row],[FAF_atividade_fisica_frequente_em_horas]]+ 0.1)</f>
        <v>0.45454099999999997</v>
      </c>
      <c r="S1242" s="1">
        <f>(Tabela2[[#This Row],[TUE_tempo_uso_aparelhos_em_horas]]/Tabela2[[#This Row],[FAF_Var]])</f>
        <v>3.755476403668756</v>
      </c>
      <c r="T1242">
        <f>(Tabela2[[#This Row],[CAEC_lanche_entre_refeicoes]]*Tabela2[[#This Row],[FAVC_consumo_frequente_de_alimentos_mt_caloricos]])</f>
        <v>1</v>
      </c>
      <c r="U1242" s="1">
        <f>IF(OR(Tabela2[[#This Row],[MTRANS]]="Walking",Tabela2[[#This Row],[MTRANS]]="Bike"),Tabela2[[#This Row],[FAF_atividade_fisica_frequente_em_horas]]+1,M1242)</f>
        <v>0.354541</v>
      </c>
      <c r="V1242">
        <f>(Tabela2[[#This Row],[SMOKE]]+Tabela2[[#This Row],[CALC_bebe_alcool_frequentemente]])</f>
        <v>0</v>
      </c>
      <c r="W1242" s="8">
        <f>(Tabela2[[#This Row],[Weight]]/(Tabela2[[#This Row],[Height]] ^2))</f>
        <v>29.987204210286929</v>
      </c>
    </row>
    <row r="1243" spans="1:23" x14ac:dyDescent="0.25">
      <c r="A1243" t="s">
        <v>13</v>
      </c>
      <c r="B1243" s="7">
        <v>40.951591000000001</v>
      </c>
      <c r="C1243" s="4">
        <v>1.542122</v>
      </c>
      <c r="D1243" s="7">
        <v>80</v>
      </c>
      <c r="E1243">
        <v>1</v>
      </c>
      <c r="F1243">
        <v>1</v>
      </c>
      <c r="G1243" s="2">
        <v>2</v>
      </c>
      <c r="H1243" s="2">
        <v>1.1056170000000001</v>
      </c>
      <c r="I1243">
        <v>1</v>
      </c>
      <c r="J1243">
        <v>0</v>
      </c>
      <c r="K1243" s="2">
        <v>1.372811</v>
      </c>
      <c r="L1243">
        <v>0</v>
      </c>
      <c r="M1243" s="7">
        <v>1.629432</v>
      </c>
      <c r="N1243" s="7">
        <v>0</v>
      </c>
      <c r="O1243">
        <v>1</v>
      </c>
      <c r="P1243" t="s">
        <v>17</v>
      </c>
      <c r="Q1243">
        <v>4</v>
      </c>
      <c r="R1243" s="8">
        <f>(Tabela2[[#This Row],[FAF_atividade_fisica_frequente_em_horas]]+ 0.1)</f>
        <v>1.7294320000000001</v>
      </c>
      <c r="S1243" s="1">
        <f>(Tabela2[[#This Row],[TUE_tempo_uso_aparelhos_em_horas]]/Tabela2[[#This Row],[FAF_Var]])</f>
        <v>0</v>
      </c>
      <c r="T1243">
        <f>(Tabela2[[#This Row],[CAEC_lanche_entre_refeicoes]]*Tabela2[[#This Row],[FAVC_consumo_frequente_de_alimentos_mt_caloricos]])</f>
        <v>1</v>
      </c>
      <c r="U1243" s="1">
        <f>IF(OR(Tabela2[[#This Row],[MTRANS]]="Walking",Tabela2[[#This Row],[MTRANS]]="Bike"),Tabela2[[#This Row],[FAF_atividade_fisica_frequente_em_horas]]+1,M1243)</f>
        <v>1.629432</v>
      </c>
      <c r="V1243">
        <f>(Tabela2[[#This Row],[SMOKE]]+Tabela2[[#This Row],[CALC_bebe_alcool_frequentemente]])</f>
        <v>1</v>
      </c>
      <c r="W1243" s="8">
        <f>(Tabela2[[#This Row],[Weight]]/(Tabela2[[#This Row],[Height]] ^2))</f>
        <v>33.639731536685318</v>
      </c>
    </row>
    <row r="1244" spans="1:23" x14ac:dyDescent="0.25">
      <c r="A1244" t="s">
        <v>13</v>
      </c>
      <c r="B1244" s="7">
        <v>39.135634000000003</v>
      </c>
      <c r="C1244" s="4">
        <v>1.5078670000000001</v>
      </c>
      <c r="D1244" s="7">
        <v>79.589579999999998</v>
      </c>
      <c r="E1244">
        <v>1</v>
      </c>
      <c r="F1244">
        <v>1</v>
      </c>
      <c r="G1244" s="2">
        <v>2</v>
      </c>
      <c r="H1244" s="2">
        <v>3</v>
      </c>
      <c r="I1244">
        <v>1</v>
      </c>
      <c r="J1244">
        <v>0</v>
      </c>
      <c r="K1244" s="2">
        <v>1</v>
      </c>
      <c r="L1244">
        <v>0</v>
      </c>
      <c r="M1244" s="7">
        <v>0</v>
      </c>
      <c r="N1244" s="7">
        <v>0</v>
      </c>
      <c r="O1244">
        <v>1</v>
      </c>
      <c r="P1244" t="s">
        <v>17</v>
      </c>
      <c r="Q1244">
        <v>4</v>
      </c>
      <c r="R1244" s="8">
        <f>(Tabela2[[#This Row],[FAF_atividade_fisica_frequente_em_horas]]+ 0.1)</f>
        <v>0.1</v>
      </c>
      <c r="S1244" s="1">
        <f>(Tabela2[[#This Row],[TUE_tempo_uso_aparelhos_em_horas]]/Tabela2[[#This Row],[FAF_Var]])</f>
        <v>0</v>
      </c>
      <c r="T1244">
        <f>(Tabela2[[#This Row],[CAEC_lanche_entre_refeicoes]]*Tabela2[[#This Row],[FAVC_consumo_frequente_de_alimentos_mt_caloricos]])</f>
        <v>1</v>
      </c>
      <c r="U1244" s="1">
        <f>IF(OR(Tabela2[[#This Row],[MTRANS]]="Walking",Tabela2[[#This Row],[MTRANS]]="Bike"),Tabela2[[#This Row],[FAF_atividade_fisica_frequente_em_horas]]+1,M1244)</f>
        <v>0</v>
      </c>
      <c r="V1244">
        <f>(Tabela2[[#This Row],[SMOKE]]+Tabela2[[#This Row],[CALC_bebe_alcool_frequentemente]])</f>
        <v>1</v>
      </c>
      <c r="W1244" s="8">
        <f>(Tabela2[[#This Row],[Weight]]/(Tabela2[[#This Row],[Height]] ^2))</f>
        <v>35.005004638522536</v>
      </c>
    </row>
    <row r="1245" spans="1:23" x14ac:dyDescent="0.25">
      <c r="A1245" t="s">
        <v>15</v>
      </c>
      <c r="B1245" s="7">
        <v>26.271621</v>
      </c>
      <c r="C1245" s="4">
        <v>1.660955</v>
      </c>
      <c r="D1245" s="7">
        <v>90</v>
      </c>
      <c r="E1245">
        <v>1</v>
      </c>
      <c r="F1245">
        <v>1</v>
      </c>
      <c r="G1245" s="2">
        <v>2</v>
      </c>
      <c r="H1245" s="2">
        <v>3</v>
      </c>
      <c r="I1245">
        <v>1</v>
      </c>
      <c r="J1245">
        <v>0</v>
      </c>
      <c r="K1245" s="2">
        <v>3</v>
      </c>
      <c r="L1245">
        <v>0</v>
      </c>
      <c r="M1245" s="7">
        <v>0.66927800000000004</v>
      </c>
      <c r="N1245" s="7">
        <v>0.50526599999999999</v>
      </c>
      <c r="O1245">
        <v>1</v>
      </c>
      <c r="P1245" t="s">
        <v>17</v>
      </c>
      <c r="Q1245">
        <v>4</v>
      </c>
      <c r="R1245" s="8">
        <f>(Tabela2[[#This Row],[FAF_atividade_fisica_frequente_em_horas]]+ 0.1)</f>
        <v>0.76927800000000002</v>
      </c>
      <c r="S1245" s="1">
        <f>(Tabela2[[#This Row],[TUE_tempo_uso_aparelhos_em_horas]]/Tabela2[[#This Row],[FAF_Var]])</f>
        <v>0.6568054721440103</v>
      </c>
      <c r="T1245">
        <f>(Tabela2[[#This Row],[CAEC_lanche_entre_refeicoes]]*Tabela2[[#This Row],[FAVC_consumo_frequente_de_alimentos_mt_caloricos]])</f>
        <v>1</v>
      </c>
      <c r="U1245" s="1">
        <f>IF(OR(Tabela2[[#This Row],[MTRANS]]="Walking",Tabela2[[#This Row],[MTRANS]]="Bike"),Tabela2[[#This Row],[FAF_atividade_fisica_frequente_em_horas]]+1,M1245)</f>
        <v>0.66927800000000004</v>
      </c>
      <c r="V1245">
        <f>(Tabela2[[#This Row],[SMOKE]]+Tabela2[[#This Row],[CALC_bebe_alcool_frequentemente]])</f>
        <v>1</v>
      </c>
      <c r="W1245" s="8">
        <f>(Tabela2[[#This Row],[Weight]]/(Tabela2[[#This Row],[Height]] ^2))</f>
        <v>32.623216387332484</v>
      </c>
    </row>
    <row r="1246" spans="1:23" x14ac:dyDescent="0.25">
      <c r="A1246" t="s">
        <v>13</v>
      </c>
      <c r="B1246" s="7">
        <v>23.779235</v>
      </c>
      <c r="C1246" s="4">
        <v>1.5531269999999999</v>
      </c>
      <c r="D1246" s="7">
        <v>78</v>
      </c>
      <c r="E1246">
        <v>1</v>
      </c>
      <c r="F1246">
        <v>1</v>
      </c>
      <c r="G1246" s="2">
        <v>2</v>
      </c>
      <c r="H1246" s="2">
        <v>1</v>
      </c>
      <c r="I1246">
        <v>1</v>
      </c>
      <c r="J1246">
        <v>0</v>
      </c>
      <c r="K1246" s="2">
        <v>2</v>
      </c>
      <c r="L1246">
        <v>0</v>
      </c>
      <c r="M1246" s="7">
        <v>0.82750199999999996</v>
      </c>
      <c r="N1246" s="7">
        <v>0</v>
      </c>
      <c r="O1246">
        <v>0</v>
      </c>
      <c r="P1246" t="s">
        <v>14</v>
      </c>
      <c r="Q1246">
        <v>4</v>
      </c>
      <c r="R1246" s="8">
        <f>(Tabela2[[#This Row],[FAF_atividade_fisica_frequente_em_horas]]+ 0.1)</f>
        <v>0.92750199999999994</v>
      </c>
      <c r="S1246" s="1">
        <f>(Tabela2[[#This Row],[TUE_tempo_uso_aparelhos_em_horas]]/Tabela2[[#This Row],[FAF_Var]])</f>
        <v>0</v>
      </c>
      <c r="T1246">
        <f>(Tabela2[[#This Row],[CAEC_lanche_entre_refeicoes]]*Tabela2[[#This Row],[FAVC_consumo_frequente_de_alimentos_mt_caloricos]])</f>
        <v>1</v>
      </c>
      <c r="U1246" s="1">
        <f>IF(OR(Tabela2[[#This Row],[MTRANS]]="Walking",Tabela2[[#This Row],[MTRANS]]="Bike"),Tabela2[[#This Row],[FAF_atividade_fisica_frequente_em_horas]]+1,M1246)</f>
        <v>0.82750199999999996</v>
      </c>
      <c r="V1246">
        <f>(Tabela2[[#This Row],[SMOKE]]+Tabela2[[#This Row],[CALC_bebe_alcool_frequentemente]])</f>
        <v>0</v>
      </c>
      <c r="W1246" s="8">
        <f>(Tabela2[[#This Row],[Weight]]/(Tabela2[[#This Row],[Height]] ^2))</f>
        <v>32.335580603880018</v>
      </c>
    </row>
    <row r="1247" spans="1:23" x14ac:dyDescent="0.25">
      <c r="A1247" t="s">
        <v>15</v>
      </c>
      <c r="B1247" s="7">
        <v>20.586977999999998</v>
      </c>
      <c r="C1247" s="4">
        <v>1.781952</v>
      </c>
      <c r="D1247" s="7">
        <v>102.910613</v>
      </c>
      <c r="E1247">
        <v>1</v>
      </c>
      <c r="F1247">
        <v>1</v>
      </c>
      <c r="G1247" s="2">
        <v>2</v>
      </c>
      <c r="H1247" s="2">
        <v>3</v>
      </c>
      <c r="I1247">
        <v>1</v>
      </c>
      <c r="J1247">
        <v>0</v>
      </c>
      <c r="K1247" s="2">
        <v>1.6897930000000001</v>
      </c>
      <c r="L1247">
        <v>0</v>
      </c>
      <c r="M1247" s="7">
        <v>1.4642040000000001</v>
      </c>
      <c r="N1247" s="7">
        <v>0</v>
      </c>
      <c r="O1247">
        <v>0</v>
      </c>
      <c r="P1247" t="s">
        <v>14</v>
      </c>
      <c r="Q1247">
        <v>4</v>
      </c>
      <c r="R1247" s="8">
        <f>(Tabela2[[#This Row],[FAF_atividade_fisica_frequente_em_horas]]+ 0.1)</f>
        <v>1.5642040000000001</v>
      </c>
      <c r="S1247" s="1">
        <f>(Tabela2[[#This Row],[TUE_tempo_uso_aparelhos_em_horas]]/Tabela2[[#This Row],[FAF_Var]])</f>
        <v>0</v>
      </c>
      <c r="T1247">
        <f>(Tabela2[[#This Row],[CAEC_lanche_entre_refeicoes]]*Tabela2[[#This Row],[FAVC_consumo_frequente_de_alimentos_mt_caloricos]])</f>
        <v>1</v>
      </c>
      <c r="U1247" s="1">
        <f>IF(OR(Tabela2[[#This Row],[MTRANS]]="Walking",Tabela2[[#This Row],[MTRANS]]="Bike"),Tabela2[[#This Row],[FAF_atividade_fisica_frequente_em_horas]]+1,M1247)</f>
        <v>1.4642040000000001</v>
      </c>
      <c r="V1247">
        <f>(Tabela2[[#This Row],[SMOKE]]+Tabela2[[#This Row],[CALC_bebe_alcool_frequentemente]])</f>
        <v>0</v>
      </c>
      <c r="W1247" s="8">
        <f>(Tabela2[[#This Row],[Weight]]/(Tabela2[[#This Row],[Height]] ^2))</f>
        <v>32.40918891814259</v>
      </c>
    </row>
    <row r="1248" spans="1:23" x14ac:dyDescent="0.25">
      <c r="A1248" t="s">
        <v>15</v>
      </c>
      <c r="B1248" s="7">
        <v>21.669478000000002</v>
      </c>
      <c r="C1248" s="4">
        <v>1.75</v>
      </c>
      <c r="D1248" s="7">
        <v>96.940254999999993</v>
      </c>
      <c r="E1248">
        <v>1</v>
      </c>
      <c r="F1248">
        <v>1</v>
      </c>
      <c r="G1248" s="2">
        <v>2</v>
      </c>
      <c r="H1248" s="2">
        <v>3</v>
      </c>
      <c r="I1248">
        <v>1</v>
      </c>
      <c r="J1248">
        <v>0</v>
      </c>
      <c r="K1248" s="2">
        <v>2.7714690000000002</v>
      </c>
      <c r="L1248">
        <v>0</v>
      </c>
      <c r="M1248" s="7">
        <v>2.3593389999999999</v>
      </c>
      <c r="N1248" s="7">
        <v>1.206251</v>
      </c>
      <c r="O1248">
        <v>0</v>
      </c>
      <c r="P1248" t="s">
        <v>14</v>
      </c>
      <c r="Q1248">
        <v>4</v>
      </c>
      <c r="R1248" s="8">
        <f>(Tabela2[[#This Row],[FAF_atividade_fisica_frequente_em_horas]]+ 0.1)</f>
        <v>2.4593389999999999</v>
      </c>
      <c r="S1248" s="1">
        <f>(Tabela2[[#This Row],[TUE_tempo_uso_aparelhos_em_horas]]/Tabela2[[#This Row],[FAF_Var]])</f>
        <v>0.4904777259255434</v>
      </c>
      <c r="T1248">
        <f>(Tabela2[[#This Row],[CAEC_lanche_entre_refeicoes]]*Tabela2[[#This Row],[FAVC_consumo_frequente_de_alimentos_mt_caloricos]])</f>
        <v>1</v>
      </c>
      <c r="U1248" s="1">
        <f>IF(OR(Tabela2[[#This Row],[MTRANS]]="Walking",Tabela2[[#This Row],[MTRANS]]="Bike"),Tabela2[[#This Row],[FAF_atividade_fisica_frequente_em_horas]]+1,M1248)</f>
        <v>2.3593389999999999</v>
      </c>
      <c r="V1248">
        <f>(Tabela2[[#This Row],[SMOKE]]+Tabela2[[#This Row],[CALC_bebe_alcool_frequentemente]])</f>
        <v>0</v>
      </c>
      <c r="W1248" s="8">
        <f>(Tabela2[[#This Row],[Weight]]/(Tabela2[[#This Row],[Height]] ^2))</f>
        <v>31.653960816326528</v>
      </c>
    </row>
    <row r="1249" spans="1:23" x14ac:dyDescent="0.25">
      <c r="A1249" t="s">
        <v>13</v>
      </c>
      <c r="B1249" s="7">
        <v>23</v>
      </c>
      <c r="C1249" s="4">
        <v>1.6158539999999999</v>
      </c>
      <c r="D1249" s="7">
        <v>80.615324999999999</v>
      </c>
      <c r="E1249">
        <v>1</v>
      </c>
      <c r="F1249">
        <v>1</v>
      </c>
      <c r="G1249" s="2">
        <v>2</v>
      </c>
      <c r="H1249" s="2">
        <v>1</v>
      </c>
      <c r="I1249">
        <v>1</v>
      </c>
      <c r="J1249">
        <v>0</v>
      </c>
      <c r="K1249" s="2">
        <v>2</v>
      </c>
      <c r="L1249">
        <v>0</v>
      </c>
      <c r="M1249" s="7">
        <v>2.6141999999999999E-2</v>
      </c>
      <c r="N1249" s="7">
        <v>0</v>
      </c>
      <c r="O1249">
        <v>0</v>
      </c>
      <c r="P1249" t="s">
        <v>14</v>
      </c>
      <c r="Q1249">
        <v>4</v>
      </c>
      <c r="R1249" s="8">
        <f>(Tabela2[[#This Row],[FAF_atividade_fisica_frequente_em_horas]]+ 0.1)</f>
        <v>0.126142</v>
      </c>
      <c r="S1249" s="1">
        <f>(Tabela2[[#This Row],[TUE_tempo_uso_aparelhos_em_horas]]/Tabela2[[#This Row],[FAF_Var]])</f>
        <v>0</v>
      </c>
      <c r="T1249">
        <f>(Tabela2[[#This Row],[CAEC_lanche_entre_refeicoes]]*Tabela2[[#This Row],[FAVC_consumo_frequente_de_alimentos_mt_caloricos]])</f>
        <v>1</v>
      </c>
      <c r="U1249" s="1">
        <f>IF(OR(Tabela2[[#This Row],[MTRANS]]="Walking",Tabela2[[#This Row],[MTRANS]]="Bike"),Tabela2[[#This Row],[FAF_atividade_fisica_frequente_em_horas]]+1,M1249)</f>
        <v>2.6141999999999999E-2</v>
      </c>
      <c r="V1249">
        <f>(Tabela2[[#This Row],[SMOKE]]+Tabela2[[#This Row],[CALC_bebe_alcool_frequentemente]])</f>
        <v>0</v>
      </c>
      <c r="W1249" s="8">
        <f>(Tabela2[[#This Row],[Weight]]/(Tabela2[[#This Row],[Height]] ^2))</f>
        <v>30.875455533163162</v>
      </c>
    </row>
    <row r="1250" spans="1:23" x14ac:dyDescent="0.25">
      <c r="A1250" t="s">
        <v>15</v>
      </c>
      <c r="B1250" s="7">
        <v>20.825962000000001</v>
      </c>
      <c r="C1250" s="4">
        <v>1.7933779999999999</v>
      </c>
      <c r="D1250" s="7">
        <v>105.65503699999999</v>
      </c>
      <c r="E1250">
        <v>1</v>
      </c>
      <c r="F1250">
        <v>1</v>
      </c>
      <c r="G1250" s="2">
        <v>2</v>
      </c>
      <c r="H1250" s="2">
        <v>3</v>
      </c>
      <c r="I1250">
        <v>1</v>
      </c>
      <c r="J1250">
        <v>0</v>
      </c>
      <c r="K1250" s="2">
        <v>1.155384</v>
      </c>
      <c r="L1250">
        <v>0</v>
      </c>
      <c r="M1250" s="7">
        <v>3.9379999999999997E-3</v>
      </c>
      <c r="N1250" s="7">
        <v>0.526999</v>
      </c>
      <c r="O1250">
        <v>1</v>
      </c>
      <c r="P1250" t="s">
        <v>14</v>
      </c>
      <c r="Q1250">
        <v>4</v>
      </c>
      <c r="R1250" s="8">
        <f>(Tabela2[[#This Row],[FAF_atividade_fisica_frequente_em_horas]]+ 0.1)</f>
        <v>0.103938</v>
      </c>
      <c r="S1250" s="1">
        <f>(Tabela2[[#This Row],[TUE_tempo_uso_aparelhos_em_horas]]/Tabela2[[#This Row],[FAF_Var]])</f>
        <v>5.0703207681502436</v>
      </c>
      <c r="T1250">
        <f>(Tabela2[[#This Row],[CAEC_lanche_entre_refeicoes]]*Tabela2[[#This Row],[FAVC_consumo_frequente_de_alimentos_mt_caloricos]])</f>
        <v>1</v>
      </c>
      <c r="U1250" s="1">
        <f>IF(OR(Tabela2[[#This Row],[MTRANS]]="Walking",Tabela2[[#This Row],[MTRANS]]="Bike"),Tabela2[[#This Row],[FAF_atividade_fisica_frequente_em_horas]]+1,M1250)</f>
        <v>3.9379999999999997E-3</v>
      </c>
      <c r="V1250">
        <f>(Tabela2[[#This Row],[SMOKE]]+Tabela2[[#This Row],[CALC_bebe_alcool_frequentemente]])</f>
        <v>1</v>
      </c>
      <c r="W1250" s="8">
        <f>(Tabela2[[#This Row],[Weight]]/(Tabela2[[#This Row],[Height]] ^2))</f>
        <v>32.85084391969891</v>
      </c>
    </row>
    <row r="1251" spans="1:23" x14ac:dyDescent="0.25">
      <c r="A1251" t="s">
        <v>15</v>
      </c>
      <c r="B1251" s="7">
        <v>18.178023</v>
      </c>
      <c r="C1251" s="4">
        <v>1.8547800000000001</v>
      </c>
      <c r="D1251" s="7">
        <v>114.77484</v>
      </c>
      <c r="E1251">
        <v>1</v>
      </c>
      <c r="F1251">
        <v>1</v>
      </c>
      <c r="G1251" s="2">
        <v>2</v>
      </c>
      <c r="H1251" s="2">
        <v>1.854536</v>
      </c>
      <c r="I1251">
        <v>1</v>
      </c>
      <c r="J1251">
        <v>0</v>
      </c>
      <c r="K1251" s="2">
        <v>2.1601689999999998</v>
      </c>
      <c r="L1251">
        <v>0</v>
      </c>
      <c r="M1251" s="7">
        <v>1</v>
      </c>
      <c r="N1251" s="7">
        <v>2</v>
      </c>
      <c r="O1251">
        <v>1</v>
      </c>
      <c r="P1251" t="s">
        <v>14</v>
      </c>
      <c r="Q1251">
        <v>4</v>
      </c>
      <c r="R1251" s="8">
        <f>(Tabela2[[#This Row],[FAF_atividade_fisica_frequente_em_horas]]+ 0.1)</f>
        <v>1.1000000000000001</v>
      </c>
      <c r="S1251" s="1">
        <f>(Tabela2[[#This Row],[TUE_tempo_uso_aparelhos_em_horas]]/Tabela2[[#This Row],[FAF_Var]])</f>
        <v>1.8181818181818181</v>
      </c>
      <c r="T1251">
        <f>(Tabela2[[#This Row],[CAEC_lanche_entre_refeicoes]]*Tabela2[[#This Row],[FAVC_consumo_frequente_de_alimentos_mt_caloricos]])</f>
        <v>1</v>
      </c>
      <c r="U1251" s="1">
        <f>IF(OR(Tabela2[[#This Row],[MTRANS]]="Walking",Tabela2[[#This Row],[MTRANS]]="Bike"),Tabela2[[#This Row],[FAF_atividade_fisica_frequente_em_horas]]+1,M1251)</f>
        <v>1</v>
      </c>
      <c r="V1251">
        <f>(Tabela2[[#This Row],[SMOKE]]+Tabela2[[#This Row],[CALC_bebe_alcool_frequentemente]])</f>
        <v>1</v>
      </c>
      <c r="W1251" s="8">
        <f>(Tabela2[[#This Row],[Weight]]/(Tabela2[[#This Row],[Height]] ^2))</f>
        <v>33.362753558808038</v>
      </c>
    </row>
    <row r="1252" spans="1:23" x14ac:dyDescent="0.25">
      <c r="A1252" t="s">
        <v>13</v>
      </c>
      <c r="B1252" s="7">
        <v>18</v>
      </c>
      <c r="C1252" s="4">
        <v>1.6856329999999999</v>
      </c>
      <c r="D1252" s="7">
        <v>90.032670999999993</v>
      </c>
      <c r="E1252">
        <v>1</v>
      </c>
      <c r="F1252">
        <v>1</v>
      </c>
      <c r="G1252" s="2">
        <v>2.4964550000000001</v>
      </c>
      <c r="H1252" s="2">
        <v>3</v>
      </c>
      <c r="I1252">
        <v>1</v>
      </c>
      <c r="J1252">
        <v>0</v>
      </c>
      <c r="K1252" s="2">
        <v>1.850344</v>
      </c>
      <c r="L1252">
        <v>0</v>
      </c>
      <c r="M1252" s="7">
        <v>1.066101</v>
      </c>
      <c r="N1252" s="7">
        <v>0.73226500000000005</v>
      </c>
      <c r="O1252">
        <v>1</v>
      </c>
      <c r="P1252" t="s">
        <v>14</v>
      </c>
      <c r="Q1252">
        <v>4</v>
      </c>
      <c r="R1252" s="8">
        <f>(Tabela2[[#This Row],[FAF_atividade_fisica_frequente_em_horas]]+ 0.1)</f>
        <v>1.1661010000000001</v>
      </c>
      <c r="S1252" s="1">
        <f>(Tabela2[[#This Row],[TUE_tempo_uso_aparelhos_em_horas]]/Tabela2[[#This Row],[FAF_Var]])</f>
        <v>0.62796018526697084</v>
      </c>
      <c r="T1252">
        <f>(Tabela2[[#This Row],[CAEC_lanche_entre_refeicoes]]*Tabela2[[#This Row],[FAVC_consumo_frequente_de_alimentos_mt_caloricos]])</f>
        <v>1</v>
      </c>
      <c r="U1252" s="1">
        <f>IF(OR(Tabela2[[#This Row],[MTRANS]]="Walking",Tabela2[[#This Row],[MTRANS]]="Bike"),Tabela2[[#This Row],[FAF_atividade_fisica_frequente_em_horas]]+1,M1252)</f>
        <v>1.066101</v>
      </c>
      <c r="V1252">
        <f>(Tabela2[[#This Row],[SMOKE]]+Tabela2[[#This Row],[CALC_bebe_alcool_frequentemente]])</f>
        <v>1</v>
      </c>
      <c r="W1252" s="8">
        <f>(Tabela2[[#This Row],[Weight]]/(Tabela2[[#This Row],[Height]] ^2))</f>
        <v>31.686486408756412</v>
      </c>
    </row>
    <row r="1253" spans="1:23" x14ac:dyDescent="0.25">
      <c r="A1253" t="s">
        <v>13</v>
      </c>
      <c r="B1253" s="7">
        <v>18.267696000000001</v>
      </c>
      <c r="C1253" s="4">
        <v>1.7063429999999999</v>
      </c>
      <c r="D1253" s="7">
        <v>93.348843000000002</v>
      </c>
      <c r="E1253">
        <v>1</v>
      </c>
      <c r="F1253">
        <v>1</v>
      </c>
      <c r="G1253" s="2">
        <v>1.70825</v>
      </c>
      <c r="H1253" s="2">
        <v>3</v>
      </c>
      <c r="I1253">
        <v>1</v>
      </c>
      <c r="J1253">
        <v>0</v>
      </c>
      <c r="K1253" s="2">
        <v>1</v>
      </c>
      <c r="L1253">
        <v>0</v>
      </c>
      <c r="M1253" s="7">
        <v>0.899864</v>
      </c>
      <c r="N1253" s="7">
        <v>1</v>
      </c>
      <c r="O1253">
        <v>1</v>
      </c>
      <c r="P1253" t="s">
        <v>14</v>
      </c>
      <c r="Q1253">
        <v>4</v>
      </c>
      <c r="R1253" s="8">
        <f>(Tabela2[[#This Row],[FAF_atividade_fisica_frequente_em_horas]]+ 0.1)</f>
        <v>0.99986399999999998</v>
      </c>
      <c r="S1253" s="1">
        <f>(Tabela2[[#This Row],[TUE_tempo_uso_aparelhos_em_horas]]/Tabela2[[#This Row],[FAF_Var]])</f>
        <v>1.0001360184985157</v>
      </c>
      <c r="T1253">
        <f>(Tabela2[[#This Row],[CAEC_lanche_entre_refeicoes]]*Tabela2[[#This Row],[FAVC_consumo_frequente_de_alimentos_mt_caloricos]])</f>
        <v>1</v>
      </c>
      <c r="U1253" s="1">
        <f>IF(OR(Tabela2[[#This Row],[MTRANS]]="Walking",Tabela2[[#This Row],[MTRANS]]="Bike"),Tabela2[[#This Row],[FAF_atividade_fisica_frequente_em_horas]]+1,M1253)</f>
        <v>0.899864</v>
      </c>
      <c r="V1253">
        <f>(Tabela2[[#This Row],[SMOKE]]+Tabela2[[#This Row],[CALC_bebe_alcool_frequentemente]])</f>
        <v>1</v>
      </c>
      <c r="W1253" s="8">
        <f>(Tabela2[[#This Row],[Weight]]/(Tabela2[[#This Row],[Height]] ^2))</f>
        <v>32.060941314451497</v>
      </c>
    </row>
    <row r="1254" spans="1:23" x14ac:dyDescent="0.25">
      <c r="A1254" t="s">
        <v>15</v>
      </c>
      <c r="B1254" s="7">
        <v>23</v>
      </c>
      <c r="C1254" s="4">
        <v>1.791415</v>
      </c>
      <c r="D1254" s="7">
        <v>105.13807300000001</v>
      </c>
      <c r="E1254">
        <v>1</v>
      </c>
      <c r="F1254">
        <v>1</v>
      </c>
      <c r="G1254" s="2">
        <v>2.2621709999999999</v>
      </c>
      <c r="H1254" s="2">
        <v>3</v>
      </c>
      <c r="I1254">
        <v>1</v>
      </c>
      <c r="J1254">
        <v>0</v>
      </c>
      <c r="K1254" s="2">
        <v>2.0341499999999999</v>
      </c>
      <c r="L1254">
        <v>0</v>
      </c>
      <c r="M1254" s="7">
        <v>0.31736300000000001</v>
      </c>
      <c r="N1254" s="7">
        <v>0.50866299999999998</v>
      </c>
      <c r="O1254">
        <v>1</v>
      </c>
      <c r="P1254" t="s">
        <v>14</v>
      </c>
      <c r="Q1254">
        <v>4</v>
      </c>
      <c r="R1254" s="8">
        <f>(Tabela2[[#This Row],[FAF_atividade_fisica_frequente_em_horas]]+ 0.1)</f>
        <v>0.41736300000000004</v>
      </c>
      <c r="S1254" s="1">
        <f>(Tabela2[[#This Row],[TUE_tempo_uso_aparelhos_em_horas]]/Tabela2[[#This Row],[FAF_Var]])</f>
        <v>1.2187544176172778</v>
      </c>
      <c r="T1254">
        <f>(Tabela2[[#This Row],[CAEC_lanche_entre_refeicoes]]*Tabela2[[#This Row],[FAVC_consumo_frequente_de_alimentos_mt_caloricos]])</f>
        <v>1</v>
      </c>
      <c r="U1254" s="1">
        <f>IF(OR(Tabela2[[#This Row],[MTRANS]]="Walking",Tabela2[[#This Row],[MTRANS]]="Bike"),Tabela2[[#This Row],[FAF_atividade_fisica_frequente_em_horas]]+1,M1254)</f>
        <v>0.31736300000000001</v>
      </c>
      <c r="V1254">
        <f>(Tabela2[[#This Row],[SMOKE]]+Tabela2[[#This Row],[CALC_bebe_alcool_frequentemente]])</f>
        <v>1</v>
      </c>
      <c r="W1254" s="8">
        <f>(Tabela2[[#This Row],[Weight]]/(Tabela2[[#This Row],[Height]] ^2))</f>
        <v>32.761788337550897</v>
      </c>
    </row>
    <row r="1255" spans="1:23" x14ac:dyDescent="0.25">
      <c r="A1255" t="s">
        <v>15</v>
      </c>
      <c r="B1255" s="7">
        <v>23</v>
      </c>
      <c r="C1255" s="4">
        <v>1.7537160000000001</v>
      </c>
      <c r="D1255" s="7">
        <v>106.49141</v>
      </c>
      <c r="E1255">
        <v>1</v>
      </c>
      <c r="F1255">
        <v>1</v>
      </c>
      <c r="G1255" s="2">
        <v>2.7406329999999999</v>
      </c>
      <c r="H1255" s="2">
        <v>3</v>
      </c>
      <c r="I1255">
        <v>1</v>
      </c>
      <c r="J1255">
        <v>0</v>
      </c>
      <c r="K1255" s="2">
        <v>2.0810050000000002</v>
      </c>
      <c r="L1255">
        <v>0</v>
      </c>
      <c r="M1255" s="7">
        <v>0.65023500000000001</v>
      </c>
      <c r="N1255" s="7">
        <v>0.76905999999999997</v>
      </c>
      <c r="O1255">
        <v>1</v>
      </c>
      <c r="P1255" t="s">
        <v>14</v>
      </c>
      <c r="Q1255">
        <v>4</v>
      </c>
      <c r="R1255" s="8">
        <f>(Tabela2[[#This Row],[FAF_atividade_fisica_frequente_em_horas]]+ 0.1)</f>
        <v>0.75023499999999999</v>
      </c>
      <c r="S1255" s="1">
        <f>(Tabela2[[#This Row],[TUE_tempo_uso_aparelhos_em_horas]]/Tabela2[[#This Row],[FAF_Var]])</f>
        <v>1.0250921377968236</v>
      </c>
      <c r="T1255">
        <f>(Tabela2[[#This Row],[CAEC_lanche_entre_refeicoes]]*Tabela2[[#This Row],[FAVC_consumo_frequente_de_alimentos_mt_caloricos]])</f>
        <v>1</v>
      </c>
      <c r="U1255" s="1">
        <f>IF(OR(Tabela2[[#This Row],[MTRANS]]="Walking",Tabela2[[#This Row],[MTRANS]]="Bike"),Tabela2[[#This Row],[FAF_atividade_fisica_frequente_em_horas]]+1,M1255)</f>
        <v>0.65023500000000001</v>
      </c>
      <c r="V1255">
        <f>(Tabela2[[#This Row],[SMOKE]]+Tabela2[[#This Row],[CALC_bebe_alcool_frequentemente]])</f>
        <v>1</v>
      </c>
      <c r="W1255" s="8">
        <f>(Tabela2[[#This Row],[Weight]]/(Tabela2[[#This Row],[Height]] ^2))</f>
        <v>34.625499631080793</v>
      </c>
    </row>
    <row r="1256" spans="1:23" x14ac:dyDescent="0.25">
      <c r="A1256" t="s">
        <v>15</v>
      </c>
      <c r="B1256" s="7">
        <v>20.985900000000001</v>
      </c>
      <c r="C1256" s="4">
        <v>1.7805029999999999</v>
      </c>
      <c r="D1256" s="7">
        <v>103.189532</v>
      </c>
      <c r="E1256">
        <v>1</v>
      </c>
      <c r="F1256">
        <v>1</v>
      </c>
      <c r="G1256" s="2">
        <v>2</v>
      </c>
      <c r="H1256" s="2">
        <v>3</v>
      </c>
      <c r="I1256">
        <v>1</v>
      </c>
      <c r="J1256">
        <v>0</v>
      </c>
      <c r="K1256" s="2">
        <v>1.608128</v>
      </c>
      <c r="L1256">
        <v>0</v>
      </c>
      <c r="M1256" s="7">
        <v>0.478134</v>
      </c>
      <c r="N1256" s="7">
        <v>0</v>
      </c>
      <c r="O1256">
        <v>0</v>
      </c>
      <c r="P1256" t="s">
        <v>14</v>
      </c>
      <c r="Q1256">
        <v>4</v>
      </c>
      <c r="R1256" s="8">
        <f>(Tabela2[[#This Row],[FAF_atividade_fisica_frequente_em_horas]]+ 0.1)</f>
        <v>0.57813400000000004</v>
      </c>
      <c r="S1256" s="1">
        <f>(Tabela2[[#This Row],[TUE_tempo_uso_aparelhos_em_horas]]/Tabela2[[#This Row],[FAF_Var]])</f>
        <v>0</v>
      </c>
      <c r="T1256">
        <f>(Tabela2[[#This Row],[CAEC_lanche_entre_refeicoes]]*Tabela2[[#This Row],[FAVC_consumo_frequente_de_alimentos_mt_caloricos]])</f>
        <v>1</v>
      </c>
      <c r="U1256" s="1">
        <f>IF(OR(Tabela2[[#This Row],[MTRANS]]="Walking",Tabela2[[#This Row],[MTRANS]]="Bike"),Tabela2[[#This Row],[FAF_atividade_fisica_frequente_em_horas]]+1,M1256)</f>
        <v>0.478134</v>
      </c>
      <c r="V1256">
        <f>(Tabela2[[#This Row],[SMOKE]]+Tabela2[[#This Row],[CALC_bebe_alcool_frequentemente]])</f>
        <v>0</v>
      </c>
      <c r="W1256" s="8">
        <f>(Tabela2[[#This Row],[Weight]]/(Tabela2[[#This Row],[Height]] ^2))</f>
        <v>32.549942315952947</v>
      </c>
    </row>
    <row r="1257" spans="1:23" x14ac:dyDescent="0.25">
      <c r="A1257" t="s">
        <v>15</v>
      </c>
      <c r="B1257" s="7">
        <v>21.504943000000001</v>
      </c>
      <c r="C1257" s="4">
        <v>1.8198669999999999</v>
      </c>
      <c r="D1257" s="7">
        <v>106.03846799999999</v>
      </c>
      <c r="E1257">
        <v>1</v>
      </c>
      <c r="F1257">
        <v>1</v>
      </c>
      <c r="G1257" s="2">
        <v>2</v>
      </c>
      <c r="H1257" s="2">
        <v>3</v>
      </c>
      <c r="I1257">
        <v>1</v>
      </c>
      <c r="J1257">
        <v>0</v>
      </c>
      <c r="K1257" s="2">
        <v>2.715252</v>
      </c>
      <c r="L1257">
        <v>0</v>
      </c>
      <c r="M1257" s="7">
        <v>0</v>
      </c>
      <c r="N1257" s="7">
        <v>0.62160499999999996</v>
      </c>
      <c r="O1257">
        <v>0</v>
      </c>
      <c r="P1257" t="s">
        <v>14</v>
      </c>
      <c r="Q1257">
        <v>4</v>
      </c>
      <c r="R1257" s="8">
        <f>(Tabela2[[#This Row],[FAF_atividade_fisica_frequente_em_horas]]+ 0.1)</f>
        <v>0.1</v>
      </c>
      <c r="S1257" s="1">
        <f>(Tabela2[[#This Row],[TUE_tempo_uso_aparelhos_em_horas]]/Tabela2[[#This Row],[FAF_Var]])</f>
        <v>6.2160499999999992</v>
      </c>
      <c r="T1257">
        <f>(Tabela2[[#This Row],[CAEC_lanche_entre_refeicoes]]*Tabela2[[#This Row],[FAVC_consumo_frequente_de_alimentos_mt_caloricos]])</f>
        <v>1</v>
      </c>
      <c r="U1257" s="1">
        <f>IF(OR(Tabela2[[#This Row],[MTRANS]]="Walking",Tabela2[[#This Row],[MTRANS]]="Bike"),Tabela2[[#This Row],[FAF_atividade_fisica_frequente_em_horas]]+1,M1257)</f>
        <v>0</v>
      </c>
      <c r="V1257">
        <f>(Tabela2[[#This Row],[SMOKE]]+Tabela2[[#This Row],[CALC_bebe_alcool_frequentemente]])</f>
        <v>0</v>
      </c>
      <c r="W1257" s="8">
        <f>(Tabela2[[#This Row],[Weight]]/(Tabela2[[#This Row],[Height]] ^2))</f>
        <v>32.017258673142003</v>
      </c>
    </row>
    <row r="1258" spans="1:23" x14ac:dyDescent="0.25">
      <c r="A1258" t="s">
        <v>15</v>
      </c>
      <c r="B1258" s="7">
        <v>18</v>
      </c>
      <c r="C1258" s="4">
        <v>1.791174</v>
      </c>
      <c r="D1258" s="7">
        <v>108.9606</v>
      </c>
      <c r="E1258">
        <v>1</v>
      </c>
      <c r="F1258">
        <v>1</v>
      </c>
      <c r="G1258" s="2">
        <v>2</v>
      </c>
      <c r="H1258" s="2">
        <v>1.08687</v>
      </c>
      <c r="I1258">
        <v>1</v>
      </c>
      <c r="J1258">
        <v>0</v>
      </c>
      <c r="K1258" s="2">
        <v>2.2791239999999999</v>
      </c>
      <c r="L1258">
        <v>0</v>
      </c>
      <c r="M1258" s="7">
        <v>1</v>
      </c>
      <c r="N1258" s="7">
        <v>1.6097729999999999</v>
      </c>
      <c r="O1258">
        <v>0</v>
      </c>
      <c r="P1258" t="s">
        <v>14</v>
      </c>
      <c r="Q1258">
        <v>4</v>
      </c>
      <c r="R1258" s="8">
        <f>(Tabela2[[#This Row],[FAF_atividade_fisica_frequente_em_horas]]+ 0.1)</f>
        <v>1.1000000000000001</v>
      </c>
      <c r="S1258" s="1">
        <f>(Tabela2[[#This Row],[TUE_tempo_uso_aparelhos_em_horas]]/Tabela2[[#This Row],[FAF_Var]])</f>
        <v>1.4634299999999998</v>
      </c>
      <c r="T1258">
        <f>(Tabela2[[#This Row],[CAEC_lanche_entre_refeicoes]]*Tabela2[[#This Row],[FAVC_consumo_frequente_de_alimentos_mt_caloricos]])</f>
        <v>1</v>
      </c>
      <c r="U1258" s="1">
        <f>IF(OR(Tabela2[[#This Row],[MTRANS]]="Walking",Tabela2[[#This Row],[MTRANS]]="Bike"),Tabela2[[#This Row],[FAF_atividade_fisica_frequente_em_horas]]+1,M1258)</f>
        <v>1</v>
      </c>
      <c r="V1258">
        <f>(Tabela2[[#This Row],[SMOKE]]+Tabela2[[#This Row],[CALC_bebe_alcool_frequentemente]])</f>
        <v>0</v>
      </c>
      <c r="W1258" s="8">
        <f>(Tabela2[[#This Row],[Weight]]/(Tabela2[[#This Row],[Height]] ^2))</f>
        <v>33.962052807319608</v>
      </c>
    </row>
    <row r="1259" spans="1:23" x14ac:dyDescent="0.25">
      <c r="A1259" t="s">
        <v>15</v>
      </c>
      <c r="B1259" s="7">
        <v>18</v>
      </c>
      <c r="C1259" s="4">
        <v>1.8209299999999999</v>
      </c>
      <c r="D1259" s="7">
        <v>108.74200500000001</v>
      </c>
      <c r="E1259">
        <v>1</v>
      </c>
      <c r="F1259">
        <v>1</v>
      </c>
      <c r="G1259" s="2">
        <v>2</v>
      </c>
      <c r="H1259" s="2">
        <v>1.25535</v>
      </c>
      <c r="I1259">
        <v>1</v>
      </c>
      <c r="J1259">
        <v>0</v>
      </c>
      <c r="K1259" s="2">
        <v>2.4970650000000001</v>
      </c>
      <c r="L1259">
        <v>0</v>
      </c>
      <c r="M1259" s="7">
        <v>1</v>
      </c>
      <c r="N1259" s="7">
        <v>1.441605</v>
      </c>
      <c r="O1259">
        <v>0</v>
      </c>
      <c r="P1259" t="s">
        <v>14</v>
      </c>
      <c r="Q1259">
        <v>4</v>
      </c>
      <c r="R1259" s="8">
        <f>(Tabela2[[#This Row],[FAF_atividade_fisica_frequente_em_horas]]+ 0.1)</f>
        <v>1.1000000000000001</v>
      </c>
      <c r="S1259" s="1">
        <f>(Tabela2[[#This Row],[TUE_tempo_uso_aparelhos_em_horas]]/Tabela2[[#This Row],[FAF_Var]])</f>
        <v>1.3105499999999999</v>
      </c>
      <c r="T1259">
        <f>(Tabela2[[#This Row],[CAEC_lanche_entre_refeicoes]]*Tabela2[[#This Row],[FAVC_consumo_frequente_de_alimentos_mt_caloricos]])</f>
        <v>1</v>
      </c>
      <c r="U1259" s="1">
        <f>IF(OR(Tabela2[[#This Row],[MTRANS]]="Walking",Tabela2[[#This Row],[MTRANS]]="Bike"),Tabela2[[#This Row],[FAF_atividade_fisica_frequente_em_horas]]+1,M1259)</f>
        <v>1</v>
      </c>
      <c r="V1259">
        <f>(Tabela2[[#This Row],[SMOKE]]+Tabela2[[#This Row],[CALC_bebe_alcool_frequentemente]])</f>
        <v>0</v>
      </c>
      <c r="W1259" s="8">
        <f>(Tabela2[[#This Row],[Weight]]/(Tabela2[[#This Row],[Height]] ^2))</f>
        <v>32.795241572160819</v>
      </c>
    </row>
    <row r="1260" spans="1:23" x14ac:dyDescent="0.25">
      <c r="A1260" t="s">
        <v>13</v>
      </c>
      <c r="B1260" s="7">
        <v>19.442663</v>
      </c>
      <c r="C1260" s="4">
        <v>1.627812</v>
      </c>
      <c r="D1260" s="7">
        <v>82</v>
      </c>
      <c r="E1260">
        <v>1</v>
      </c>
      <c r="F1260">
        <v>1</v>
      </c>
      <c r="G1260" s="2">
        <v>1.081585</v>
      </c>
      <c r="H1260" s="2">
        <v>2.8706610000000001</v>
      </c>
      <c r="I1260">
        <v>1</v>
      </c>
      <c r="J1260">
        <v>0</v>
      </c>
      <c r="K1260" s="2">
        <v>1.1175600000000001</v>
      </c>
      <c r="L1260">
        <v>0</v>
      </c>
      <c r="M1260" s="7">
        <v>0</v>
      </c>
      <c r="N1260" s="7">
        <v>1.6168260000000001</v>
      </c>
      <c r="O1260">
        <v>1</v>
      </c>
      <c r="P1260" t="s">
        <v>14</v>
      </c>
      <c r="Q1260">
        <v>4</v>
      </c>
      <c r="R1260" s="8">
        <f>(Tabela2[[#This Row],[FAF_atividade_fisica_frequente_em_horas]]+ 0.1)</f>
        <v>0.1</v>
      </c>
      <c r="S1260" s="1">
        <f>(Tabela2[[#This Row],[TUE_tempo_uso_aparelhos_em_horas]]/Tabela2[[#This Row],[FAF_Var]])</f>
        <v>16.16826</v>
      </c>
      <c r="T1260">
        <f>(Tabela2[[#This Row],[CAEC_lanche_entre_refeicoes]]*Tabela2[[#This Row],[FAVC_consumo_frequente_de_alimentos_mt_caloricos]])</f>
        <v>1</v>
      </c>
      <c r="U1260" s="1">
        <f>IF(OR(Tabela2[[#This Row],[MTRANS]]="Walking",Tabela2[[#This Row],[MTRANS]]="Bike"),Tabela2[[#This Row],[FAF_atividade_fisica_frequente_em_horas]]+1,M1260)</f>
        <v>0</v>
      </c>
      <c r="V1260">
        <f>(Tabela2[[#This Row],[SMOKE]]+Tabela2[[#This Row],[CALC_bebe_alcool_frequentemente]])</f>
        <v>1</v>
      </c>
      <c r="W1260" s="8">
        <f>(Tabela2[[#This Row],[Weight]]/(Tabela2[[#This Row],[Height]] ^2))</f>
        <v>30.946059837351331</v>
      </c>
    </row>
    <row r="1261" spans="1:23" x14ac:dyDescent="0.25">
      <c r="A1261" t="s">
        <v>13</v>
      </c>
      <c r="B1261" s="7">
        <v>22.865017999999999</v>
      </c>
      <c r="C1261" s="4">
        <v>1.632118</v>
      </c>
      <c r="D1261" s="7">
        <v>82</v>
      </c>
      <c r="E1261">
        <v>1</v>
      </c>
      <c r="F1261">
        <v>1</v>
      </c>
      <c r="G1261" s="2">
        <v>2.5877889999999999</v>
      </c>
      <c r="H1261" s="2">
        <v>1.4821029999999999</v>
      </c>
      <c r="I1261">
        <v>1</v>
      </c>
      <c r="J1261">
        <v>0</v>
      </c>
      <c r="K1261" s="2">
        <v>1.911664</v>
      </c>
      <c r="L1261">
        <v>0</v>
      </c>
      <c r="M1261" s="7">
        <v>0</v>
      </c>
      <c r="N1261" s="7">
        <v>0.12868099999999999</v>
      </c>
      <c r="O1261">
        <v>1</v>
      </c>
      <c r="P1261" t="s">
        <v>14</v>
      </c>
      <c r="Q1261">
        <v>4</v>
      </c>
      <c r="R1261" s="8">
        <f>(Tabela2[[#This Row],[FAF_atividade_fisica_frequente_em_horas]]+ 0.1)</f>
        <v>0.1</v>
      </c>
      <c r="S1261" s="1">
        <f>(Tabela2[[#This Row],[TUE_tempo_uso_aparelhos_em_horas]]/Tabela2[[#This Row],[FAF_Var]])</f>
        <v>1.2868099999999998</v>
      </c>
      <c r="T1261">
        <f>(Tabela2[[#This Row],[CAEC_lanche_entre_refeicoes]]*Tabela2[[#This Row],[FAVC_consumo_frequente_de_alimentos_mt_caloricos]])</f>
        <v>1</v>
      </c>
      <c r="U1261" s="1">
        <f>IF(OR(Tabela2[[#This Row],[MTRANS]]="Walking",Tabela2[[#This Row],[MTRANS]]="Bike"),Tabela2[[#This Row],[FAF_atividade_fisica_frequente_em_horas]]+1,M1261)</f>
        <v>0</v>
      </c>
      <c r="V1261">
        <f>(Tabela2[[#This Row],[SMOKE]]+Tabela2[[#This Row],[CALC_bebe_alcool_frequentemente]])</f>
        <v>1</v>
      </c>
      <c r="W1261" s="8">
        <f>(Tabela2[[#This Row],[Weight]]/(Tabela2[[#This Row],[Height]] ^2))</f>
        <v>30.782985901903569</v>
      </c>
    </row>
    <row r="1262" spans="1:23" x14ac:dyDescent="0.25">
      <c r="A1262" t="s">
        <v>15</v>
      </c>
      <c r="B1262" s="7">
        <v>21.948577</v>
      </c>
      <c r="C1262" s="4">
        <v>1.7735939999999999</v>
      </c>
      <c r="D1262" s="7">
        <v>105.000789</v>
      </c>
      <c r="E1262">
        <v>1</v>
      </c>
      <c r="F1262">
        <v>1</v>
      </c>
      <c r="G1262" s="2">
        <v>2.252653</v>
      </c>
      <c r="H1262" s="2">
        <v>3</v>
      </c>
      <c r="I1262">
        <v>1</v>
      </c>
      <c r="J1262">
        <v>0</v>
      </c>
      <c r="K1262" s="2">
        <v>2.9623710000000001</v>
      </c>
      <c r="L1262">
        <v>0</v>
      </c>
      <c r="M1262" s="7">
        <v>1</v>
      </c>
      <c r="N1262" s="7">
        <v>0</v>
      </c>
      <c r="O1262">
        <v>1</v>
      </c>
      <c r="P1262" t="s">
        <v>14</v>
      </c>
      <c r="Q1262">
        <v>4</v>
      </c>
      <c r="R1262" s="8">
        <f>(Tabela2[[#This Row],[FAF_atividade_fisica_frequente_em_horas]]+ 0.1)</f>
        <v>1.1000000000000001</v>
      </c>
      <c r="S1262" s="1">
        <f>(Tabela2[[#This Row],[TUE_tempo_uso_aparelhos_em_horas]]/Tabela2[[#This Row],[FAF_Var]])</f>
        <v>0</v>
      </c>
      <c r="T1262">
        <f>(Tabela2[[#This Row],[CAEC_lanche_entre_refeicoes]]*Tabela2[[#This Row],[FAVC_consumo_frequente_de_alimentos_mt_caloricos]])</f>
        <v>1</v>
      </c>
      <c r="U1262" s="1">
        <f>IF(OR(Tabela2[[#This Row],[MTRANS]]="Walking",Tabela2[[#This Row],[MTRANS]]="Bike"),Tabela2[[#This Row],[FAF_atividade_fisica_frequente_em_horas]]+1,M1262)</f>
        <v>1</v>
      </c>
      <c r="V1262">
        <f>(Tabela2[[#This Row],[SMOKE]]+Tabela2[[#This Row],[CALC_bebe_alcool_frequentemente]])</f>
        <v>1</v>
      </c>
      <c r="W1262" s="8">
        <f>(Tabela2[[#This Row],[Weight]]/(Tabela2[[#This Row],[Height]] ^2))</f>
        <v>33.379831546676058</v>
      </c>
    </row>
    <row r="1263" spans="1:23" x14ac:dyDescent="0.25">
      <c r="A1263" t="s">
        <v>15</v>
      </c>
      <c r="B1263" s="7">
        <v>21.214617000000001</v>
      </c>
      <c r="C1263" s="4">
        <v>1.9304159999999999</v>
      </c>
      <c r="D1263" s="7">
        <v>118.560509</v>
      </c>
      <c r="E1263">
        <v>1</v>
      </c>
      <c r="F1263">
        <v>1</v>
      </c>
      <c r="G1263" s="2">
        <v>2</v>
      </c>
      <c r="H1263" s="2">
        <v>3</v>
      </c>
      <c r="I1263">
        <v>1</v>
      </c>
      <c r="J1263">
        <v>0</v>
      </c>
      <c r="K1263" s="2">
        <v>3</v>
      </c>
      <c r="L1263">
        <v>0</v>
      </c>
      <c r="M1263" s="7">
        <v>0.732186</v>
      </c>
      <c r="N1263" s="7">
        <v>1</v>
      </c>
      <c r="O1263">
        <v>1</v>
      </c>
      <c r="P1263" t="s">
        <v>14</v>
      </c>
      <c r="Q1263">
        <v>4</v>
      </c>
      <c r="R1263" s="8">
        <f>(Tabela2[[#This Row],[FAF_atividade_fisica_frequente_em_horas]]+ 0.1)</f>
        <v>0.83218599999999998</v>
      </c>
      <c r="S1263" s="1">
        <f>(Tabela2[[#This Row],[TUE_tempo_uso_aparelhos_em_horas]]/Tabela2[[#This Row],[FAF_Var]])</f>
        <v>1.2016544378300045</v>
      </c>
      <c r="T1263">
        <f>(Tabela2[[#This Row],[CAEC_lanche_entre_refeicoes]]*Tabela2[[#This Row],[FAVC_consumo_frequente_de_alimentos_mt_caloricos]])</f>
        <v>1</v>
      </c>
      <c r="U1263" s="1">
        <f>IF(OR(Tabela2[[#This Row],[MTRANS]]="Walking",Tabela2[[#This Row],[MTRANS]]="Bike"),Tabela2[[#This Row],[FAF_atividade_fisica_frequente_em_horas]]+1,M1263)</f>
        <v>0.732186</v>
      </c>
      <c r="V1263">
        <f>(Tabela2[[#This Row],[SMOKE]]+Tabela2[[#This Row],[CALC_bebe_alcool_frequentemente]])</f>
        <v>1</v>
      </c>
      <c r="W1263" s="8">
        <f>(Tabela2[[#This Row],[Weight]]/(Tabela2[[#This Row],[Height]] ^2))</f>
        <v>31.815462293594674</v>
      </c>
    </row>
    <row r="1264" spans="1:23" x14ac:dyDescent="0.25">
      <c r="A1264" t="s">
        <v>15</v>
      </c>
      <c r="B1264" s="7">
        <v>22.277858999999999</v>
      </c>
      <c r="C1264" s="4">
        <v>1.947406</v>
      </c>
      <c r="D1264" s="7">
        <v>116.89310500000001</v>
      </c>
      <c r="E1264">
        <v>1</v>
      </c>
      <c r="F1264">
        <v>1</v>
      </c>
      <c r="G1264" s="2">
        <v>2</v>
      </c>
      <c r="H1264" s="2">
        <v>3</v>
      </c>
      <c r="I1264">
        <v>1</v>
      </c>
      <c r="J1264">
        <v>0</v>
      </c>
      <c r="K1264" s="2">
        <v>3</v>
      </c>
      <c r="L1264">
        <v>0</v>
      </c>
      <c r="M1264" s="7">
        <v>0.97518700000000003</v>
      </c>
      <c r="N1264" s="7">
        <v>1</v>
      </c>
      <c r="O1264">
        <v>1</v>
      </c>
      <c r="P1264" t="s">
        <v>14</v>
      </c>
      <c r="Q1264">
        <v>4</v>
      </c>
      <c r="R1264" s="8">
        <f>(Tabela2[[#This Row],[FAF_atividade_fisica_frequente_em_horas]]+ 0.1)</f>
        <v>1.0751870000000001</v>
      </c>
      <c r="S1264" s="1">
        <f>(Tabela2[[#This Row],[TUE_tempo_uso_aparelhos_em_horas]]/Tabela2[[#This Row],[FAF_Var]])</f>
        <v>0.93007076908481956</v>
      </c>
      <c r="T1264">
        <f>(Tabela2[[#This Row],[CAEC_lanche_entre_refeicoes]]*Tabela2[[#This Row],[FAVC_consumo_frequente_de_alimentos_mt_caloricos]])</f>
        <v>1</v>
      </c>
      <c r="U1264" s="1">
        <f>IF(OR(Tabela2[[#This Row],[MTRANS]]="Walking",Tabela2[[#This Row],[MTRANS]]="Bike"),Tabela2[[#This Row],[FAF_atividade_fisica_frequente_em_horas]]+1,M1264)</f>
        <v>0.97518700000000003</v>
      </c>
      <c r="V1264">
        <f>(Tabela2[[#This Row],[SMOKE]]+Tabela2[[#This Row],[CALC_bebe_alcool_frequentemente]])</f>
        <v>1</v>
      </c>
      <c r="W1264" s="8">
        <f>(Tabela2[[#This Row],[Weight]]/(Tabela2[[#This Row],[Height]] ^2))</f>
        <v>30.823069628619159</v>
      </c>
    </row>
    <row r="1265" spans="1:23" x14ac:dyDescent="0.25">
      <c r="A1265" t="s">
        <v>13</v>
      </c>
      <c r="B1265" s="7">
        <v>37.832948999999999</v>
      </c>
      <c r="C1265" s="4">
        <v>1.610867</v>
      </c>
      <c r="D1265" s="7">
        <v>80</v>
      </c>
      <c r="E1265">
        <v>1</v>
      </c>
      <c r="F1265">
        <v>1</v>
      </c>
      <c r="G1265" s="2">
        <v>2.036613</v>
      </c>
      <c r="H1265" s="2">
        <v>1.81698</v>
      </c>
      <c r="I1265">
        <v>1</v>
      </c>
      <c r="J1265">
        <v>0</v>
      </c>
      <c r="K1265" s="2">
        <v>1.93059</v>
      </c>
      <c r="L1265">
        <v>0</v>
      </c>
      <c r="M1265" s="7">
        <v>1.851404</v>
      </c>
      <c r="N1265" s="7">
        <v>0</v>
      </c>
      <c r="O1265">
        <v>1</v>
      </c>
      <c r="P1265" t="s">
        <v>17</v>
      </c>
      <c r="Q1265">
        <v>4</v>
      </c>
      <c r="R1265" s="8">
        <f>(Tabela2[[#This Row],[FAF_atividade_fisica_frequente_em_horas]]+ 0.1)</f>
        <v>1.9514040000000001</v>
      </c>
      <c r="S1265" s="1">
        <f>(Tabela2[[#This Row],[TUE_tempo_uso_aparelhos_em_horas]]/Tabela2[[#This Row],[FAF_Var]])</f>
        <v>0</v>
      </c>
      <c r="T1265">
        <f>(Tabela2[[#This Row],[CAEC_lanche_entre_refeicoes]]*Tabela2[[#This Row],[FAVC_consumo_frequente_de_alimentos_mt_caloricos]])</f>
        <v>1</v>
      </c>
      <c r="U1265" s="1">
        <f>IF(OR(Tabela2[[#This Row],[MTRANS]]="Walking",Tabela2[[#This Row],[MTRANS]]="Bike"),Tabela2[[#This Row],[FAF_atividade_fisica_frequente_em_horas]]+1,M1265)</f>
        <v>1.851404</v>
      </c>
      <c r="V1265">
        <f>(Tabela2[[#This Row],[SMOKE]]+Tabela2[[#This Row],[CALC_bebe_alcool_frequentemente]])</f>
        <v>1</v>
      </c>
      <c r="W1265" s="8">
        <f>(Tabela2[[#This Row],[Weight]]/(Tabela2[[#This Row],[Height]] ^2))</f>
        <v>30.829793625834757</v>
      </c>
    </row>
    <row r="1266" spans="1:23" x14ac:dyDescent="0.25">
      <c r="A1266" t="s">
        <v>13</v>
      </c>
      <c r="B1266" s="7">
        <v>37.631768999999998</v>
      </c>
      <c r="C1266" s="4">
        <v>1.5132019999999999</v>
      </c>
      <c r="D1266" s="7">
        <v>75.410646999999997</v>
      </c>
      <c r="E1266">
        <v>1</v>
      </c>
      <c r="F1266">
        <v>1</v>
      </c>
      <c r="G1266" s="2">
        <v>2</v>
      </c>
      <c r="H1266" s="2">
        <v>2.5825909999999999</v>
      </c>
      <c r="I1266">
        <v>1</v>
      </c>
      <c r="J1266">
        <v>0</v>
      </c>
      <c r="K1266" s="2">
        <v>1.535134</v>
      </c>
      <c r="L1266">
        <v>0</v>
      </c>
      <c r="M1266" s="7">
        <v>1.88452</v>
      </c>
      <c r="N1266" s="7">
        <v>0</v>
      </c>
      <c r="O1266">
        <v>1</v>
      </c>
      <c r="P1266" t="s">
        <v>17</v>
      </c>
      <c r="Q1266">
        <v>4</v>
      </c>
      <c r="R1266" s="8">
        <f>(Tabela2[[#This Row],[FAF_atividade_fisica_frequente_em_horas]]+ 0.1)</f>
        <v>1.9845200000000001</v>
      </c>
      <c r="S1266" s="1">
        <f>(Tabela2[[#This Row],[TUE_tempo_uso_aparelhos_em_horas]]/Tabela2[[#This Row],[FAF_Var]])</f>
        <v>0</v>
      </c>
      <c r="T1266">
        <f>(Tabela2[[#This Row],[CAEC_lanche_entre_refeicoes]]*Tabela2[[#This Row],[FAVC_consumo_frequente_de_alimentos_mt_caloricos]])</f>
        <v>1</v>
      </c>
      <c r="U1266" s="1">
        <f>IF(OR(Tabela2[[#This Row],[MTRANS]]="Walking",Tabela2[[#This Row],[MTRANS]]="Bike"),Tabela2[[#This Row],[FAF_atividade_fisica_frequente_em_horas]]+1,M1266)</f>
        <v>1.88452</v>
      </c>
      <c r="V1266">
        <f>(Tabela2[[#This Row],[SMOKE]]+Tabela2[[#This Row],[CALC_bebe_alcool_frequentemente]])</f>
        <v>1</v>
      </c>
      <c r="W1266" s="8">
        <f>(Tabela2[[#This Row],[Weight]]/(Tabela2[[#This Row],[Height]] ^2))</f>
        <v>32.933573250232783</v>
      </c>
    </row>
    <row r="1267" spans="1:23" x14ac:dyDescent="0.25">
      <c r="A1267" t="s">
        <v>15</v>
      </c>
      <c r="B1267" s="7">
        <v>17.6739</v>
      </c>
      <c r="C1267" s="4">
        <v>1.7384649999999999</v>
      </c>
      <c r="D1267" s="7">
        <v>97.185473999999999</v>
      </c>
      <c r="E1267">
        <v>1</v>
      </c>
      <c r="F1267">
        <v>1</v>
      </c>
      <c r="G1267" s="2">
        <v>2</v>
      </c>
      <c r="H1267" s="2">
        <v>3</v>
      </c>
      <c r="I1267">
        <v>1</v>
      </c>
      <c r="J1267">
        <v>0</v>
      </c>
      <c r="K1267" s="2">
        <v>2</v>
      </c>
      <c r="L1267">
        <v>0</v>
      </c>
      <c r="M1267" s="7">
        <v>0</v>
      </c>
      <c r="N1267" s="7">
        <v>0.23331399999999999</v>
      </c>
      <c r="O1267">
        <v>0</v>
      </c>
      <c r="P1267" t="s">
        <v>14</v>
      </c>
      <c r="Q1267">
        <v>4</v>
      </c>
      <c r="R1267" s="8">
        <f>(Tabela2[[#This Row],[FAF_atividade_fisica_frequente_em_horas]]+ 0.1)</f>
        <v>0.1</v>
      </c>
      <c r="S1267" s="1">
        <f>(Tabela2[[#This Row],[TUE_tempo_uso_aparelhos_em_horas]]/Tabela2[[#This Row],[FAF_Var]])</f>
        <v>2.3331399999999998</v>
      </c>
      <c r="T1267">
        <f>(Tabela2[[#This Row],[CAEC_lanche_entre_refeicoes]]*Tabela2[[#This Row],[FAVC_consumo_frequente_de_alimentos_mt_caloricos]])</f>
        <v>1</v>
      </c>
      <c r="U1267" s="1">
        <f>IF(OR(Tabela2[[#This Row],[MTRANS]]="Walking",Tabela2[[#This Row],[MTRANS]]="Bike"),Tabela2[[#This Row],[FAF_atividade_fisica_frequente_em_horas]]+1,M1267)</f>
        <v>0</v>
      </c>
      <c r="V1267">
        <f>(Tabela2[[#This Row],[SMOKE]]+Tabela2[[#This Row],[CALC_bebe_alcool_frequentemente]])</f>
        <v>0</v>
      </c>
      <c r="W1267" s="8">
        <f>(Tabela2[[#This Row],[Weight]]/(Tabela2[[#This Row],[Height]] ^2))</f>
        <v>32.156550433689603</v>
      </c>
    </row>
    <row r="1268" spans="1:23" x14ac:dyDescent="0.25">
      <c r="A1268" t="s">
        <v>13</v>
      </c>
      <c r="B1268" s="7">
        <v>37.524551000000002</v>
      </c>
      <c r="C1268" s="4">
        <v>1.5679149999999999</v>
      </c>
      <c r="D1268" s="7">
        <v>76.129784000000001</v>
      </c>
      <c r="E1268">
        <v>1</v>
      </c>
      <c r="F1268">
        <v>1</v>
      </c>
      <c r="G1268" s="2">
        <v>2</v>
      </c>
      <c r="H1268" s="2">
        <v>3</v>
      </c>
      <c r="I1268">
        <v>1</v>
      </c>
      <c r="J1268">
        <v>0</v>
      </c>
      <c r="K1268" s="2">
        <v>2.102976</v>
      </c>
      <c r="L1268">
        <v>0</v>
      </c>
      <c r="M1268" s="7">
        <v>0</v>
      </c>
      <c r="N1268" s="7">
        <v>0</v>
      </c>
      <c r="O1268">
        <v>1</v>
      </c>
      <c r="P1268" t="s">
        <v>17</v>
      </c>
      <c r="Q1268">
        <v>4</v>
      </c>
      <c r="R1268" s="8">
        <f>(Tabela2[[#This Row],[FAF_atividade_fisica_frequente_em_horas]]+ 0.1)</f>
        <v>0.1</v>
      </c>
      <c r="S1268" s="1">
        <f>(Tabela2[[#This Row],[TUE_tempo_uso_aparelhos_em_horas]]/Tabela2[[#This Row],[FAF_Var]])</f>
        <v>0</v>
      </c>
      <c r="T1268">
        <f>(Tabela2[[#This Row],[CAEC_lanche_entre_refeicoes]]*Tabela2[[#This Row],[FAVC_consumo_frequente_de_alimentos_mt_caloricos]])</f>
        <v>1</v>
      </c>
      <c r="U1268" s="1">
        <f>IF(OR(Tabela2[[#This Row],[MTRANS]]="Walking",Tabela2[[#This Row],[MTRANS]]="Bike"),Tabela2[[#This Row],[FAF_atividade_fisica_frequente_em_horas]]+1,M1268)</f>
        <v>0</v>
      </c>
      <c r="V1268">
        <f>(Tabela2[[#This Row],[SMOKE]]+Tabela2[[#This Row],[CALC_bebe_alcool_frequentemente]])</f>
        <v>1</v>
      </c>
      <c r="W1268" s="8">
        <f>(Tabela2[[#This Row],[Weight]]/(Tabela2[[#This Row],[Height]] ^2))</f>
        <v>30.967743964953304</v>
      </c>
    </row>
    <row r="1269" spans="1:23" x14ac:dyDescent="0.25">
      <c r="A1269" t="s">
        <v>13</v>
      </c>
      <c r="B1269" s="7">
        <v>43.510672</v>
      </c>
      <c r="C1269" s="4">
        <v>1.5875459999999999</v>
      </c>
      <c r="D1269" s="7">
        <v>76.126112000000006</v>
      </c>
      <c r="E1269">
        <v>1</v>
      </c>
      <c r="F1269">
        <v>1</v>
      </c>
      <c r="G1269" s="2">
        <v>2</v>
      </c>
      <c r="H1269" s="2">
        <v>3</v>
      </c>
      <c r="I1269">
        <v>1</v>
      </c>
      <c r="J1269">
        <v>0</v>
      </c>
      <c r="K1269" s="2">
        <v>2.0919340000000002</v>
      </c>
      <c r="L1269">
        <v>0</v>
      </c>
      <c r="M1269" s="7">
        <v>0</v>
      </c>
      <c r="N1269" s="7">
        <v>0</v>
      </c>
      <c r="O1269">
        <v>1</v>
      </c>
      <c r="P1269" t="s">
        <v>17</v>
      </c>
      <c r="Q1269">
        <v>4</v>
      </c>
      <c r="R1269" s="8">
        <f>(Tabela2[[#This Row],[FAF_atividade_fisica_frequente_em_horas]]+ 0.1)</f>
        <v>0.1</v>
      </c>
      <c r="S1269" s="1">
        <f>(Tabela2[[#This Row],[TUE_tempo_uso_aparelhos_em_horas]]/Tabela2[[#This Row],[FAF_Var]])</f>
        <v>0</v>
      </c>
      <c r="T1269">
        <f>(Tabela2[[#This Row],[CAEC_lanche_entre_refeicoes]]*Tabela2[[#This Row],[FAVC_consumo_frequente_de_alimentos_mt_caloricos]])</f>
        <v>1</v>
      </c>
      <c r="U1269" s="1">
        <f>IF(OR(Tabela2[[#This Row],[MTRANS]]="Walking",Tabela2[[#This Row],[MTRANS]]="Bike"),Tabela2[[#This Row],[FAF_atividade_fisica_frequente_em_horas]]+1,M1269)</f>
        <v>0</v>
      </c>
      <c r="V1269">
        <f>(Tabela2[[#This Row],[SMOKE]]+Tabela2[[#This Row],[CALC_bebe_alcool_frequentemente]])</f>
        <v>1</v>
      </c>
      <c r="W1269" s="8">
        <f>(Tabela2[[#This Row],[Weight]]/(Tabela2[[#This Row],[Height]] ^2))</f>
        <v>30.205151158289983</v>
      </c>
    </row>
    <row r="1270" spans="1:23" x14ac:dyDescent="0.25">
      <c r="A1270" t="s">
        <v>15</v>
      </c>
      <c r="B1270" s="7">
        <v>18</v>
      </c>
      <c r="C1270" s="4">
        <v>1.8203849999999999</v>
      </c>
      <c r="D1270" s="7">
        <v>108.395005</v>
      </c>
      <c r="E1270">
        <v>1</v>
      </c>
      <c r="F1270">
        <v>1</v>
      </c>
      <c r="G1270" s="2">
        <v>2</v>
      </c>
      <c r="H1270" s="2">
        <v>2.1648390000000002</v>
      </c>
      <c r="I1270">
        <v>1</v>
      </c>
      <c r="J1270">
        <v>0</v>
      </c>
      <c r="K1270" s="2">
        <v>2.0944790000000002</v>
      </c>
      <c r="L1270">
        <v>0</v>
      </c>
      <c r="M1270" s="7">
        <v>1</v>
      </c>
      <c r="N1270" s="7">
        <v>0.67655699999999996</v>
      </c>
      <c r="O1270">
        <v>1</v>
      </c>
      <c r="P1270" t="s">
        <v>14</v>
      </c>
      <c r="Q1270">
        <v>4</v>
      </c>
      <c r="R1270" s="8">
        <f>(Tabela2[[#This Row],[FAF_atividade_fisica_frequente_em_horas]]+ 0.1)</f>
        <v>1.1000000000000001</v>
      </c>
      <c r="S1270" s="1">
        <f>(Tabela2[[#This Row],[TUE_tempo_uso_aparelhos_em_horas]]/Tabela2[[#This Row],[FAF_Var]])</f>
        <v>0.61505181818181809</v>
      </c>
      <c r="T1270">
        <f>(Tabela2[[#This Row],[CAEC_lanche_entre_refeicoes]]*Tabela2[[#This Row],[FAVC_consumo_frequente_de_alimentos_mt_caloricos]])</f>
        <v>1</v>
      </c>
      <c r="U1270" s="1">
        <f>IF(OR(Tabela2[[#This Row],[MTRANS]]="Walking",Tabela2[[#This Row],[MTRANS]]="Bike"),Tabela2[[#This Row],[FAF_atividade_fisica_frequente_em_horas]]+1,M1270)</f>
        <v>1</v>
      </c>
      <c r="V1270">
        <f>(Tabela2[[#This Row],[SMOKE]]+Tabela2[[#This Row],[CALC_bebe_alcool_frequentemente]])</f>
        <v>1</v>
      </c>
      <c r="W1270" s="8">
        <f>(Tabela2[[#This Row],[Weight]]/(Tabela2[[#This Row],[Height]] ^2))</f>
        <v>32.710167891031539</v>
      </c>
    </row>
    <row r="1271" spans="1:23" x14ac:dyDescent="0.25">
      <c r="A1271" t="s">
        <v>15</v>
      </c>
      <c r="B1271" s="7">
        <v>18</v>
      </c>
      <c r="C1271" s="4">
        <v>1.7922389999999999</v>
      </c>
      <c r="D1271" s="7">
        <v>108.244379</v>
      </c>
      <c r="E1271">
        <v>1</v>
      </c>
      <c r="F1271">
        <v>1</v>
      </c>
      <c r="G1271" s="2">
        <v>2</v>
      </c>
      <c r="H1271" s="2">
        <v>2.141839</v>
      </c>
      <c r="I1271">
        <v>1</v>
      </c>
      <c r="J1271">
        <v>0</v>
      </c>
      <c r="K1271" s="2">
        <v>2.9398469999999999</v>
      </c>
      <c r="L1271">
        <v>0</v>
      </c>
      <c r="M1271" s="7">
        <v>1</v>
      </c>
      <c r="N1271" s="7">
        <v>0.10305599999999999</v>
      </c>
      <c r="O1271">
        <v>1</v>
      </c>
      <c r="P1271" t="s">
        <v>14</v>
      </c>
      <c r="Q1271">
        <v>4</v>
      </c>
      <c r="R1271" s="8">
        <f>(Tabela2[[#This Row],[FAF_atividade_fisica_frequente_em_horas]]+ 0.1)</f>
        <v>1.1000000000000001</v>
      </c>
      <c r="S1271" s="1">
        <f>(Tabela2[[#This Row],[TUE_tempo_uso_aparelhos_em_horas]]/Tabela2[[#This Row],[FAF_Var]])</f>
        <v>9.3687272727272716E-2</v>
      </c>
      <c r="T1271">
        <f>(Tabela2[[#This Row],[CAEC_lanche_entre_refeicoes]]*Tabela2[[#This Row],[FAVC_consumo_frequente_de_alimentos_mt_caloricos]])</f>
        <v>1</v>
      </c>
      <c r="U1271" s="1">
        <f>IF(OR(Tabela2[[#This Row],[MTRANS]]="Walking",Tabela2[[#This Row],[MTRANS]]="Bike"),Tabela2[[#This Row],[FAF_atividade_fisica_frequente_em_horas]]+1,M1271)</f>
        <v>1</v>
      </c>
      <c r="V1271">
        <f>(Tabela2[[#This Row],[SMOKE]]+Tabela2[[#This Row],[CALC_bebe_alcool_frequentemente]])</f>
        <v>1</v>
      </c>
      <c r="W1271" s="8">
        <f>(Tabela2[[#This Row],[Weight]]/(Tabela2[[#This Row],[Height]] ^2))</f>
        <v>33.698727838507821</v>
      </c>
    </row>
    <row r="1272" spans="1:23" x14ac:dyDescent="0.25">
      <c r="A1272" t="s">
        <v>15</v>
      </c>
      <c r="B1272" s="7">
        <v>29.506287</v>
      </c>
      <c r="C1272" s="4">
        <v>1.82697</v>
      </c>
      <c r="D1272" s="7">
        <v>108.751502</v>
      </c>
      <c r="E1272">
        <v>1</v>
      </c>
      <c r="F1272">
        <v>1</v>
      </c>
      <c r="G1272" s="2">
        <v>2</v>
      </c>
      <c r="H1272" s="2">
        <v>2.877583</v>
      </c>
      <c r="I1272">
        <v>1</v>
      </c>
      <c r="J1272">
        <v>0</v>
      </c>
      <c r="K1272" s="2">
        <v>2.3580380000000001</v>
      </c>
      <c r="L1272">
        <v>0</v>
      </c>
      <c r="M1272" s="7">
        <v>0.87729500000000005</v>
      </c>
      <c r="N1272" s="7">
        <v>1.8171459999999999</v>
      </c>
      <c r="O1272">
        <v>1</v>
      </c>
      <c r="P1272" t="s">
        <v>17</v>
      </c>
      <c r="Q1272">
        <v>4</v>
      </c>
      <c r="R1272" s="8">
        <f>(Tabela2[[#This Row],[FAF_atividade_fisica_frequente_em_horas]]+ 0.1)</f>
        <v>0.97729500000000002</v>
      </c>
      <c r="S1272" s="1">
        <f>(Tabela2[[#This Row],[TUE_tempo_uso_aparelhos_em_horas]]/Tabela2[[#This Row],[FAF_Var]])</f>
        <v>1.8593628331261287</v>
      </c>
      <c r="T1272">
        <f>(Tabela2[[#This Row],[CAEC_lanche_entre_refeicoes]]*Tabela2[[#This Row],[FAVC_consumo_frequente_de_alimentos_mt_caloricos]])</f>
        <v>1</v>
      </c>
      <c r="U1272" s="1">
        <f>IF(OR(Tabela2[[#This Row],[MTRANS]]="Walking",Tabela2[[#This Row],[MTRANS]]="Bike"),Tabela2[[#This Row],[FAF_atividade_fisica_frequente_em_horas]]+1,M1272)</f>
        <v>0.87729500000000005</v>
      </c>
      <c r="V1272">
        <f>(Tabela2[[#This Row],[SMOKE]]+Tabela2[[#This Row],[CALC_bebe_alcool_frequentemente]])</f>
        <v>1</v>
      </c>
      <c r="W1272" s="8">
        <f>(Tabela2[[#This Row],[Weight]]/(Tabela2[[#This Row],[Height]] ^2))</f>
        <v>32.581601815337464</v>
      </c>
    </row>
    <row r="1273" spans="1:23" x14ac:dyDescent="0.25">
      <c r="A1273" t="s">
        <v>13</v>
      </c>
      <c r="B1273" s="7">
        <v>18</v>
      </c>
      <c r="C1273" s="4">
        <v>1.670058</v>
      </c>
      <c r="D1273" s="7">
        <v>86.242678999999995</v>
      </c>
      <c r="E1273">
        <v>1</v>
      </c>
      <c r="F1273">
        <v>1</v>
      </c>
      <c r="G1273" s="2">
        <v>2.6091229999999999</v>
      </c>
      <c r="H1273" s="2">
        <v>3</v>
      </c>
      <c r="I1273">
        <v>1</v>
      </c>
      <c r="J1273">
        <v>0</v>
      </c>
      <c r="K1273" s="2">
        <v>1.9550529999999999</v>
      </c>
      <c r="L1273">
        <v>0</v>
      </c>
      <c r="M1273" s="7">
        <v>1.186013</v>
      </c>
      <c r="N1273" s="7">
        <v>0</v>
      </c>
      <c r="O1273">
        <v>0</v>
      </c>
      <c r="P1273" t="s">
        <v>14</v>
      </c>
      <c r="Q1273">
        <v>4</v>
      </c>
      <c r="R1273" s="8">
        <f>(Tabela2[[#This Row],[FAF_atividade_fisica_frequente_em_horas]]+ 0.1)</f>
        <v>1.2860130000000001</v>
      </c>
      <c r="S1273" s="1">
        <f>(Tabela2[[#This Row],[TUE_tempo_uso_aparelhos_em_horas]]/Tabela2[[#This Row],[FAF_Var]])</f>
        <v>0</v>
      </c>
      <c r="T1273">
        <f>(Tabela2[[#This Row],[CAEC_lanche_entre_refeicoes]]*Tabela2[[#This Row],[FAVC_consumo_frequente_de_alimentos_mt_caloricos]])</f>
        <v>1</v>
      </c>
      <c r="U1273" s="1">
        <f>IF(OR(Tabela2[[#This Row],[MTRANS]]="Walking",Tabela2[[#This Row],[MTRANS]]="Bike"),Tabela2[[#This Row],[FAF_atividade_fisica_frequente_em_horas]]+1,M1273)</f>
        <v>1.186013</v>
      </c>
      <c r="V1273">
        <f>(Tabela2[[#This Row],[SMOKE]]+Tabela2[[#This Row],[CALC_bebe_alcool_frequentemente]])</f>
        <v>0</v>
      </c>
      <c r="W1273" s="8">
        <f>(Tabela2[[#This Row],[Weight]]/(Tabela2[[#This Row],[Height]] ^2))</f>
        <v>30.921398688596383</v>
      </c>
    </row>
    <row r="1274" spans="1:23" x14ac:dyDescent="0.25">
      <c r="A1274" t="s">
        <v>15</v>
      </c>
      <c r="B1274" s="7">
        <v>24.733308000000001</v>
      </c>
      <c r="C1274" s="4">
        <v>1.639383</v>
      </c>
      <c r="D1274" s="7">
        <v>91.267087000000004</v>
      </c>
      <c r="E1274">
        <v>1</v>
      </c>
      <c r="F1274">
        <v>1</v>
      </c>
      <c r="G1274" s="2">
        <v>1.0361590000000001</v>
      </c>
      <c r="H1274" s="2">
        <v>3</v>
      </c>
      <c r="I1274">
        <v>1</v>
      </c>
      <c r="J1274">
        <v>0</v>
      </c>
      <c r="K1274" s="2">
        <v>1</v>
      </c>
      <c r="L1274">
        <v>0</v>
      </c>
      <c r="M1274" s="7">
        <v>0.34401300000000001</v>
      </c>
      <c r="N1274" s="7">
        <v>0.32936700000000002</v>
      </c>
      <c r="O1274">
        <v>1</v>
      </c>
      <c r="P1274" t="s">
        <v>17</v>
      </c>
      <c r="Q1274">
        <v>4</v>
      </c>
      <c r="R1274" s="8">
        <f>(Tabela2[[#This Row],[FAF_atividade_fisica_frequente_em_horas]]+ 0.1)</f>
        <v>0.44401299999999999</v>
      </c>
      <c r="S1274" s="1">
        <f>(Tabela2[[#This Row],[TUE_tempo_uso_aparelhos_em_horas]]/Tabela2[[#This Row],[FAF_Var]])</f>
        <v>0.74179584831975642</v>
      </c>
      <c r="T1274">
        <f>(Tabela2[[#This Row],[CAEC_lanche_entre_refeicoes]]*Tabela2[[#This Row],[FAVC_consumo_frequente_de_alimentos_mt_caloricos]])</f>
        <v>1</v>
      </c>
      <c r="U1274" s="1">
        <f>IF(OR(Tabela2[[#This Row],[MTRANS]]="Walking",Tabela2[[#This Row],[MTRANS]]="Bike"),Tabela2[[#This Row],[FAF_atividade_fisica_frequente_em_horas]]+1,M1274)</f>
        <v>0.34401300000000001</v>
      </c>
      <c r="V1274">
        <f>(Tabela2[[#This Row],[SMOKE]]+Tabela2[[#This Row],[CALC_bebe_alcool_frequentemente]])</f>
        <v>1</v>
      </c>
      <c r="W1274" s="8">
        <f>(Tabela2[[#This Row],[Weight]]/(Tabela2[[#This Row],[Height]] ^2))</f>
        <v>33.958878157156441</v>
      </c>
    </row>
    <row r="1275" spans="1:23" x14ac:dyDescent="0.25">
      <c r="A1275" t="s">
        <v>15</v>
      </c>
      <c r="B1275" s="7">
        <v>29</v>
      </c>
      <c r="C1275" s="4">
        <v>1.6829160000000001</v>
      </c>
      <c r="D1275" s="7">
        <v>89.991670999999997</v>
      </c>
      <c r="E1275">
        <v>1</v>
      </c>
      <c r="F1275">
        <v>1</v>
      </c>
      <c r="G1275" s="2">
        <v>1.851262</v>
      </c>
      <c r="H1275" s="2">
        <v>3</v>
      </c>
      <c r="I1275">
        <v>1</v>
      </c>
      <c r="J1275">
        <v>0</v>
      </c>
      <c r="K1275" s="2">
        <v>2.11267</v>
      </c>
      <c r="L1275">
        <v>0</v>
      </c>
      <c r="M1275" s="7">
        <v>0.38826899999999998</v>
      </c>
      <c r="N1275" s="7">
        <v>0</v>
      </c>
      <c r="O1275">
        <v>1</v>
      </c>
      <c r="P1275" t="s">
        <v>17</v>
      </c>
      <c r="Q1275">
        <v>4</v>
      </c>
      <c r="R1275" s="8">
        <f>(Tabela2[[#This Row],[FAF_atividade_fisica_frequente_em_horas]]+ 0.1)</f>
        <v>0.48826899999999995</v>
      </c>
      <c r="S1275" s="1">
        <f>(Tabela2[[#This Row],[TUE_tempo_uso_aparelhos_em_horas]]/Tabela2[[#This Row],[FAF_Var]])</f>
        <v>0</v>
      </c>
      <c r="T1275">
        <f>(Tabela2[[#This Row],[CAEC_lanche_entre_refeicoes]]*Tabela2[[#This Row],[FAVC_consumo_frequente_de_alimentos_mt_caloricos]])</f>
        <v>1</v>
      </c>
      <c r="U1275" s="1">
        <f>IF(OR(Tabela2[[#This Row],[MTRANS]]="Walking",Tabela2[[#This Row],[MTRANS]]="Bike"),Tabela2[[#This Row],[FAF_atividade_fisica_frequente_em_horas]]+1,M1275)</f>
        <v>0.38826899999999998</v>
      </c>
      <c r="V1275">
        <f>(Tabela2[[#This Row],[SMOKE]]+Tabela2[[#This Row],[CALC_bebe_alcool_frequentemente]])</f>
        <v>1</v>
      </c>
      <c r="W1275" s="8">
        <f>(Tabela2[[#This Row],[Weight]]/(Tabela2[[#This Row],[Height]] ^2))</f>
        <v>31.77440576058094</v>
      </c>
    </row>
    <row r="1276" spans="1:23" x14ac:dyDescent="0.25">
      <c r="A1276" t="s">
        <v>13</v>
      </c>
      <c r="B1276" s="7">
        <v>18</v>
      </c>
      <c r="C1276" s="4">
        <v>1.609321</v>
      </c>
      <c r="D1276" s="7">
        <v>84.493155999999999</v>
      </c>
      <c r="E1276">
        <v>1</v>
      </c>
      <c r="F1276">
        <v>1</v>
      </c>
      <c r="G1276" s="2">
        <v>2</v>
      </c>
      <c r="H1276" s="2">
        <v>3</v>
      </c>
      <c r="I1276">
        <v>1</v>
      </c>
      <c r="J1276">
        <v>0</v>
      </c>
      <c r="K1276" s="2">
        <v>1.0517350000000001</v>
      </c>
      <c r="L1276">
        <v>0</v>
      </c>
      <c r="M1276" s="7">
        <v>1</v>
      </c>
      <c r="N1276" s="7">
        <v>0</v>
      </c>
      <c r="O1276">
        <v>0</v>
      </c>
      <c r="P1276" t="s">
        <v>14</v>
      </c>
      <c r="Q1276">
        <v>4</v>
      </c>
      <c r="R1276" s="8">
        <f>(Tabela2[[#This Row],[FAF_atividade_fisica_frequente_em_horas]]+ 0.1)</f>
        <v>1.1000000000000001</v>
      </c>
      <c r="S1276" s="1">
        <f>(Tabela2[[#This Row],[TUE_tempo_uso_aparelhos_em_horas]]/Tabela2[[#This Row],[FAF_Var]])</f>
        <v>0</v>
      </c>
      <c r="T1276">
        <f>(Tabela2[[#This Row],[CAEC_lanche_entre_refeicoes]]*Tabela2[[#This Row],[FAVC_consumo_frequente_de_alimentos_mt_caloricos]])</f>
        <v>1</v>
      </c>
      <c r="U1276" s="1">
        <f>IF(OR(Tabela2[[#This Row],[MTRANS]]="Walking",Tabela2[[#This Row],[MTRANS]]="Bike"),Tabela2[[#This Row],[FAF_atividade_fisica_frequente_em_horas]]+1,M1276)</f>
        <v>1</v>
      </c>
      <c r="V1276">
        <f>(Tabela2[[#This Row],[SMOKE]]+Tabela2[[#This Row],[CALC_bebe_alcool_frequentemente]])</f>
        <v>0</v>
      </c>
      <c r="W1276" s="8">
        <f>(Tabela2[[#This Row],[Weight]]/(Tabela2[[#This Row],[Height]] ^2))</f>
        <v>32.623922399015839</v>
      </c>
    </row>
    <row r="1277" spans="1:23" x14ac:dyDescent="0.25">
      <c r="A1277" t="s">
        <v>15</v>
      </c>
      <c r="B1277" s="7">
        <v>21.098034999999999</v>
      </c>
      <c r="C1277" s="4">
        <v>1.690437</v>
      </c>
      <c r="D1277" s="7">
        <v>96.366776999999999</v>
      </c>
      <c r="E1277">
        <v>1</v>
      </c>
      <c r="F1277">
        <v>1</v>
      </c>
      <c r="G1277" s="2">
        <v>2</v>
      </c>
      <c r="H1277" s="2">
        <v>2.9583300000000001</v>
      </c>
      <c r="I1277">
        <v>1</v>
      </c>
      <c r="J1277">
        <v>0</v>
      </c>
      <c r="K1277" s="2">
        <v>2</v>
      </c>
      <c r="L1277">
        <v>0</v>
      </c>
      <c r="M1277" s="7">
        <v>0</v>
      </c>
      <c r="N1277" s="7">
        <v>1.5953059999999999</v>
      </c>
      <c r="O1277">
        <v>0</v>
      </c>
      <c r="P1277" t="s">
        <v>14</v>
      </c>
      <c r="Q1277">
        <v>4</v>
      </c>
      <c r="R1277" s="8">
        <f>(Tabela2[[#This Row],[FAF_atividade_fisica_frequente_em_horas]]+ 0.1)</f>
        <v>0.1</v>
      </c>
      <c r="S1277" s="1">
        <f>(Tabela2[[#This Row],[TUE_tempo_uso_aparelhos_em_horas]]/Tabela2[[#This Row],[FAF_Var]])</f>
        <v>15.953059999999999</v>
      </c>
      <c r="T1277">
        <f>(Tabela2[[#This Row],[CAEC_lanche_entre_refeicoes]]*Tabela2[[#This Row],[FAVC_consumo_frequente_de_alimentos_mt_caloricos]])</f>
        <v>1</v>
      </c>
      <c r="U1277" s="1">
        <f>IF(OR(Tabela2[[#This Row],[MTRANS]]="Walking",Tabela2[[#This Row],[MTRANS]]="Bike"),Tabela2[[#This Row],[FAF_atividade_fisica_frequente_em_horas]]+1,M1277)</f>
        <v>0</v>
      </c>
      <c r="V1277">
        <f>(Tabela2[[#This Row],[SMOKE]]+Tabela2[[#This Row],[CALC_bebe_alcool_frequentemente]])</f>
        <v>0</v>
      </c>
      <c r="W1277" s="8">
        <f>(Tabela2[[#This Row],[Weight]]/(Tabela2[[#This Row],[Height]] ^2))</f>
        <v>33.72324474074049</v>
      </c>
    </row>
    <row r="1278" spans="1:23" x14ac:dyDescent="0.25">
      <c r="A1278" t="s">
        <v>15</v>
      </c>
      <c r="B1278" s="7">
        <v>19.089594999999999</v>
      </c>
      <c r="C1278" s="4">
        <v>1.700164</v>
      </c>
      <c r="D1278" s="7">
        <v>99.204695000000001</v>
      </c>
      <c r="E1278">
        <v>1</v>
      </c>
      <c r="F1278">
        <v>1</v>
      </c>
      <c r="G1278" s="2">
        <v>2</v>
      </c>
      <c r="H1278" s="2">
        <v>2.1198260000000002</v>
      </c>
      <c r="I1278">
        <v>1</v>
      </c>
      <c r="J1278">
        <v>0</v>
      </c>
      <c r="K1278" s="2">
        <v>2</v>
      </c>
      <c r="L1278">
        <v>0</v>
      </c>
      <c r="M1278" s="7">
        <v>0</v>
      </c>
      <c r="N1278" s="7">
        <v>1.882539</v>
      </c>
      <c r="O1278">
        <v>0</v>
      </c>
      <c r="P1278" t="s">
        <v>14</v>
      </c>
      <c r="Q1278">
        <v>4</v>
      </c>
      <c r="R1278" s="8">
        <f>(Tabela2[[#This Row],[FAF_atividade_fisica_frequente_em_horas]]+ 0.1)</f>
        <v>0.1</v>
      </c>
      <c r="S1278" s="1">
        <f>(Tabela2[[#This Row],[TUE_tempo_uso_aparelhos_em_horas]]/Tabela2[[#This Row],[FAF_Var]])</f>
        <v>18.825389999999999</v>
      </c>
      <c r="T1278">
        <f>(Tabela2[[#This Row],[CAEC_lanche_entre_refeicoes]]*Tabela2[[#This Row],[FAVC_consumo_frequente_de_alimentos_mt_caloricos]])</f>
        <v>1</v>
      </c>
      <c r="U1278" s="1">
        <f>IF(OR(Tabela2[[#This Row],[MTRANS]]="Walking",Tabela2[[#This Row],[MTRANS]]="Bike"),Tabela2[[#This Row],[FAF_atividade_fisica_frequente_em_horas]]+1,M1278)</f>
        <v>0</v>
      </c>
      <c r="V1278">
        <f>(Tabela2[[#This Row],[SMOKE]]+Tabela2[[#This Row],[CALC_bebe_alcool_frequentemente]])</f>
        <v>0</v>
      </c>
      <c r="W1278" s="8">
        <f>(Tabela2[[#This Row],[Weight]]/(Tabela2[[#This Row],[Height]] ^2))</f>
        <v>34.320261971919273</v>
      </c>
    </row>
    <row r="1279" spans="1:23" x14ac:dyDescent="0.25">
      <c r="A1279" t="s">
        <v>13</v>
      </c>
      <c r="B1279" s="7">
        <v>18.312664999999999</v>
      </c>
      <c r="C1279" s="4">
        <v>1.6007400000000001</v>
      </c>
      <c r="D1279" s="7">
        <v>82.249831</v>
      </c>
      <c r="E1279">
        <v>1</v>
      </c>
      <c r="F1279">
        <v>1</v>
      </c>
      <c r="G1279" s="2">
        <v>2.501236</v>
      </c>
      <c r="H1279" s="2">
        <v>3</v>
      </c>
      <c r="I1279">
        <v>1</v>
      </c>
      <c r="J1279">
        <v>0</v>
      </c>
      <c r="K1279" s="2">
        <v>1.2203310000000001</v>
      </c>
      <c r="L1279">
        <v>0</v>
      </c>
      <c r="M1279" s="7">
        <v>0.245003</v>
      </c>
      <c r="N1279" s="7">
        <v>0.53720199999999996</v>
      </c>
      <c r="O1279">
        <v>0</v>
      </c>
      <c r="P1279" t="s">
        <v>14</v>
      </c>
      <c r="Q1279">
        <v>4</v>
      </c>
      <c r="R1279" s="8">
        <f>(Tabela2[[#This Row],[FAF_atividade_fisica_frequente_em_horas]]+ 0.1)</f>
        <v>0.345003</v>
      </c>
      <c r="S1279" s="1">
        <f>(Tabela2[[#This Row],[TUE_tempo_uso_aparelhos_em_horas]]/Tabela2[[#This Row],[FAF_Var]])</f>
        <v>1.5570937064315382</v>
      </c>
      <c r="T1279">
        <f>(Tabela2[[#This Row],[CAEC_lanche_entre_refeicoes]]*Tabela2[[#This Row],[FAVC_consumo_frequente_de_alimentos_mt_caloricos]])</f>
        <v>1</v>
      </c>
      <c r="U1279" s="1">
        <f>IF(OR(Tabela2[[#This Row],[MTRANS]]="Walking",Tabela2[[#This Row],[MTRANS]]="Bike"),Tabela2[[#This Row],[FAF_atividade_fisica_frequente_em_horas]]+1,M1279)</f>
        <v>0.245003</v>
      </c>
      <c r="V1279">
        <f>(Tabela2[[#This Row],[SMOKE]]+Tabela2[[#This Row],[CALC_bebe_alcool_frequentemente]])</f>
        <v>0</v>
      </c>
      <c r="W1279" s="8">
        <f>(Tabela2[[#This Row],[Weight]]/(Tabela2[[#This Row],[Height]] ^2))</f>
        <v>32.099141662130506</v>
      </c>
    </row>
    <row r="1280" spans="1:23" x14ac:dyDescent="0.25">
      <c r="A1280" t="s">
        <v>15</v>
      </c>
      <c r="B1280" s="7">
        <v>18.260079000000001</v>
      </c>
      <c r="C1280" s="4">
        <v>1.8018479999999999</v>
      </c>
      <c r="D1280" s="7">
        <v>104.74191399999999</v>
      </c>
      <c r="E1280">
        <v>1</v>
      </c>
      <c r="F1280">
        <v>1</v>
      </c>
      <c r="G1280" s="2">
        <v>2</v>
      </c>
      <c r="H1280" s="2">
        <v>3</v>
      </c>
      <c r="I1280">
        <v>1</v>
      </c>
      <c r="J1280">
        <v>0</v>
      </c>
      <c r="K1280" s="2">
        <v>3</v>
      </c>
      <c r="L1280">
        <v>0</v>
      </c>
      <c r="M1280" s="7">
        <v>1.7838579999999999</v>
      </c>
      <c r="N1280" s="7">
        <v>0</v>
      </c>
      <c r="O1280">
        <v>0</v>
      </c>
      <c r="P1280" t="s">
        <v>14</v>
      </c>
      <c r="Q1280">
        <v>4</v>
      </c>
      <c r="R1280" s="8">
        <f>(Tabela2[[#This Row],[FAF_atividade_fisica_frequente_em_horas]]+ 0.1)</f>
        <v>1.883858</v>
      </c>
      <c r="S1280" s="1">
        <f>(Tabela2[[#This Row],[TUE_tempo_uso_aparelhos_em_horas]]/Tabela2[[#This Row],[FAF_Var]])</f>
        <v>0</v>
      </c>
      <c r="T1280">
        <f>(Tabela2[[#This Row],[CAEC_lanche_entre_refeicoes]]*Tabela2[[#This Row],[FAVC_consumo_frequente_de_alimentos_mt_caloricos]])</f>
        <v>1</v>
      </c>
      <c r="U1280" s="1">
        <f>IF(OR(Tabela2[[#This Row],[MTRANS]]="Walking",Tabela2[[#This Row],[MTRANS]]="Bike"),Tabela2[[#This Row],[FAF_atividade_fisica_frequente_em_horas]]+1,M1280)</f>
        <v>1.7838579999999999</v>
      </c>
      <c r="V1280">
        <f>(Tabela2[[#This Row],[SMOKE]]+Tabela2[[#This Row],[CALC_bebe_alcool_frequentemente]])</f>
        <v>0</v>
      </c>
      <c r="W1280" s="8">
        <f>(Tabela2[[#This Row],[Weight]]/(Tabela2[[#This Row],[Height]] ^2))</f>
        <v>32.261473670271187</v>
      </c>
    </row>
    <row r="1281" spans="1:23" x14ac:dyDescent="0.25">
      <c r="A1281" t="s">
        <v>15</v>
      </c>
      <c r="B1281" s="7">
        <v>26.004294000000002</v>
      </c>
      <c r="C1281" s="4">
        <v>1.844751</v>
      </c>
      <c r="D1281" s="7">
        <v>105.025808</v>
      </c>
      <c r="E1281">
        <v>1</v>
      </c>
      <c r="F1281">
        <v>1</v>
      </c>
      <c r="G1281" s="2">
        <v>3</v>
      </c>
      <c r="H1281" s="2">
        <v>3</v>
      </c>
      <c r="I1281">
        <v>1</v>
      </c>
      <c r="J1281">
        <v>0</v>
      </c>
      <c r="K1281" s="2">
        <v>2.9250289999999999</v>
      </c>
      <c r="L1281">
        <v>0</v>
      </c>
      <c r="M1281" s="7">
        <v>2</v>
      </c>
      <c r="N1281" s="7">
        <v>1.7588649999999999</v>
      </c>
      <c r="O1281">
        <v>1</v>
      </c>
      <c r="P1281" t="s">
        <v>14</v>
      </c>
      <c r="Q1281">
        <v>4</v>
      </c>
      <c r="R1281" s="8">
        <f>(Tabela2[[#This Row],[FAF_atividade_fisica_frequente_em_horas]]+ 0.1)</f>
        <v>2.1</v>
      </c>
      <c r="S1281" s="1">
        <f>(Tabela2[[#This Row],[TUE_tempo_uso_aparelhos_em_horas]]/Tabela2[[#This Row],[FAF_Var]])</f>
        <v>0.83755476190476186</v>
      </c>
      <c r="T1281">
        <f>(Tabela2[[#This Row],[CAEC_lanche_entre_refeicoes]]*Tabela2[[#This Row],[FAVC_consumo_frequente_de_alimentos_mt_caloricos]])</f>
        <v>1</v>
      </c>
      <c r="U1281" s="1">
        <f>IF(OR(Tabela2[[#This Row],[MTRANS]]="Walking",Tabela2[[#This Row],[MTRANS]]="Bike"),Tabela2[[#This Row],[FAF_atividade_fisica_frequente_em_horas]]+1,M1281)</f>
        <v>2</v>
      </c>
      <c r="V1281">
        <f>(Tabela2[[#This Row],[SMOKE]]+Tabela2[[#This Row],[CALC_bebe_alcool_frequentemente]])</f>
        <v>1</v>
      </c>
      <c r="W1281" s="8">
        <f>(Tabela2[[#This Row],[Weight]]/(Tabela2[[#This Row],[Height]] ^2))</f>
        <v>30.861748127389685</v>
      </c>
    </row>
    <row r="1282" spans="1:23" x14ac:dyDescent="0.25">
      <c r="A1282" t="s">
        <v>15</v>
      </c>
      <c r="B1282" s="7">
        <v>25.994745999999999</v>
      </c>
      <c r="C1282" s="4">
        <v>1.8116019999999999</v>
      </c>
      <c r="D1282" s="7">
        <v>106.042142</v>
      </c>
      <c r="E1282">
        <v>1</v>
      </c>
      <c r="F1282">
        <v>1</v>
      </c>
      <c r="G1282" s="2">
        <v>3</v>
      </c>
      <c r="H1282" s="2">
        <v>3</v>
      </c>
      <c r="I1282">
        <v>1</v>
      </c>
      <c r="J1282">
        <v>0</v>
      </c>
      <c r="K1282" s="2">
        <v>2.858171</v>
      </c>
      <c r="L1282">
        <v>0</v>
      </c>
      <c r="M1282" s="7">
        <v>1.813318</v>
      </c>
      <c r="N1282" s="7">
        <v>0.68021500000000001</v>
      </c>
      <c r="O1282">
        <v>1</v>
      </c>
      <c r="P1282" t="s">
        <v>14</v>
      </c>
      <c r="Q1282">
        <v>4</v>
      </c>
      <c r="R1282" s="8">
        <f>(Tabela2[[#This Row],[FAF_atividade_fisica_frequente_em_horas]]+ 0.1)</f>
        <v>1.9133180000000001</v>
      </c>
      <c r="S1282" s="1">
        <f>(Tabela2[[#This Row],[TUE_tempo_uso_aparelhos_em_horas]]/Tabela2[[#This Row],[FAF_Var]])</f>
        <v>0.35551591528433851</v>
      </c>
      <c r="T1282">
        <f>(Tabela2[[#This Row],[CAEC_lanche_entre_refeicoes]]*Tabela2[[#This Row],[FAVC_consumo_frequente_de_alimentos_mt_caloricos]])</f>
        <v>1</v>
      </c>
      <c r="U1282" s="1">
        <f>IF(OR(Tabela2[[#This Row],[MTRANS]]="Walking",Tabela2[[#This Row],[MTRANS]]="Bike"),Tabela2[[#This Row],[FAF_atividade_fisica_frequente_em_horas]]+1,M1282)</f>
        <v>1.813318</v>
      </c>
      <c r="V1282">
        <f>(Tabela2[[#This Row],[SMOKE]]+Tabela2[[#This Row],[CALC_bebe_alcool_frequentemente]])</f>
        <v>1</v>
      </c>
      <c r="W1282" s="8">
        <f>(Tabela2[[#This Row],[Weight]]/(Tabela2[[#This Row],[Height]] ^2))</f>
        <v>32.311186700674334</v>
      </c>
    </row>
    <row r="1283" spans="1:23" x14ac:dyDescent="0.25">
      <c r="A1283" t="s">
        <v>15</v>
      </c>
      <c r="B1283" s="7">
        <v>36.726616999999997</v>
      </c>
      <c r="C1283" s="4">
        <v>1.7875209999999999</v>
      </c>
      <c r="D1283" s="7">
        <v>100.62455300000001</v>
      </c>
      <c r="E1283">
        <v>1</v>
      </c>
      <c r="F1283">
        <v>1</v>
      </c>
      <c r="G1283" s="2">
        <v>2.0311849999999998</v>
      </c>
      <c r="H1283" s="2">
        <v>2.9926059999999999</v>
      </c>
      <c r="I1283">
        <v>1</v>
      </c>
      <c r="J1283">
        <v>0</v>
      </c>
      <c r="K1283" s="2">
        <v>2.8522539999999998</v>
      </c>
      <c r="L1283">
        <v>0</v>
      </c>
      <c r="M1283" s="7">
        <v>2.0012300000000001</v>
      </c>
      <c r="N1283" s="7">
        <v>0.36037000000000002</v>
      </c>
      <c r="O1283">
        <v>2</v>
      </c>
      <c r="P1283" t="s">
        <v>17</v>
      </c>
      <c r="Q1283">
        <v>4</v>
      </c>
      <c r="R1283" s="8">
        <f>(Tabela2[[#This Row],[FAF_atividade_fisica_frequente_em_horas]]+ 0.1)</f>
        <v>2.1012300000000002</v>
      </c>
      <c r="S1283" s="1">
        <f>(Tabela2[[#This Row],[TUE_tempo_uso_aparelhos_em_horas]]/Tabela2[[#This Row],[FAF_Var]])</f>
        <v>0.17150430938069608</v>
      </c>
      <c r="T1283">
        <f>(Tabela2[[#This Row],[CAEC_lanche_entre_refeicoes]]*Tabela2[[#This Row],[FAVC_consumo_frequente_de_alimentos_mt_caloricos]])</f>
        <v>1</v>
      </c>
      <c r="U1283" s="1">
        <f>IF(OR(Tabela2[[#This Row],[MTRANS]]="Walking",Tabela2[[#This Row],[MTRANS]]="Bike"),Tabela2[[#This Row],[FAF_atividade_fisica_frequente_em_horas]]+1,M1283)</f>
        <v>2.0012300000000001</v>
      </c>
      <c r="V1283">
        <f>(Tabela2[[#This Row],[SMOKE]]+Tabela2[[#This Row],[CALC_bebe_alcool_frequentemente]])</f>
        <v>2</v>
      </c>
      <c r="W1283" s="8">
        <f>(Tabela2[[#This Row],[Weight]]/(Tabela2[[#This Row],[Height]] ^2))</f>
        <v>31.492102684024605</v>
      </c>
    </row>
    <row r="1284" spans="1:23" x14ac:dyDescent="0.25">
      <c r="A1284" t="s">
        <v>15</v>
      </c>
      <c r="B1284" s="7">
        <v>38.297258999999997</v>
      </c>
      <c r="C1284" s="4">
        <v>1.7891090000000001</v>
      </c>
      <c r="D1284" s="7">
        <v>100.06626799999999</v>
      </c>
      <c r="E1284">
        <v>1</v>
      </c>
      <c r="F1284">
        <v>1</v>
      </c>
      <c r="G1284" s="2">
        <v>2.0141939999999998</v>
      </c>
      <c r="H1284" s="2">
        <v>2.0501209999999999</v>
      </c>
      <c r="I1284">
        <v>1</v>
      </c>
      <c r="J1284">
        <v>0</v>
      </c>
      <c r="K1284" s="2">
        <v>2.184707</v>
      </c>
      <c r="L1284">
        <v>0</v>
      </c>
      <c r="M1284" s="7">
        <v>2.0005609999999998</v>
      </c>
      <c r="N1284" s="7">
        <v>0.85389099999999996</v>
      </c>
      <c r="O1284">
        <v>2</v>
      </c>
      <c r="P1284" t="s">
        <v>17</v>
      </c>
      <c r="Q1284">
        <v>4</v>
      </c>
      <c r="R1284" s="8">
        <f>(Tabela2[[#This Row],[FAF_atividade_fisica_frequente_em_horas]]+ 0.1)</f>
        <v>2.1005609999999999</v>
      </c>
      <c r="S1284" s="1">
        <f>(Tabela2[[#This Row],[TUE_tempo_uso_aparelhos_em_horas]]/Tabela2[[#This Row],[FAF_Var]])</f>
        <v>0.40650616668594725</v>
      </c>
      <c r="T1284">
        <f>(Tabela2[[#This Row],[CAEC_lanche_entre_refeicoes]]*Tabela2[[#This Row],[FAVC_consumo_frequente_de_alimentos_mt_caloricos]])</f>
        <v>1</v>
      </c>
      <c r="U1284" s="1">
        <f>IF(OR(Tabela2[[#This Row],[MTRANS]]="Walking",Tabela2[[#This Row],[MTRANS]]="Bike"),Tabela2[[#This Row],[FAF_atividade_fisica_frequente_em_horas]]+1,M1284)</f>
        <v>2.0005609999999998</v>
      </c>
      <c r="V1284">
        <f>(Tabela2[[#This Row],[SMOKE]]+Tabela2[[#This Row],[CALC_bebe_alcool_frequentemente]])</f>
        <v>2</v>
      </c>
      <c r="W1284" s="8">
        <f>(Tabela2[[#This Row],[Weight]]/(Tabela2[[#This Row],[Height]] ^2))</f>
        <v>31.261808768208429</v>
      </c>
    </row>
    <row r="1285" spans="1:23" x14ac:dyDescent="0.25">
      <c r="A1285" t="s">
        <v>13</v>
      </c>
      <c r="B1285" s="7">
        <v>30.163408</v>
      </c>
      <c r="C1285" s="4">
        <v>1.5333639999999999</v>
      </c>
      <c r="D1285" s="7">
        <v>78.030383</v>
      </c>
      <c r="E1285">
        <v>1</v>
      </c>
      <c r="F1285">
        <v>1</v>
      </c>
      <c r="G1285" s="2">
        <v>2.0282249999999999</v>
      </c>
      <c r="H1285" s="2">
        <v>1.9236070000000001</v>
      </c>
      <c r="I1285">
        <v>1</v>
      </c>
      <c r="J1285">
        <v>0</v>
      </c>
      <c r="K1285" s="2">
        <v>1.7989170000000001</v>
      </c>
      <c r="L1285">
        <v>0</v>
      </c>
      <c r="M1285" s="7">
        <v>0</v>
      </c>
      <c r="N1285" s="7">
        <v>0</v>
      </c>
      <c r="O1285">
        <v>0</v>
      </c>
      <c r="P1285" t="s">
        <v>14</v>
      </c>
      <c r="Q1285">
        <v>4</v>
      </c>
      <c r="R1285" s="8">
        <f>(Tabela2[[#This Row],[FAF_atividade_fisica_frequente_em_horas]]+ 0.1)</f>
        <v>0.1</v>
      </c>
      <c r="S1285" s="1">
        <f>(Tabela2[[#This Row],[TUE_tempo_uso_aparelhos_em_horas]]/Tabela2[[#This Row],[FAF_Var]])</f>
        <v>0</v>
      </c>
      <c r="T1285">
        <f>(Tabela2[[#This Row],[CAEC_lanche_entre_refeicoes]]*Tabela2[[#This Row],[FAVC_consumo_frequente_de_alimentos_mt_caloricos]])</f>
        <v>1</v>
      </c>
      <c r="U1285" s="1">
        <f>IF(OR(Tabela2[[#This Row],[MTRANS]]="Walking",Tabela2[[#This Row],[MTRANS]]="Bike"),Tabela2[[#This Row],[FAF_atividade_fisica_frequente_em_horas]]+1,M1285)</f>
        <v>0</v>
      </c>
      <c r="V1285">
        <f>(Tabela2[[#This Row],[SMOKE]]+Tabela2[[#This Row],[CALC_bebe_alcool_frequentemente]])</f>
        <v>0</v>
      </c>
      <c r="W1285" s="8">
        <f>(Tabela2[[#This Row],[Weight]]/(Tabela2[[#This Row],[Height]] ^2))</f>
        <v>33.187398719509723</v>
      </c>
    </row>
    <row r="1286" spans="1:23" x14ac:dyDescent="0.25">
      <c r="A1286" t="s">
        <v>13</v>
      </c>
      <c r="B1286" s="7">
        <v>28.770039000000001</v>
      </c>
      <c r="C1286" s="4">
        <v>1.5808580000000001</v>
      </c>
      <c r="D1286" s="7">
        <v>79.713492000000002</v>
      </c>
      <c r="E1286">
        <v>1</v>
      </c>
      <c r="F1286">
        <v>1</v>
      </c>
      <c r="G1286" s="2">
        <v>2</v>
      </c>
      <c r="H1286" s="2">
        <v>1</v>
      </c>
      <c r="I1286">
        <v>1</v>
      </c>
      <c r="J1286">
        <v>0</v>
      </c>
      <c r="K1286" s="2">
        <v>2</v>
      </c>
      <c r="L1286">
        <v>0</v>
      </c>
      <c r="M1286" s="7">
        <v>5.4050000000000001E-3</v>
      </c>
      <c r="N1286" s="7">
        <v>0</v>
      </c>
      <c r="O1286">
        <v>0</v>
      </c>
      <c r="P1286" t="s">
        <v>14</v>
      </c>
      <c r="Q1286">
        <v>4</v>
      </c>
      <c r="R1286" s="8">
        <f>(Tabela2[[#This Row],[FAF_atividade_fisica_frequente_em_horas]]+ 0.1)</f>
        <v>0.105405</v>
      </c>
      <c r="S1286" s="1">
        <f>(Tabela2[[#This Row],[TUE_tempo_uso_aparelhos_em_horas]]/Tabela2[[#This Row],[FAF_Var]])</f>
        <v>0</v>
      </c>
      <c r="T1286">
        <f>(Tabela2[[#This Row],[CAEC_lanche_entre_refeicoes]]*Tabela2[[#This Row],[FAVC_consumo_frequente_de_alimentos_mt_caloricos]])</f>
        <v>1</v>
      </c>
      <c r="U1286" s="1">
        <f>IF(OR(Tabela2[[#This Row],[MTRANS]]="Walking",Tabela2[[#This Row],[MTRANS]]="Bike"),Tabela2[[#This Row],[FAF_atividade_fisica_frequente_em_horas]]+1,M1286)</f>
        <v>5.4050000000000001E-3</v>
      </c>
      <c r="V1286">
        <f>(Tabela2[[#This Row],[SMOKE]]+Tabela2[[#This Row],[CALC_bebe_alcool_frequentemente]])</f>
        <v>0</v>
      </c>
      <c r="W1286" s="8">
        <f>(Tabela2[[#This Row],[Weight]]/(Tabela2[[#This Row],[Height]] ^2))</f>
        <v>31.896726310954175</v>
      </c>
    </row>
    <row r="1287" spans="1:23" x14ac:dyDescent="0.25">
      <c r="A1287" t="s">
        <v>13</v>
      </c>
      <c r="B1287" s="7">
        <v>42.337282999999999</v>
      </c>
      <c r="C1287" s="4">
        <v>1.64639</v>
      </c>
      <c r="D1287" s="7">
        <v>86.639860999999996</v>
      </c>
      <c r="E1287">
        <v>1</v>
      </c>
      <c r="F1287">
        <v>1</v>
      </c>
      <c r="G1287" s="2">
        <v>2.8164600000000002</v>
      </c>
      <c r="H1287" s="2">
        <v>2.2737400000000001</v>
      </c>
      <c r="I1287">
        <v>1</v>
      </c>
      <c r="J1287">
        <v>0</v>
      </c>
      <c r="K1287" s="2">
        <v>1.7220629999999999</v>
      </c>
      <c r="L1287">
        <v>0</v>
      </c>
      <c r="M1287" s="7">
        <v>0</v>
      </c>
      <c r="N1287" s="7">
        <v>0</v>
      </c>
      <c r="O1287">
        <v>0</v>
      </c>
      <c r="P1287" t="s">
        <v>17</v>
      </c>
      <c r="Q1287">
        <v>4</v>
      </c>
      <c r="R1287" s="8">
        <f>(Tabela2[[#This Row],[FAF_atividade_fisica_frequente_em_horas]]+ 0.1)</f>
        <v>0.1</v>
      </c>
      <c r="S1287" s="1">
        <f>(Tabela2[[#This Row],[TUE_tempo_uso_aparelhos_em_horas]]/Tabela2[[#This Row],[FAF_Var]])</f>
        <v>0</v>
      </c>
      <c r="T1287">
        <f>(Tabela2[[#This Row],[CAEC_lanche_entre_refeicoes]]*Tabela2[[#This Row],[FAVC_consumo_frequente_de_alimentos_mt_caloricos]])</f>
        <v>1</v>
      </c>
      <c r="U1287" s="1">
        <f>IF(OR(Tabela2[[#This Row],[MTRANS]]="Walking",Tabela2[[#This Row],[MTRANS]]="Bike"),Tabela2[[#This Row],[FAF_atividade_fisica_frequente_em_horas]]+1,M1287)</f>
        <v>0</v>
      </c>
      <c r="V1287">
        <f>(Tabela2[[#This Row],[SMOKE]]+Tabela2[[#This Row],[CALC_bebe_alcool_frequentemente]])</f>
        <v>0</v>
      </c>
      <c r="W1287" s="8">
        <f>(Tabela2[[#This Row],[Weight]]/(Tabela2[[#This Row],[Height]] ^2))</f>
        <v>31.963351277937143</v>
      </c>
    </row>
    <row r="1288" spans="1:23" x14ac:dyDescent="0.25">
      <c r="A1288" t="s">
        <v>13</v>
      </c>
      <c r="B1288" s="7">
        <v>47.283374000000002</v>
      </c>
      <c r="C1288" s="4">
        <v>1.643786</v>
      </c>
      <c r="D1288" s="7">
        <v>81.978742999999994</v>
      </c>
      <c r="E1288">
        <v>1</v>
      </c>
      <c r="F1288">
        <v>1</v>
      </c>
      <c r="G1288" s="2">
        <v>2.037585</v>
      </c>
      <c r="H1288" s="2">
        <v>1.4189849999999999</v>
      </c>
      <c r="I1288">
        <v>1</v>
      </c>
      <c r="J1288">
        <v>0</v>
      </c>
      <c r="K1288" s="2">
        <v>1.8273509999999999</v>
      </c>
      <c r="L1288">
        <v>0</v>
      </c>
      <c r="M1288" s="7">
        <v>0</v>
      </c>
      <c r="N1288" s="7">
        <v>0</v>
      </c>
      <c r="O1288">
        <v>0</v>
      </c>
      <c r="P1288" t="s">
        <v>17</v>
      </c>
      <c r="Q1288">
        <v>4</v>
      </c>
      <c r="R1288" s="8">
        <f>(Tabela2[[#This Row],[FAF_atividade_fisica_frequente_em_horas]]+ 0.1)</f>
        <v>0.1</v>
      </c>
      <c r="S1288" s="1">
        <f>(Tabela2[[#This Row],[TUE_tempo_uso_aparelhos_em_horas]]/Tabela2[[#This Row],[FAF_Var]])</f>
        <v>0</v>
      </c>
      <c r="T1288">
        <f>(Tabela2[[#This Row],[CAEC_lanche_entre_refeicoes]]*Tabela2[[#This Row],[FAVC_consumo_frequente_de_alimentos_mt_caloricos]])</f>
        <v>1</v>
      </c>
      <c r="U1288" s="1">
        <f>IF(OR(Tabela2[[#This Row],[MTRANS]]="Walking",Tabela2[[#This Row],[MTRANS]]="Bike"),Tabela2[[#This Row],[FAF_atividade_fisica_frequente_em_horas]]+1,M1288)</f>
        <v>0</v>
      </c>
      <c r="V1288">
        <f>(Tabela2[[#This Row],[SMOKE]]+Tabela2[[#This Row],[CALC_bebe_alcool_frequentemente]])</f>
        <v>0</v>
      </c>
      <c r="W1288" s="8">
        <f>(Tabela2[[#This Row],[Weight]]/(Tabela2[[#This Row],[Height]] ^2))</f>
        <v>30.339659354726482</v>
      </c>
    </row>
    <row r="1289" spans="1:23" x14ac:dyDescent="0.25">
      <c r="A1289" t="s">
        <v>13</v>
      </c>
      <c r="B1289" s="7">
        <v>22.518787</v>
      </c>
      <c r="C1289" s="4">
        <v>1.634342</v>
      </c>
      <c r="D1289" s="7">
        <v>82.414477000000005</v>
      </c>
      <c r="E1289">
        <v>1</v>
      </c>
      <c r="F1289">
        <v>1</v>
      </c>
      <c r="G1289" s="2">
        <v>1.8533139999999999</v>
      </c>
      <c r="H1289" s="2">
        <v>1.3207679999999999</v>
      </c>
      <c r="I1289">
        <v>1</v>
      </c>
      <c r="J1289">
        <v>0</v>
      </c>
      <c r="K1289" s="2">
        <v>2.1355520000000001</v>
      </c>
      <c r="L1289">
        <v>0</v>
      </c>
      <c r="M1289" s="7">
        <v>0.248034</v>
      </c>
      <c r="N1289" s="7">
        <v>1.7278279999999999</v>
      </c>
      <c r="O1289">
        <v>1</v>
      </c>
      <c r="P1289" t="s">
        <v>14</v>
      </c>
      <c r="Q1289">
        <v>4</v>
      </c>
      <c r="R1289" s="8">
        <f>(Tabela2[[#This Row],[FAF_atividade_fisica_frequente_em_horas]]+ 0.1)</f>
        <v>0.34803400000000001</v>
      </c>
      <c r="S1289" s="1">
        <f>(Tabela2[[#This Row],[TUE_tempo_uso_aparelhos_em_horas]]/Tabela2[[#This Row],[FAF_Var]])</f>
        <v>4.964537947441916</v>
      </c>
      <c r="T1289">
        <f>(Tabela2[[#This Row],[CAEC_lanche_entre_refeicoes]]*Tabela2[[#This Row],[FAVC_consumo_frequente_de_alimentos_mt_caloricos]])</f>
        <v>1</v>
      </c>
      <c r="U1289" s="1">
        <f>IF(OR(Tabela2[[#This Row],[MTRANS]]="Walking",Tabela2[[#This Row],[MTRANS]]="Bike"),Tabela2[[#This Row],[FAF_atividade_fisica_frequente_em_horas]]+1,M1289)</f>
        <v>0.248034</v>
      </c>
      <c r="V1289">
        <f>(Tabela2[[#This Row],[SMOKE]]+Tabela2[[#This Row],[CALC_bebe_alcool_frequentemente]])</f>
        <v>1</v>
      </c>
      <c r="W1289" s="8">
        <f>(Tabela2[[#This Row],[Weight]]/(Tabela2[[#This Row],[Height]] ^2))</f>
        <v>30.854436831427332</v>
      </c>
    </row>
    <row r="1290" spans="1:23" x14ac:dyDescent="0.25">
      <c r="A1290" t="s">
        <v>13</v>
      </c>
      <c r="B1290" s="7">
        <v>22.836314999999999</v>
      </c>
      <c r="C1290" s="4">
        <v>1.6048929999999999</v>
      </c>
      <c r="D1290" s="7">
        <v>82</v>
      </c>
      <c r="E1290">
        <v>1</v>
      </c>
      <c r="F1290">
        <v>1</v>
      </c>
      <c r="G1290" s="2">
        <v>1.0087600000000001</v>
      </c>
      <c r="H1290" s="2">
        <v>1</v>
      </c>
      <c r="I1290">
        <v>1</v>
      </c>
      <c r="J1290">
        <v>0</v>
      </c>
      <c r="K1290" s="2">
        <v>2</v>
      </c>
      <c r="L1290">
        <v>0</v>
      </c>
      <c r="M1290" s="7">
        <v>0</v>
      </c>
      <c r="N1290" s="7">
        <v>0.58591199999999999</v>
      </c>
      <c r="O1290">
        <v>1</v>
      </c>
      <c r="P1290" t="s">
        <v>14</v>
      </c>
      <c r="Q1290">
        <v>4</v>
      </c>
      <c r="R1290" s="8">
        <f>(Tabela2[[#This Row],[FAF_atividade_fisica_frequente_em_horas]]+ 0.1)</f>
        <v>0.1</v>
      </c>
      <c r="S1290" s="1">
        <f>(Tabela2[[#This Row],[TUE_tempo_uso_aparelhos_em_horas]]/Tabela2[[#This Row],[FAF_Var]])</f>
        <v>5.8591199999999999</v>
      </c>
      <c r="T1290">
        <f>(Tabela2[[#This Row],[CAEC_lanche_entre_refeicoes]]*Tabela2[[#This Row],[FAVC_consumo_frequente_de_alimentos_mt_caloricos]])</f>
        <v>1</v>
      </c>
      <c r="U1290" s="1">
        <f>IF(OR(Tabela2[[#This Row],[MTRANS]]="Walking",Tabela2[[#This Row],[MTRANS]]="Bike"),Tabela2[[#This Row],[FAF_atividade_fisica_frequente_em_horas]]+1,M1290)</f>
        <v>0</v>
      </c>
      <c r="V1290">
        <f>(Tabela2[[#This Row],[SMOKE]]+Tabela2[[#This Row],[CALC_bebe_alcool_frequentemente]])</f>
        <v>1</v>
      </c>
      <c r="W1290" s="8">
        <f>(Tabela2[[#This Row],[Weight]]/(Tabela2[[#This Row],[Height]] ^2))</f>
        <v>31.836233897871281</v>
      </c>
    </row>
    <row r="1291" spans="1:23" x14ac:dyDescent="0.25">
      <c r="A1291" t="s">
        <v>15</v>
      </c>
      <c r="B1291" s="7">
        <v>23</v>
      </c>
      <c r="C1291" s="4">
        <v>1.6549609999999999</v>
      </c>
      <c r="D1291" s="7">
        <v>94.790578999999994</v>
      </c>
      <c r="E1291">
        <v>1</v>
      </c>
      <c r="F1291">
        <v>1</v>
      </c>
      <c r="G1291" s="2">
        <v>2</v>
      </c>
      <c r="H1291" s="2">
        <v>3</v>
      </c>
      <c r="I1291">
        <v>1</v>
      </c>
      <c r="J1291">
        <v>0</v>
      </c>
      <c r="K1291" s="2">
        <v>1.490613</v>
      </c>
      <c r="L1291">
        <v>0</v>
      </c>
      <c r="M1291" s="7">
        <v>0.65431600000000001</v>
      </c>
      <c r="N1291" s="7">
        <v>1</v>
      </c>
      <c r="O1291">
        <v>0</v>
      </c>
      <c r="P1291" t="s">
        <v>14</v>
      </c>
      <c r="Q1291">
        <v>4</v>
      </c>
      <c r="R1291" s="8">
        <f>(Tabela2[[#This Row],[FAF_atividade_fisica_frequente_em_horas]]+ 0.1)</f>
        <v>0.75431599999999999</v>
      </c>
      <c r="S1291" s="1">
        <f>(Tabela2[[#This Row],[TUE_tempo_uso_aparelhos_em_horas]]/Tabela2[[#This Row],[FAF_Var]])</f>
        <v>1.3257043467194121</v>
      </c>
      <c r="T1291">
        <f>(Tabela2[[#This Row],[CAEC_lanche_entre_refeicoes]]*Tabela2[[#This Row],[FAVC_consumo_frequente_de_alimentos_mt_caloricos]])</f>
        <v>1</v>
      </c>
      <c r="U1291" s="1">
        <f>IF(OR(Tabela2[[#This Row],[MTRANS]]="Walking",Tabela2[[#This Row],[MTRANS]]="Bike"),Tabela2[[#This Row],[FAF_atividade_fisica_frequente_em_horas]]+1,M1291)</f>
        <v>0.65431600000000001</v>
      </c>
      <c r="V1291">
        <f>(Tabela2[[#This Row],[SMOKE]]+Tabela2[[#This Row],[CALC_bebe_alcool_frequentemente]])</f>
        <v>0</v>
      </c>
      <c r="W1291" s="8">
        <f>(Tabela2[[#This Row],[Weight]]/(Tabela2[[#This Row],[Height]] ^2))</f>
        <v>34.609047609757333</v>
      </c>
    </row>
    <row r="1292" spans="1:23" x14ac:dyDescent="0.25">
      <c r="A1292" t="s">
        <v>15</v>
      </c>
      <c r="B1292" s="7">
        <v>22.975525999999999</v>
      </c>
      <c r="C1292" s="4">
        <v>1.701986</v>
      </c>
      <c r="D1292" s="7">
        <v>95</v>
      </c>
      <c r="E1292">
        <v>1</v>
      </c>
      <c r="F1292">
        <v>1</v>
      </c>
      <c r="G1292" s="2">
        <v>2</v>
      </c>
      <c r="H1292" s="2">
        <v>3</v>
      </c>
      <c r="I1292">
        <v>1</v>
      </c>
      <c r="J1292">
        <v>0</v>
      </c>
      <c r="K1292" s="2">
        <v>2.0212699999999999</v>
      </c>
      <c r="L1292">
        <v>0</v>
      </c>
      <c r="M1292" s="7">
        <v>1.8148690000000001</v>
      </c>
      <c r="N1292" s="7">
        <v>1.066603</v>
      </c>
      <c r="O1292">
        <v>0</v>
      </c>
      <c r="P1292" t="s">
        <v>14</v>
      </c>
      <c r="Q1292">
        <v>4</v>
      </c>
      <c r="R1292" s="8">
        <f>(Tabela2[[#This Row],[FAF_atividade_fisica_frequente_em_horas]]+ 0.1)</f>
        <v>1.9148690000000002</v>
      </c>
      <c r="S1292" s="1">
        <f>(Tabela2[[#This Row],[TUE_tempo_uso_aparelhos_em_horas]]/Tabela2[[#This Row],[FAF_Var]])</f>
        <v>0.55701094957409614</v>
      </c>
      <c r="T1292">
        <f>(Tabela2[[#This Row],[CAEC_lanche_entre_refeicoes]]*Tabela2[[#This Row],[FAVC_consumo_frequente_de_alimentos_mt_caloricos]])</f>
        <v>1</v>
      </c>
      <c r="U1292" s="1">
        <f>IF(OR(Tabela2[[#This Row],[MTRANS]]="Walking",Tabela2[[#This Row],[MTRANS]]="Bike"),Tabela2[[#This Row],[FAF_atividade_fisica_frequente_em_horas]]+1,M1292)</f>
        <v>1.8148690000000001</v>
      </c>
      <c r="V1292">
        <f>(Tabela2[[#This Row],[SMOKE]]+Tabela2[[#This Row],[CALC_bebe_alcool_frequentemente]])</f>
        <v>0</v>
      </c>
      <c r="W1292" s="8">
        <f>(Tabela2[[#This Row],[Weight]]/(Tabela2[[#This Row],[Height]] ^2))</f>
        <v>32.795302300914585</v>
      </c>
    </row>
    <row r="1293" spans="1:23" x14ac:dyDescent="0.25">
      <c r="A1293" t="s">
        <v>15</v>
      </c>
      <c r="B1293" s="7">
        <v>22.720448999999999</v>
      </c>
      <c r="C1293" s="4">
        <v>1.65</v>
      </c>
      <c r="D1293" s="7">
        <v>89.139208999999994</v>
      </c>
      <c r="E1293">
        <v>1</v>
      </c>
      <c r="F1293">
        <v>1</v>
      </c>
      <c r="G1293" s="2">
        <v>2.103335</v>
      </c>
      <c r="H1293" s="2">
        <v>2.9640240000000002</v>
      </c>
      <c r="I1293">
        <v>1</v>
      </c>
      <c r="J1293">
        <v>0</v>
      </c>
      <c r="K1293" s="2">
        <v>3</v>
      </c>
      <c r="L1293">
        <v>0</v>
      </c>
      <c r="M1293" s="7">
        <v>0.63294700000000004</v>
      </c>
      <c r="N1293" s="7">
        <v>1</v>
      </c>
      <c r="O1293">
        <v>0</v>
      </c>
      <c r="P1293" t="s">
        <v>14</v>
      </c>
      <c r="Q1293">
        <v>4</v>
      </c>
      <c r="R1293" s="8">
        <f>(Tabela2[[#This Row],[FAF_atividade_fisica_frequente_em_horas]]+ 0.1)</f>
        <v>0.73294700000000002</v>
      </c>
      <c r="S1293" s="1">
        <f>(Tabela2[[#This Row],[TUE_tempo_uso_aparelhos_em_horas]]/Tabela2[[#This Row],[FAF_Var]])</f>
        <v>1.3643551307256869</v>
      </c>
      <c r="T1293">
        <f>(Tabela2[[#This Row],[CAEC_lanche_entre_refeicoes]]*Tabela2[[#This Row],[FAVC_consumo_frequente_de_alimentos_mt_caloricos]])</f>
        <v>1</v>
      </c>
      <c r="U1293" s="1">
        <f>IF(OR(Tabela2[[#This Row],[MTRANS]]="Walking",Tabela2[[#This Row],[MTRANS]]="Bike"),Tabela2[[#This Row],[FAF_atividade_fisica_frequente_em_horas]]+1,M1293)</f>
        <v>0.63294700000000004</v>
      </c>
      <c r="V1293">
        <f>(Tabela2[[#This Row],[SMOKE]]+Tabela2[[#This Row],[CALC_bebe_alcool_frequentemente]])</f>
        <v>0</v>
      </c>
      <c r="W1293" s="8">
        <f>(Tabela2[[#This Row],[Weight]]/(Tabela2[[#This Row],[Height]] ^2))</f>
        <v>32.74167456382002</v>
      </c>
    </row>
    <row r="1294" spans="1:23" x14ac:dyDescent="0.25">
      <c r="A1294" t="s">
        <v>15</v>
      </c>
      <c r="B1294" s="7">
        <v>23.887568999999999</v>
      </c>
      <c r="C1294" s="4">
        <v>1.6579950000000001</v>
      </c>
      <c r="D1294" s="7">
        <v>90</v>
      </c>
      <c r="E1294">
        <v>1</v>
      </c>
      <c r="F1294">
        <v>1</v>
      </c>
      <c r="G1294" s="2">
        <v>2</v>
      </c>
      <c r="H1294" s="2">
        <v>3</v>
      </c>
      <c r="I1294">
        <v>1</v>
      </c>
      <c r="J1294">
        <v>0</v>
      </c>
      <c r="K1294" s="2">
        <v>3</v>
      </c>
      <c r="L1294">
        <v>0</v>
      </c>
      <c r="M1294" s="7">
        <v>0.60363800000000001</v>
      </c>
      <c r="N1294" s="7">
        <v>0.96908499999999997</v>
      </c>
      <c r="O1294">
        <v>0</v>
      </c>
      <c r="P1294" t="s">
        <v>14</v>
      </c>
      <c r="Q1294">
        <v>4</v>
      </c>
      <c r="R1294" s="8">
        <f>(Tabela2[[#This Row],[FAF_atividade_fisica_frequente_em_horas]]+ 0.1)</f>
        <v>0.70363799999999999</v>
      </c>
      <c r="S1294" s="1">
        <f>(Tabela2[[#This Row],[TUE_tempo_uso_aparelhos_em_horas]]/Tabela2[[#This Row],[FAF_Var]])</f>
        <v>1.3772493810737907</v>
      </c>
      <c r="T1294">
        <f>(Tabela2[[#This Row],[CAEC_lanche_entre_refeicoes]]*Tabela2[[#This Row],[FAVC_consumo_frequente_de_alimentos_mt_caloricos]])</f>
        <v>1</v>
      </c>
      <c r="U1294" s="1">
        <f>IF(OR(Tabela2[[#This Row],[MTRANS]]="Walking",Tabela2[[#This Row],[MTRANS]]="Bike"),Tabela2[[#This Row],[FAF_atividade_fisica_frequente_em_horas]]+1,M1294)</f>
        <v>0.60363800000000001</v>
      </c>
      <c r="V1294">
        <f>(Tabela2[[#This Row],[SMOKE]]+Tabela2[[#This Row],[CALC_bebe_alcool_frequentemente]])</f>
        <v>0</v>
      </c>
      <c r="W1294" s="8">
        <f>(Tabela2[[#This Row],[Weight]]/(Tabela2[[#This Row],[Height]] ^2))</f>
        <v>32.739804095336787</v>
      </c>
    </row>
    <row r="1295" spans="1:23" x14ac:dyDescent="0.25">
      <c r="A1295" t="s">
        <v>13</v>
      </c>
      <c r="B1295" s="7">
        <v>23</v>
      </c>
      <c r="C1295" s="4">
        <v>1.6346879999999999</v>
      </c>
      <c r="D1295" s="7">
        <v>82.628</v>
      </c>
      <c r="E1295">
        <v>1</v>
      </c>
      <c r="F1295">
        <v>1</v>
      </c>
      <c r="G1295" s="2">
        <v>2.0609220000000001</v>
      </c>
      <c r="H1295" s="2">
        <v>2.9334090000000002</v>
      </c>
      <c r="I1295">
        <v>1</v>
      </c>
      <c r="J1295">
        <v>0</v>
      </c>
      <c r="K1295" s="2">
        <v>2.2352820000000002</v>
      </c>
      <c r="L1295">
        <v>0</v>
      </c>
      <c r="M1295" s="7">
        <v>0.380633</v>
      </c>
      <c r="N1295" s="7">
        <v>2.5999999999999999E-3</v>
      </c>
      <c r="O1295">
        <v>0</v>
      </c>
      <c r="P1295" t="s">
        <v>14</v>
      </c>
      <c r="Q1295">
        <v>4</v>
      </c>
      <c r="R1295" s="8">
        <f>(Tabela2[[#This Row],[FAF_atividade_fisica_frequente_em_horas]]+ 0.1)</f>
        <v>0.48063299999999998</v>
      </c>
      <c r="S1295" s="1">
        <f>(Tabela2[[#This Row],[TUE_tempo_uso_aparelhos_em_horas]]/Tabela2[[#This Row],[FAF_Var]])</f>
        <v>5.4095328452270237E-3</v>
      </c>
      <c r="T1295">
        <f>(Tabela2[[#This Row],[CAEC_lanche_entre_refeicoes]]*Tabela2[[#This Row],[FAVC_consumo_frequente_de_alimentos_mt_caloricos]])</f>
        <v>1</v>
      </c>
      <c r="U1295" s="1">
        <f>IF(OR(Tabela2[[#This Row],[MTRANS]]="Walking",Tabela2[[#This Row],[MTRANS]]="Bike"),Tabela2[[#This Row],[FAF_atividade_fisica_frequente_em_horas]]+1,M1295)</f>
        <v>0.380633</v>
      </c>
      <c r="V1295">
        <f>(Tabela2[[#This Row],[SMOKE]]+Tabela2[[#This Row],[CALC_bebe_alcool_frequentemente]])</f>
        <v>0</v>
      </c>
      <c r="W1295" s="8">
        <f>(Tabela2[[#This Row],[Weight]]/(Tabela2[[#This Row],[Height]] ^2))</f>
        <v>30.921282016576729</v>
      </c>
    </row>
    <row r="1296" spans="1:23" x14ac:dyDescent="0.25">
      <c r="A1296" t="s">
        <v>13</v>
      </c>
      <c r="B1296" s="7">
        <v>23</v>
      </c>
      <c r="C1296" s="4">
        <v>1.6281680000000001</v>
      </c>
      <c r="D1296" s="7">
        <v>84.497979999999998</v>
      </c>
      <c r="E1296">
        <v>1</v>
      </c>
      <c r="F1296">
        <v>1</v>
      </c>
      <c r="G1296" s="2">
        <v>2.0586869999999999</v>
      </c>
      <c r="H1296" s="2">
        <v>2.9620039999999999</v>
      </c>
      <c r="I1296">
        <v>1</v>
      </c>
      <c r="J1296">
        <v>0</v>
      </c>
      <c r="K1296" s="2">
        <v>2.010596</v>
      </c>
      <c r="L1296">
        <v>0</v>
      </c>
      <c r="M1296" s="7">
        <v>0.85105900000000001</v>
      </c>
      <c r="N1296" s="7">
        <v>0.63086600000000004</v>
      </c>
      <c r="O1296">
        <v>0</v>
      </c>
      <c r="P1296" t="s">
        <v>14</v>
      </c>
      <c r="Q1296">
        <v>4</v>
      </c>
      <c r="R1296" s="8">
        <f>(Tabela2[[#This Row],[FAF_atividade_fisica_frequente_em_horas]]+ 0.1)</f>
        <v>0.95105899999999999</v>
      </c>
      <c r="S1296" s="1">
        <f>(Tabela2[[#This Row],[TUE_tempo_uso_aparelhos_em_horas]]/Tabela2[[#This Row],[FAF_Var]])</f>
        <v>0.66333003525543632</v>
      </c>
      <c r="T1296">
        <f>(Tabela2[[#This Row],[CAEC_lanche_entre_refeicoes]]*Tabela2[[#This Row],[FAVC_consumo_frequente_de_alimentos_mt_caloricos]])</f>
        <v>1</v>
      </c>
      <c r="U1296" s="1">
        <f>IF(OR(Tabela2[[#This Row],[MTRANS]]="Walking",Tabela2[[#This Row],[MTRANS]]="Bike"),Tabela2[[#This Row],[FAF_atividade_fisica_frequente_em_horas]]+1,M1296)</f>
        <v>0.85105900000000001</v>
      </c>
      <c r="V1296">
        <f>(Tabela2[[#This Row],[SMOKE]]+Tabela2[[#This Row],[CALC_bebe_alcool_frequentemente]])</f>
        <v>0</v>
      </c>
      <c r="W1296" s="8">
        <f>(Tabela2[[#This Row],[Weight]]/(Tabela2[[#This Row],[Height]] ^2))</f>
        <v>31.874831463122238</v>
      </c>
    </row>
    <row r="1297" spans="1:23" x14ac:dyDescent="0.25">
      <c r="A1297" t="s">
        <v>13</v>
      </c>
      <c r="B1297" s="7">
        <v>38.148845000000001</v>
      </c>
      <c r="C1297" s="4">
        <v>1.5578080000000001</v>
      </c>
      <c r="D1297" s="7">
        <v>79.661693</v>
      </c>
      <c r="E1297">
        <v>1</v>
      </c>
      <c r="F1297">
        <v>1</v>
      </c>
      <c r="G1297" s="2">
        <v>2</v>
      </c>
      <c r="H1297" s="2">
        <v>3</v>
      </c>
      <c r="I1297">
        <v>1</v>
      </c>
      <c r="J1297">
        <v>0</v>
      </c>
      <c r="K1297" s="2">
        <v>1.2747740000000001</v>
      </c>
      <c r="L1297">
        <v>0</v>
      </c>
      <c r="M1297" s="7">
        <v>0</v>
      </c>
      <c r="N1297" s="7">
        <v>0</v>
      </c>
      <c r="O1297">
        <v>1</v>
      </c>
      <c r="P1297" t="s">
        <v>17</v>
      </c>
      <c r="Q1297">
        <v>4</v>
      </c>
      <c r="R1297" s="8">
        <f>(Tabela2[[#This Row],[FAF_atividade_fisica_frequente_em_horas]]+ 0.1)</f>
        <v>0.1</v>
      </c>
      <c r="S1297" s="1">
        <f>(Tabela2[[#This Row],[TUE_tempo_uso_aparelhos_em_horas]]/Tabela2[[#This Row],[FAF_Var]])</f>
        <v>0</v>
      </c>
      <c r="T1297">
        <f>(Tabela2[[#This Row],[CAEC_lanche_entre_refeicoes]]*Tabela2[[#This Row],[FAVC_consumo_frequente_de_alimentos_mt_caloricos]])</f>
        <v>1</v>
      </c>
      <c r="U1297" s="1">
        <f>IF(OR(Tabela2[[#This Row],[MTRANS]]="Walking",Tabela2[[#This Row],[MTRANS]]="Bike"),Tabela2[[#This Row],[FAF_atividade_fisica_frequente_em_horas]]+1,M1297)</f>
        <v>0</v>
      </c>
      <c r="V1297">
        <f>(Tabela2[[#This Row],[SMOKE]]+Tabela2[[#This Row],[CALC_bebe_alcool_frequentemente]])</f>
        <v>1</v>
      </c>
      <c r="W1297" s="8">
        <f>(Tabela2[[#This Row],[Weight]]/(Tabela2[[#This Row],[Height]] ^2))</f>
        <v>32.826280209398114</v>
      </c>
    </row>
    <row r="1298" spans="1:23" x14ac:dyDescent="0.25">
      <c r="A1298" t="s">
        <v>13</v>
      </c>
      <c r="B1298" s="7">
        <v>37.965429999999998</v>
      </c>
      <c r="C1298" s="4">
        <v>1.5601989999999999</v>
      </c>
      <c r="D1298" s="7">
        <v>80</v>
      </c>
      <c r="E1298">
        <v>1</v>
      </c>
      <c r="F1298">
        <v>1</v>
      </c>
      <c r="G1298" s="2">
        <v>2.5336050000000001</v>
      </c>
      <c r="H1298" s="2">
        <v>1.2716240000000001</v>
      </c>
      <c r="I1298">
        <v>1</v>
      </c>
      <c r="J1298">
        <v>0</v>
      </c>
      <c r="K1298" s="2">
        <v>1.893691</v>
      </c>
      <c r="L1298">
        <v>0</v>
      </c>
      <c r="M1298" s="7">
        <v>1.296535</v>
      </c>
      <c r="N1298" s="7">
        <v>0</v>
      </c>
      <c r="O1298">
        <v>1</v>
      </c>
      <c r="P1298" t="s">
        <v>17</v>
      </c>
      <c r="Q1298">
        <v>4</v>
      </c>
      <c r="R1298" s="8">
        <f>(Tabela2[[#This Row],[FAF_atividade_fisica_frequente_em_horas]]+ 0.1)</f>
        <v>1.3965350000000001</v>
      </c>
      <c r="S1298" s="1">
        <f>(Tabela2[[#This Row],[TUE_tempo_uso_aparelhos_em_horas]]/Tabela2[[#This Row],[FAF_Var]])</f>
        <v>0</v>
      </c>
      <c r="T1298">
        <f>(Tabela2[[#This Row],[CAEC_lanche_entre_refeicoes]]*Tabela2[[#This Row],[FAVC_consumo_frequente_de_alimentos_mt_caloricos]])</f>
        <v>1</v>
      </c>
      <c r="U1298" s="1">
        <f>IF(OR(Tabela2[[#This Row],[MTRANS]]="Walking",Tabela2[[#This Row],[MTRANS]]="Bike"),Tabela2[[#This Row],[FAF_atividade_fisica_frequente_em_horas]]+1,M1298)</f>
        <v>1.296535</v>
      </c>
      <c r="V1298">
        <f>(Tabela2[[#This Row],[SMOKE]]+Tabela2[[#This Row],[CALC_bebe_alcool_frequentemente]])</f>
        <v>1</v>
      </c>
      <c r="W1298" s="8">
        <f>(Tabela2[[#This Row],[Weight]]/(Tabela2[[#This Row],[Height]] ^2))</f>
        <v>32.864724543207458</v>
      </c>
    </row>
    <row r="1299" spans="1:23" x14ac:dyDescent="0.25">
      <c r="A1299" t="s">
        <v>15</v>
      </c>
      <c r="B1299" s="7">
        <v>22.771612000000001</v>
      </c>
      <c r="C1299" s="4">
        <v>1.7503839999999999</v>
      </c>
      <c r="D1299" s="7">
        <v>95.324281999999997</v>
      </c>
      <c r="E1299">
        <v>1</v>
      </c>
      <c r="F1299">
        <v>1</v>
      </c>
      <c r="G1299" s="2">
        <v>2</v>
      </c>
      <c r="H1299" s="2">
        <v>3</v>
      </c>
      <c r="I1299">
        <v>1</v>
      </c>
      <c r="J1299">
        <v>0</v>
      </c>
      <c r="K1299" s="2">
        <v>3</v>
      </c>
      <c r="L1299">
        <v>0</v>
      </c>
      <c r="M1299" s="7">
        <v>3</v>
      </c>
      <c r="N1299" s="7">
        <v>2</v>
      </c>
      <c r="O1299">
        <v>0</v>
      </c>
      <c r="P1299" t="s">
        <v>14</v>
      </c>
      <c r="Q1299">
        <v>4</v>
      </c>
      <c r="R1299" s="8">
        <f>(Tabela2[[#This Row],[FAF_atividade_fisica_frequente_em_horas]]+ 0.1)</f>
        <v>3.1</v>
      </c>
      <c r="S1299" s="1">
        <f>(Tabela2[[#This Row],[TUE_tempo_uso_aparelhos_em_horas]]/Tabela2[[#This Row],[FAF_Var]])</f>
        <v>0.64516129032258063</v>
      </c>
      <c r="T1299">
        <f>(Tabela2[[#This Row],[CAEC_lanche_entre_refeicoes]]*Tabela2[[#This Row],[FAVC_consumo_frequente_de_alimentos_mt_caloricos]])</f>
        <v>1</v>
      </c>
      <c r="U1299" s="1">
        <f>IF(OR(Tabela2[[#This Row],[MTRANS]]="Walking",Tabela2[[#This Row],[MTRANS]]="Bike"),Tabela2[[#This Row],[FAF_atividade_fisica_frequente_em_horas]]+1,M1299)</f>
        <v>3</v>
      </c>
      <c r="V1299">
        <f>(Tabela2[[#This Row],[SMOKE]]+Tabela2[[#This Row],[CALC_bebe_alcool_frequentemente]])</f>
        <v>0</v>
      </c>
      <c r="W1299" s="8">
        <f>(Tabela2[[#This Row],[Weight]]/(Tabela2[[#This Row],[Height]] ^2))</f>
        <v>31.112640660638878</v>
      </c>
    </row>
    <row r="1300" spans="1:23" x14ac:dyDescent="0.25">
      <c r="A1300" t="s">
        <v>15</v>
      </c>
      <c r="B1300" s="7">
        <v>22.582370999999998</v>
      </c>
      <c r="C1300" s="4">
        <v>1.7530809999999999</v>
      </c>
      <c r="D1300" s="7">
        <v>95.269088999999994</v>
      </c>
      <c r="E1300">
        <v>1</v>
      </c>
      <c r="F1300">
        <v>1</v>
      </c>
      <c r="G1300" s="2">
        <v>2</v>
      </c>
      <c r="H1300" s="2">
        <v>3</v>
      </c>
      <c r="I1300">
        <v>1</v>
      </c>
      <c r="J1300">
        <v>0</v>
      </c>
      <c r="K1300" s="2">
        <v>3</v>
      </c>
      <c r="L1300">
        <v>0</v>
      </c>
      <c r="M1300" s="7">
        <v>3</v>
      </c>
      <c r="N1300" s="7">
        <v>2</v>
      </c>
      <c r="O1300">
        <v>0</v>
      </c>
      <c r="P1300" t="s">
        <v>14</v>
      </c>
      <c r="Q1300">
        <v>4</v>
      </c>
      <c r="R1300" s="8">
        <f>(Tabela2[[#This Row],[FAF_atividade_fisica_frequente_em_horas]]+ 0.1)</f>
        <v>3.1</v>
      </c>
      <c r="S1300" s="1">
        <f>(Tabela2[[#This Row],[TUE_tempo_uso_aparelhos_em_horas]]/Tabela2[[#This Row],[FAF_Var]])</f>
        <v>0.64516129032258063</v>
      </c>
      <c r="T1300">
        <f>(Tabela2[[#This Row],[CAEC_lanche_entre_refeicoes]]*Tabela2[[#This Row],[FAVC_consumo_frequente_de_alimentos_mt_caloricos]])</f>
        <v>1</v>
      </c>
      <c r="U1300" s="1">
        <f>IF(OR(Tabela2[[#This Row],[MTRANS]]="Walking",Tabela2[[#This Row],[MTRANS]]="Bike"),Tabela2[[#This Row],[FAF_atividade_fisica_frequente_em_horas]]+1,M1300)</f>
        <v>3</v>
      </c>
      <c r="V1300">
        <f>(Tabela2[[#This Row],[SMOKE]]+Tabela2[[#This Row],[CALC_bebe_alcool_frequentemente]])</f>
        <v>0</v>
      </c>
      <c r="W1300" s="8">
        <f>(Tabela2[[#This Row],[Weight]]/(Tabela2[[#This Row],[Height]] ^2))</f>
        <v>30.999025875698074</v>
      </c>
    </row>
    <row r="1301" spans="1:23" x14ac:dyDescent="0.25">
      <c r="A1301" t="s">
        <v>13</v>
      </c>
      <c r="B1301" s="7">
        <v>21.008050999999998</v>
      </c>
      <c r="C1301" s="4">
        <v>1.65</v>
      </c>
      <c r="D1301" s="7">
        <v>88.126543999999996</v>
      </c>
      <c r="E1301">
        <v>1</v>
      </c>
      <c r="F1301">
        <v>1</v>
      </c>
      <c r="G1301" s="2">
        <v>2.4575469999999999</v>
      </c>
      <c r="H1301" s="2">
        <v>1.00061</v>
      </c>
      <c r="I1301">
        <v>1</v>
      </c>
      <c r="J1301">
        <v>0</v>
      </c>
      <c r="K1301" s="2">
        <v>3</v>
      </c>
      <c r="L1301">
        <v>0</v>
      </c>
      <c r="M1301" s="7">
        <v>1.3615330000000001</v>
      </c>
      <c r="N1301" s="7">
        <v>1</v>
      </c>
      <c r="O1301">
        <v>0</v>
      </c>
      <c r="P1301" t="s">
        <v>14</v>
      </c>
      <c r="Q1301">
        <v>4</v>
      </c>
      <c r="R1301" s="8">
        <f>(Tabela2[[#This Row],[FAF_atividade_fisica_frequente_em_horas]]+ 0.1)</f>
        <v>1.4615330000000002</v>
      </c>
      <c r="S1301" s="1">
        <f>(Tabela2[[#This Row],[TUE_tempo_uso_aparelhos_em_horas]]/Tabela2[[#This Row],[FAF_Var]])</f>
        <v>0.68421308311204732</v>
      </c>
      <c r="T1301">
        <f>(Tabela2[[#This Row],[CAEC_lanche_entre_refeicoes]]*Tabela2[[#This Row],[FAVC_consumo_frequente_de_alimentos_mt_caloricos]])</f>
        <v>1</v>
      </c>
      <c r="U1301" s="1">
        <f>IF(OR(Tabela2[[#This Row],[MTRANS]]="Walking",Tabela2[[#This Row],[MTRANS]]="Bike"),Tabela2[[#This Row],[FAF_atividade_fisica_frequente_em_horas]]+1,M1301)</f>
        <v>1.3615330000000001</v>
      </c>
      <c r="V1301">
        <f>(Tabela2[[#This Row],[SMOKE]]+Tabela2[[#This Row],[CALC_bebe_alcool_frequentemente]])</f>
        <v>0</v>
      </c>
      <c r="W1301" s="8">
        <f>(Tabela2[[#This Row],[Weight]]/(Tabela2[[#This Row],[Height]] ^2))</f>
        <v>32.369713131313134</v>
      </c>
    </row>
    <row r="1302" spans="1:23" x14ac:dyDescent="0.25">
      <c r="A1302" t="s">
        <v>13</v>
      </c>
      <c r="B1302" s="7">
        <v>22.591025999999999</v>
      </c>
      <c r="C1302" s="4">
        <v>1.650012</v>
      </c>
      <c r="D1302" s="7">
        <v>87.676153999999997</v>
      </c>
      <c r="E1302">
        <v>1</v>
      </c>
      <c r="F1302">
        <v>1</v>
      </c>
      <c r="G1302" s="2">
        <v>2.983851</v>
      </c>
      <c r="H1302" s="2">
        <v>1.068443</v>
      </c>
      <c r="I1302">
        <v>1</v>
      </c>
      <c r="J1302">
        <v>0</v>
      </c>
      <c r="K1302" s="2">
        <v>2.8541609999999999</v>
      </c>
      <c r="L1302">
        <v>0</v>
      </c>
      <c r="M1302" s="7">
        <v>1.1032090000000001</v>
      </c>
      <c r="N1302" s="7">
        <v>1</v>
      </c>
      <c r="O1302">
        <v>0</v>
      </c>
      <c r="P1302" t="s">
        <v>14</v>
      </c>
      <c r="Q1302">
        <v>4</v>
      </c>
      <c r="R1302" s="8">
        <f>(Tabela2[[#This Row],[FAF_atividade_fisica_frequente_em_horas]]+ 0.1)</f>
        <v>1.2032090000000002</v>
      </c>
      <c r="S1302" s="1">
        <f>(Tabela2[[#This Row],[TUE_tempo_uso_aparelhos_em_horas]]/Tabela2[[#This Row],[FAF_Var]])</f>
        <v>0.83111080452356978</v>
      </c>
      <c r="T1302">
        <f>(Tabela2[[#This Row],[CAEC_lanche_entre_refeicoes]]*Tabela2[[#This Row],[FAVC_consumo_frequente_de_alimentos_mt_caloricos]])</f>
        <v>1</v>
      </c>
      <c r="U1302" s="1">
        <f>IF(OR(Tabela2[[#This Row],[MTRANS]]="Walking",Tabela2[[#This Row],[MTRANS]]="Bike"),Tabela2[[#This Row],[FAF_atividade_fisica_frequente_em_horas]]+1,M1302)</f>
        <v>1.1032090000000001</v>
      </c>
      <c r="V1302">
        <f>(Tabela2[[#This Row],[SMOKE]]+Tabela2[[#This Row],[CALC_bebe_alcool_frequentemente]])</f>
        <v>0</v>
      </c>
      <c r="W1302" s="8">
        <f>(Tabela2[[#This Row],[Weight]]/(Tabela2[[#This Row],[Height]] ^2))</f>
        <v>32.203812203636133</v>
      </c>
    </row>
    <row r="1303" spans="1:23" x14ac:dyDescent="0.25">
      <c r="A1303" t="s">
        <v>13</v>
      </c>
      <c r="B1303" s="7">
        <v>16.129279</v>
      </c>
      <c r="C1303" s="4">
        <v>1.65</v>
      </c>
      <c r="D1303" s="7">
        <v>85.583484999999996</v>
      </c>
      <c r="E1303">
        <v>1</v>
      </c>
      <c r="F1303">
        <v>1</v>
      </c>
      <c r="G1303" s="2">
        <v>2.954996</v>
      </c>
      <c r="H1303" s="2">
        <v>3</v>
      </c>
      <c r="I1303">
        <v>1</v>
      </c>
      <c r="J1303">
        <v>0</v>
      </c>
      <c r="K1303" s="2">
        <v>1</v>
      </c>
      <c r="L1303">
        <v>0</v>
      </c>
      <c r="M1303" s="7">
        <v>2.0918619999999999</v>
      </c>
      <c r="N1303" s="7">
        <v>1.06053</v>
      </c>
      <c r="O1303">
        <v>0</v>
      </c>
      <c r="P1303" t="s">
        <v>14</v>
      </c>
      <c r="Q1303">
        <v>4</v>
      </c>
      <c r="R1303" s="8">
        <f>(Tabela2[[#This Row],[FAF_atividade_fisica_frequente_em_horas]]+ 0.1)</f>
        <v>2.191862</v>
      </c>
      <c r="S1303" s="1">
        <f>(Tabela2[[#This Row],[TUE_tempo_uso_aparelhos_em_horas]]/Tabela2[[#This Row],[FAF_Var]])</f>
        <v>0.48384889194666453</v>
      </c>
      <c r="T1303">
        <f>(Tabela2[[#This Row],[CAEC_lanche_entre_refeicoes]]*Tabela2[[#This Row],[FAVC_consumo_frequente_de_alimentos_mt_caloricos]])</f>
        <v>1</v>
      </c>
      <c r="U1303" s="1">
        <f>IF(OR(Tabela2[[#This Row],[MTRANS]]="Walking",Tabela2[[#This Row],[MTRANS]]="Bike"),Tabela2[[#This Row],[FAF_atividade_fisica_frequente_em_horas]]+1,M1303)</f>
        <v>2.0918619999999999</v>
      </c>
      <c r="V1303">
        <f>(Tabela2[[#This Row],[SMOKE]]+Tabela2[[#This Row],[CALC_bebe_alcool_frequentemente]])</f>
        <v>0</v>
      </c>
      <c r="W1303" s="8">
        <f>(Tabela2[[#This Row],[Weight]]/(Tabela2[[#This Row],[Height]] ^2))</f>
        <v>31.435623507805328</v>
      </c>
    </row>
    <row r="1304" spans="1:23" x14ac:dyDescent="0.25">
      <c r="A1304" t="s">
        <v>13</v>
      </c>
      <c r="B1304" s="7">
        <v>16.913841000000001</v>
      </c>
      <c r="C1304" s="4">
        <v>1.6348320000000001</v>
      </c>
      <c r="D1304" s="7">
        <v>85.803809000000001</v>
      </c>
      <c r="E1304">
        <v>1</v>
      </c>
      <c r="F1304">
        <v>1</v>
      </c>
      <c r="G1304" s="2">
        <v>2.0619689999999999</v>
      </c>
      <c r="H1304" s="2">
        <v>3</v>
      </c>
      <c r="I1304">
        <v>1</v>
      </c>
      <c r="J1304">
        <v>0</v>
      </c>
      <c r="K1304" s="2">
        <v>1.229171</v>
      </c>
      <c r="L1304">
        <v>0</v>
      </c>
      <c r="M1304" s="7">
        <v>2.3920469999999998</v>
      </c>
      <c r="N1304" s="7">
        <v>1.256119</v>
      </c>
      <c r="O1304">
        <v>0</v>
      </c>
      <c r="P1304" t="s">
        <v>14</v>
      </c>
      <c r="Q1304">
        <v>4</v>
      </c>
      <c r="R1304" s="8">
        <f>(Tabela2[[#This Row],[FAF_atividade_fisica_frequente_em_horas]]+ 0.1)</f>
        <v>2.4920469999999999</v>
      </c>
      <c r="S1304" s="1">
        <f>(Tabela2[[#This Row],[TUE_tempo_uso_aparelhos_em_horas]]/Tabela2[[#This Row],[FAF_Var]])</f>
        <v>0.50405108731897919</v>
      </c>
      <c r="T1304">
        <f>(Tabela2[[#This Row],[CAEC_lanche_entre_refeicoes]]*Tabela2[[#This Row],[FAVC_consumo_frequente_de_alimentos_mt_caloricos]])</f>
        <v>1</v>
      </c>
      <c r="U1304" s="1">
        <f>IF(OR(Tabela2[[#This Row],[MTRANS]]="Walking",Tabela2[[#This Row],[MTRANS]]="Bike"),Tabela2[[#This Row],[FAF_atividade_fisica_frequente_em_horas]]+1,M1304)</f>
        <v>2.3920469999999998</v>
      </c>
      <c r="V1304">
        <f>(Tabela2[[#This Row],[SMOKE]]+Tabela2[[#This Row],[CALC_bebe_alcool_frequentemente]])</f>
        <v>0</v>
      </c>
      <c r="W1304" s="8">
        <f>(Tabela2[[#This Row],[Weight]]/(Tabela2[[#This Row],[Height]] ^2))</f>
        <v>32.104085811884858</v>
      </c>
    </row>
    <row r="1305" spans="1:23" x14ac:dyDescent="0.25">
      <c r="A1305" t="s">
        <v>15</v>
      </c>
      <c r="B1305" s="7">
        <v>29.438790000000001</v>
      </c>
      <c r="C1305" s="4">
        <v>1.7701260000000001</v>
      </c>
      <c r="D1305" s="7">
        <v>108.602715</v>
      </c>
      <c r="E1305">
        <v>1</v>
      </c>
      <c r="F1305">
        <v>1</v>
      </c>
      <c r="G1305" s="2">
        <v>3</v>
      </c>
      <c r="H1305" s="2">
        <v>3</v>
      </c>
      <c r="I1305">
        <v>1</v>
      </c>
      <c r="J1305">
        <v>0</v>
      </c>
      <c r="K1305" s="2">
        <v>1.1632640000000001</v>
      </c>
      <c r="L1305">
        <v>0</v>
      </c>
      <c r="M1305" s="7">
        <v>1.866023</v>
      </c>
      <c r="N1305" s="7">
        <v>1.604608</v>
      </c>
      <c r="O1305">
        <v>1</v>
      </c>
      <c r="P1305" t="s">
        <v>17</v>
      </c>
      <c r="Q1305">
        <v>4</v>
      </c>
      <c r="R1305" s="8">
        <f>(Tabela2[[#This Row],[FAF_atividade_fisica_frequente_em_horas]]+ 0.1)</f>
        <v>1.9660230000000001</v>
      </c>
      <c r="S1305" s="1">
        <f>(Tabela2[[#This Row],[TUE_tempo_uso_aparelhos_em_horas]]/Tabela2[[#This Row],[FAF_Var]])</f>
        <v>0.81616949547385764</v>
      </c>
      <c r="T1305">
        <f>(Tabela2[[#This Row],[CAEC_lanche_entre_refeicoes]]*Tabela2[[#This Row],[FAVC_consumo_frequente_de_alimentos_mt_caloricos]])</f>
        <v>1</v>
      </c>
      <c r="U1305" s="1">
        <f>IF(OR(Tabela2[[#This Row],[MTRANS]]="Walking",Tabela2[[#This Row],[MTRANS]]="Bike"),Tabela2[[#This Row],[FAF_atividade_fisica_frequente_em_horas]]+1,M1305)</f>
        <v>1.866023</v>
      </c>
      <c r="V1305">
        <f>(Tabela2[[#This Row],[SMOKE]]+Tabela2[[#This Row],[CALC_bebe_alcool_frequentemente]])</f>
        <v>1</v>
      </c>
      <c r="W1305" s="8">
        <f>(Tabela2[[#This Row],[Weight]]/(Tabela2[[#This Row],[Height]] ^2))</f>
        <v>34.660300223250502</v>
      </c>
    </row>
    <row r="1306" spans="1:23" x14ac:dyDescent="0.25">
      <c r="A1306" t="s">
        <v>15</v>
      </c>
      <c r="B1306" s="7">
        <v>29.881301000000001</v>
      </c>
      <c r="C1306" s="4">
        <v>1.758189</v>
      </c>
      <c r="D1306" s="7">
        <v>108.72189299999999</v>
      </c>
      <c r="E1306">
        <v>1</v>
      </c>
      <c r="F1306">
        <v>1</v>
      </c>
      <c r="G1306" s="2">
        <v>3</v>
      </c>
      <c r="H1306" s="2">
        <v>3</v>
      </c>
      <c r="I1306">
        <v>1</v>
      </c>
      <c r="J1306">
        <v>0</v>
      </c>
      <c r="K1306" s="2">
        <v>1.2711779999999999</v>
      </c>
      <c r="L1306">
        <v>0</v>
      </c>
      <c r="M1306" s="7">
        <v>1.944728</v>
      </c>
      <c r="N1306" s="7">
        <v>0</v>
      </c>
      <c r="O1306">
        <v>1</v>
      </c>
      <c r="P1306" t="s">
        <v>17</v>
      </c>
      <c r="Q1306">
        <v>4</v>
      </c>
      <c r="R1306" s="8">
        <f>(Tabela2[[#This Row],[FAF_atividade_fisica_frequente_em_horas]]+ 0.1)</f>
        <v>2.0447280000000001</v>
      </c>
      <c r="S1306" s="1">
        <f>(Tabela2[[#This Row],[TUE_tempo_uso_aparelhos_em_horas]]/Tabela2[[#This Row],[FAF_Var]])</f>
        <v>0</v>
      </c>
      <c r="T1306">
        <f>(Tabela2[[#This Row],[CAEC_lanche_entre_refeicoes]]*Tabela2[[#This Row],[FAVC_consumo_frequente_de_alimentos_mt_caloricos]])</f>
        <v>1</v>
      </c>
      <c r="U1306" s="1">
        <f>IF(OR(Tabela2[[#This Row],[MTRANS]]="Walking",Tabela2[[#This Row],[MTRANS]]="Bike"),Tabela2[[#This Row],[FAF_atividade_fisica_frequente_em_horas]]+1,M1306)</f>
        <v>1.944728</v>
      </c>
      <c r="V1306">
        <f>(Tabela2[[#This Row],[SMOKE]]+Tabela2[[#This Row],[CALC_bebe_alcool_frequentemente]])</f>
        <v>1</v>
      </c>
      <c r="W1306" s="8">
        <f>(Tabela2[[#This Row],[Weight]]/(Tabela2[[#This Row],[Height]] ^2))</f>
        <v>35.171094889797708</v>
      </c>
    </row>
    <row r="1307" spans="1:23" x14ac:dyDescent="0.25">
      <c r="A1307" t="s">
        <v>13</v>
      </c>
      <c r="B1307" s="7">
        <v>43.591999000000001</v>
      </c>
      <c r="C1307" s="4">
        <v>1.5951649999999999</v>
      </c>
      <c r="D1307" s="7">
        <v>77.354743999999997</v>
      </c>
      <c r="E1307">
        <v>1</v>
      </c>
      <c r="F1307">
        <v>1</v>
      </c>
      <c r="G1307" s="2">
        <v>2</v>
      </c>
      <c r="H1307" s="2">
        <v>3</v>
      </c>
      <c r="I1307">
        <v>1</v>
      </c>
      <c r="J1307">
        <v>0</v>
      </c>
      <c r="K1307" s="2">
        <v>2.117346</v>
      </c>
      <c r="L1307">
        <v>0</v>
      </c>
      <c r="M1307" s="7">
        <v>0</v>
      </c>
      <c r="N1307" s="7">
        <v>0</v>
      </c>
      <c r="O1307">
        <v>0</v>
      </c>
      <c r="P1307" t="s">
        <v>17</v>
      </c>
      <c r="Q1307">
        <v>4</v>
      </c>
      <c r="R1307" s="8">
        <f>(Tabela2[[#This Row],[FAF_atividade_fisica_frequente_em_horas]]+ 0.1)</f>
        <v>0.1</v>
      </c>
      <c r="S1307" s="1">
        <f>(Tabela2[[#This Row],[TUE_tempo_uso_aparelhos_em_horas]]/Tabela2[[#This Row],[FAF_Var]])</f>
        <v>0</v>
      </c>
      <c r="T1307">
        <f>(Tabela2[[#This Row],[CAEC_lanche_entre_refeicoes]]*Tabela2[[#This Row],[FAVC_consumo_frequente_de_alimentos_mt_caloricos]])</f>
        <v>1</v>
      </c>
      <c r="U1307" s="1">
        <f>IF(OR(Tabela2[[#This Row],[MTRANS]]="Walking",Tabela2[[#This Row],[MTRANS]]="Bike"),Tabela2[[#This Row],[FAF_atividade_fisica_frequente_em_horas]]+1,M1307)</f>
        <v>0</v>
      </c>
      <c r="V1307">
        <f>(Tabela2[[#This Row],[SMOKE]]+Tabela2[[#This Row],[CALC_bebe_alcool_frequentemente]])</f>
        <v>0</v>
      </c>
      <c r="W1307" s="8">
        <f>(Tabela2[[#This Row],[Weight]]/(Tabela2[[#This Row],[Height]] ^2))</f>
        <v>30.400150176712256</v>
      </c>
    </row>
    <row r="1308" spans="1:23" x14ac:dyDescent="0.25">
      <c r="A1308" t="s">
        <v>13</v>
      </c>
      <c r="B1308" s="7">
        <v>40.993178999999998</v>
      </c>
      <c r="C1308" s="4">
        <v>1.5677559999999999</v>
      </c>
      <c r="D1308" s="7">
        <v>79.493626000000006</v>
      </c>
      <c r="E1308">
        <v>1</v>
      </c>
      <c r="F1308">
        <v>1</v>
      </c>
      <c r="G1308" s="2">
        <v>2</v>
      </c>
      <c r="H1308" s="2">
        <v>3</v>
      </c>
      <c r="I1308">
        <v>1</v>
      </c>
      <c r="J1308">
        <v>0</v>
      </c>
      <c r="K1308" s="2">
        <v>2.9525060000000001</v>
      </c>
      <c r="L1308">
        <v>0</v>
      </c>
      <c r="M1308" s="7">
        <v>0</v>
      </c>
      <c r="N1308" s="7">
        <v>0</v>
      </c>
      <c r="O1308">
        <v>0</v>
      </c>
      <c r="P1308" t="s">
        <v>17</v>
      </c>
      <c r="Q1308">
        <v>4</v>
      </c>
      <c r="R1308" s="8">
        <f>(Tabela2[[#This Row],[FAF_atividade_fisica_frequente_em_horas]]+ 0.1)</f>
        <v>0.1</v>
      </c>
      <c r="S1308" s="1">
        <f>(Tabela2[[#This Row],[TUE_tempo_uso_aparelhos_em_horas]]/Tabela2[[#This Row],[FAF_Var]])</f>
        <v>0</v>
      </c>
      <c r="T1308">
        <f>(Tabela2[[#This Row],[CAEC_lanche_entre_refeicoes]]*Tabela2[[#This Row],[FAVC_consumo_frequente_de_alimentos_mt_caloricos]])</f>
        <v>1</v>
      </c>
      <c r="U1308" s="1">
        <f>IF(OR(Tabela2[[#This Row],[MTRANS]]="Walking",Tabela2[[#This Row],[MTRANS]]="Bike"),Tabela2[[#This Row],[FAF_atividade_fisica_frequente_em_horas]]+1,M1308)</f>
        <v>0</v>
      </c>
      <c r="V1308">
        <f>(Tabela2[[#This Row],[SMOKE]]+Tabela2[[#This Row],[CALC_bebe_alcool_frequentemente]])</f>
        <v>0</v>
      </c>
      <c r="W1308" s="8">
        <f>(Tabela2[[#This Row],[Weight]]/(Tabela2[[#This Row],[Height]] ^2))</f>
        <v>32.342632358281499</v>
      </c>
    </row>
    <row r="1309" spans="1:23" x14ac:dyDescent="0.25">
      <c r="A1309" t="s">
        <v>15</v>
      </c>
      <c r="B1309" s="7">
        <v>22.936098000000001</v>
      </c>
      <c r="C1309" s="4">
        <v>1.702825</v>
      </c>
      <c r="D1309" s="7">
        <v>93.638317999999998</v>
      </c>
      <c r="E1309">
        <v>1</v>
      </c>
      <c r="F1309">
        <v>1</v>
      </c>
      <c r="G1309" s="2">
        <v>2</v>
      </c>
      <c r="H1309" s="2">
        <v>3</v>
      </c>
      <c r="I1309">
        <v>1</v>
      </c>
      <c r="J1309">
        <v>0</v>
      </c>
      <c r="K1309" s="2">
        <v>1.746197</v>
      </c>
      <c r="L1309">
        <v>0</v>
      </c>
      <c r="M1309" s="7">
        <v>0.45521600000000001</v>
      </c>
      <c r="N1309" s="7">
        <v>0.33515800000000001</v>
      </c>
      <c r="O1309">
        <v>0</v>
      </c>
      <c r="P1309" t="s">
        <v>14</v>
      </c>
      <c r="Q1309">
        <v>4</v>
      </c>
      <c r="R1309" s="8">
        <f>(Tabela2[[#This Row],[FAF_atividade_fisica_frequente_em_horas]]+ 0.1)</f>
        <v>0.55521600000000004</v>
      </c>
      <c r="S1309" s="1">
        <f>(Tabela2[[#This Row],[TUE_tempo_uso_aparelhos_em_horas]]/Tabela2[[#This Row],[FAF_Var]])</f>
        <v>0.60365335292931033</v>
      </c>
      <c r="T1309">
        <f>(Tabela2[[#This Row],[CAEC_lanche_entre_refeicoes]]*Tabela2[[#This Row],[FAVC_consumo_frequente_de_alimentos_mt_caloricos]])</f>
        <v>1</v>
      </c>
      <c r="U1309" s="1">
        <f>IF(OR(Tabela2[[#This Row],[MTRANS]]="Walking",Tabela2[[#This Row],[MTRANS]]="Bike"),Tabela2[[#This Row],[FAF_atividade_fisica_frequente_em_horas]]+1,M1309)</f>
        <v>0.45521600000000001</v>
      </c>
      <c r="V1309">
        <f>(Tabela2[[#This Row],[SMOKE]]+Tabela2[[#This Row],[CALC_bebe_alcool_frequentemente]])</f>
        <v>0</v>
      </c>
      <c r="W1309" s="8">
        <f>(Tabela2[[#This Row],[Weight]]/(Tabela2[[#This Row],[Height]] ^2))</f>
        <v>32.293384884701624</v>
      </c>
    </row>
    <row r="1310" spans="1:23" x14ac:dyDescent="0.25">
      <c r="A1310" t="s">
        <v>15</v>
      </c>
      <c r="B1310" s="7">
        <v>23</v>
      </c>
      <c r="C1310" s="4">
        <v>1.7356590000000001</v>
      </c>
      <c r="D1310" s="7">
        <v>93.429204999999996</v>
      </c>
      <c r="E1310">
        <v>1</v>
      </c>
      <c r="F1310">
        <v>1</v>
      </c>
      <c r="G1310" s="2">
        <v>2</v>
      </c>
      <c r="H1310" s="2">
        <v>3</v>
      </c>
      <c r="I1310">
        <v>1</v>
      </c>
      <c r="J1310">
        <v>0</v>
      </c>
      <c r="K1310" s="2">
        <v>1.2493069999999999</v>
      </c>
      <c r="L1310">
        <v>0</v>
      </c>
      <c r="M1310" s="7">
        <v>0.97346500000000002</v>
      </c>
      <c r="N1310" s="7">
        <v>1</v>
      </c>
      <c r="O1310">
        <v>0</v>
      </c>
      <c r="P1310" t="s">
        <v>14</v>
      </c>
      <c r="Q1310">
        <v>4</v>
      </c>
      <c r="R1310" s="8">
        <f>(Tabela2[[#This Row],[FAF_atividade_fisica_frequente_em_horas]]+ 0.1)</f>
        <v>1.0734650000000001</v>
      </c>
      <c r="S1310" s="1">
        <f>(Tabela2[[#This Row],[TUE_tempo_uso_aparelhos_em_horas]]/Tabela2[[#This Row],[FAF_Var]])</f>
        <v>0.93156274307965314</v>
      </c>
      <c r="T1310">
        <f>(Tabela2[[#This Row],[CAEC_lanche_entre_refeicoes]]*Tabela2[[#This Row],[FAVC_consumo_frequente_de_alimentos_mt_caloricos]])</f>
        <v>1</v>
      </c>
      <c r="U1310" s="1">
        <f>IF(OR(Tabela2[[#This Row],[MTRANS]]="Walking",Tabela2[[#This Row],[MTRANS]]="Bike"),Tabela2[[#This Row],[FAF_atividade_fisica_frequente_em_horas]]+1,M1310)</f>
        <v>0.97346500000000002</v>
      </c>
      <c r="V1310">
        <f>(Tabela2[[#This Row],[SMOKE]]+Tabela2[[#This Row],[CALC_bebe_alcool_frequentemente]])</f>
        <v>0</v>
      </c>
      <c r="W1310" s="8">
        <f>(Tabela2[[#This Row],[Weight]]/(Tabela2[[#This Row],[Height]] ^2))</f>
        <v>31.013718752003395</v>
      </c>
    </row>
    <row r="1311" spans="1:23" x14ac:dyDescent="0.25">
      <c r="A1311" t="s">
        <v>13</v>
      </c>
      <c r="B1311" s="7">
        <v>37.597952999999997</v>
      </c>
      <c r="C1311" s="4">
        <v>1.6290100000000001</v>
      </c>
      <c r="D1311" s="7">
        <v>80</v>
      </c>
      <c r="E1311">
        <v>1</v>
      </c>
      <c r="F1311">
        <v>1</v>
      </c>
      <c r="G1311" s="2">
        <v>2.4507840000000001</v>
      </c>
      <c r="H1311" s="2">
        <v>2.9528210000000001</v>
      </c>
      <c r="I1311">
        <v>1</v>
      </c>
      <c r="J1311">
        <v>0</v>
      </c>
      <c r="K1311" s="2">
        <v>1.3351919999999999</v>
      </c>
      <c r="L1311">
        <v>0</v>
      </c>
      <c r="M1311" s="7">
        <v>0.18027599999999999</v>
      </c>
      <c r="N1311" s="7">
        <v>0</v>
      </c>
      <c r="O1311">
        <v>1</v>
      </c>
      <c r="P1311" t="s">
        <v>17</v>
      </c>
      <c r="Q1311">
        <v>4</v>
      </c>
      <c r="R1311" s="8">
        <f>(Tabela2[[#This Row],[FAF_atividade_fisica_frequente_em_horas]]+ 0.1)</f>
        <v>0.28027599999999997</v>
      </c>
      <c r="S1311" s="1">
        <f>(Tabela2[[#This Row],[TUE_tempo_uso_aparelhos_em_horas]]/Tabela2[[#This Row],[FAF_Var]])</f>
        <v>0</v>
      </c>
      <c r="T1311">
        <f>(Tabela2[[#This Row],[CAEC_lanche_entre_refeicoes]]*Tabela2[[#This Row],[FAVC_consumo_frequente_de_alimentos_mt_caloricos]])</f>
        <v>1</v>
      </c>
      <c r="U1311" s="1">
        <f>IF(OR(Tabela2[[#This Row],[MTRANS]]="Walking",Tabela2[[#This Row],[MTRANS]]="Bike"),Tabela2[[#This Row],[FAF_atividade_fisica_frequente_em_horas]]+1,M1311)</f>
        <v>0.18027599999999999</v>
      </c>
      <c r="V1311">
        <f>(Tabela2[[#This Row],[SMOKE]]+Tabela2[[#This Row],[CALC_bebe_alcool_frequentemente]])</f>
        <v>1</v>
      </c>
      <c r="W1311" s="8">
        <f>(Tabela2[[#This Row],[Weight]]/(Tabela2[[#This Row],[Height]] ^2))</f>
        <v>30.146887921680744</v>
      </c>
    </row>
    <row r="1312" spans="1:23" x14ac:dyDescent="0.25">
      <c r="A1312" t="s">
        <v>13</v>
      </c>
      <c r="B1312" s="7">
        <v>37.532066</v>
      </c>
      <c r="C1312" s="4">
        <v>1.6153850000000001</v>
      </c>
      <c r="D1312" s="7">
        <v>80</v>
      </c>
      <c r="E1312">
        <v>1</v>
      </c>
      <c r="F1312">
        <v>1</v>
      </c>
      <c r="G1312" s="2">
        <v>2.972426</v>
      </c>
      <c r="H1312" s="2">
        <v>3</v>
      </c>
      <c r="I1312">
        <v>1</v>
      </c>
      <c r="J1312">
        <v>0</v>
      </c>
      <c r="K1312" s="2">
        <v>1.6363259999999999</v>
      </c>
      <c r="L1312">
        <v>0</v>
      </c>
      <c r="M1312" s="7">
        <v>0</v>
      </c>
      <c r="N1312" s="7">
        <v>0</v>
      </c>
      <c r="O1312">
        <v>1</v>
      </c>
      <c r="P1312" t="s">
        <v>17</v>
      </c>
      <c r="Q1312">
        <v>4</v>
      </c>
      <c r="R1312" s="8">
        <f>(Tabela2[[#This Row],[FAF_atividade_fisica_frequente_em_horas]]+ 0.1)</f>
        <v>0.1</v>
      </c>
      <c r="S1312" s="1">
        <f>(Tabela2[[#This Row],[TUE_tempo_uso_aparelhos_em_horas]]/Tabela2[[#This Row],[FAF_Var]])</f>
        <v>0</v>
      </c>
      <c r="T1312">
        <f>(Tabela2[[#This Row],[CAEC_lanche_entre_refeicoes]]*Tabela2[[#This Row],[FAVC_consumo_frequente_de_alimentos_mt_caloricos]])</f>
        <v>1</v>
      </c>
      <c r="U1312" s="1">
        <f>IF(OR(Tabela2[[#This Row],[MTRANS]]="Walking",Tabela2[[#This Row],[MTRANS]]="Bike"),Tabela2[[#This Row],[FAF_atividade_fisica_frequente_em_horas]]+1,M1312)</f>
        <v>0</v>
      </c>
      <c r="V1312">
        <f>(Tabela2[[#This Row],[SMOKE]]+Tabela2[[#This Row],[CALC_bebe_alcool_frequentemente]])</f>
        <v>1</v>
      </c>
      <c r="W1312" s="8">
        <f>(Tabela2[[#This Row],[Weight]]/(Tabela2[[#This Row],[Height]] ^2))</f>
        <v>30.657581773031882</v>
      </c>
    </row>
    <row r="1313" spans="1:23" x14ac:dyDescent="0.25">
      <c r="A1313" t="s">
        <v>15</v>
      </c>
      <c r="B1313" s="7">
        <v>31.630054000000001</v>
      </c>
      <c r="C1313" s="4">
        <v>1.671705</v>
      </c>
      <c r="D1313" s="7">
        <v>90</v>
      </c>
      <c r="E1313">
        <v>1</v>
      </c>
      <c r="F1313">
        <v>1</v>
      </c>
      <c r="G1313" s="2">
        <v>2.4670019999999999</v>
      </c>
      <c r="H1313" s="2">
        <v>1.8510880000000001</v>
      </c>
      <c r="I1313">
        <v>1</v>
      </c>
      <c r="J1313">
        <v>0</v>
      </c>
      <c r="K1313" s="2">
        <v>2.1040540000000001</v>
      </c>
      <c r="L1313">
        <v>0</v>
      </c>
      <c r="M1313" s="7">
        <v>1.991565</v>
      </c>
      <c r="N1313" s="7">
        <v>0</v>
      </c>
      <c r="O1313">
        <v>1</v>
      </c>
      <c r="P1313" t="s">
        <v>17</v>
      </c>
      <c r="Q1313">
        <v>4</v>
      </c>
      <c r="R1313" s="8">
        <f>(Tabela2[[#This Row],[FAF_atividade_fisica_frequente_em_horas]]+ 0.1)</f>
        <v>2.0915650000000001</v>
      </c>
      <c r="S1313" s="1">
        <f>(Tabela2[[#This Row],[TUE_tempo_uso_aparelhos_em_horas]]/Tabela2[[#This Row],[FAF_Var]])</f>
        <v>0</v>
      </c>
      <c r="T1313">
        <f>(Tabela2[[#This Row],[CAEC_lanche_entre_refeicoes]]*Tabela2[[#This Row],[FAVC_consumo_frequente_de_alimentos_mt_caloricos]])</f>
        <v>1</v>
      </c>
      <c r="U1313" s="1">
        <f>IF(OR(Tabela2[[#This Row],[MTRANS]]="Walking",Tabela2[[#This Row],[MTRANS]]="Bike"),Tabela2[[#This Row],[FAF_atividade_fisica_frequente_em_horas]]+1,M1313)</f>
        <v>1.991565</v>
      </c>
      <c r="V1313">
        <f>(Tabela2[[#This Row],[SMOKE]]+Tabela2[[#This Row],[CALC_bebe_alcool_frequentemente]])</f>
        <v>1</v>
      </c>
      <c r="W1313" s="8">
        <f>(Tabela2[[#This Row],[Weight]]/(Tabela2[[#This Row],[Height]] ^2))</f>
        <v>32.204994298198748</v>
      </c>
    </row>
    <row r="1314" spans="1:23" x14ac:dyDescent="0.25">
      <c r="A1314" t="s">
        <v>15</v>
      </c>
      <c r="B1314" s="7">
        <v>31.641081</v>
      </c>
      <c r="C1314" s="4">
        <v>1.6765950000000001</v>
      </c>
      <c r="D1314" s="7">
        <v>89.993812000000005</v>
      </c>
      <c r="E1314">
        <v>1</v>
      </c>
      <c r="F1314">
        <v>1</v>
      </c>
      <c r="G1314" s="2">
        <v>2.9346709999999998</v>
      </c>
      <c r="H1314" s="2">
        <v>2.1196820000000001</v>
      </c>
      <c r="I1314">
        <v>1</v>
      </c>
      <c r="J1314">
        <v>0</v>
      </c>
      <c r="K1314" s="2">
        <v>2.0414620000000001</v>
      </c>
      <c r="L1314">
        <v>0</v>
      </c>
      <c r="M1314" s="7">
        <v>0.57807399999999998</v>
      </c>
      <c r="N1314" s="7">
        <v>0</v>
      </c>
      <c r="O1314">
        <v>1</v>
      </c>
      <c r="P1314" t="s">
        <v>17</v>
      </c>
      <c r="Q1314">
        <v>4</v>
      </c>
      <c r="R1314" s="8">
        <f>(Tabela2[[#This Row],[FAF_atividade_fisica_frequente_em_horas]]+ 0.1)</f>
        <v>0.67807399999999995</v>
      </c>
      <c r="S1314" s="1">
        <f>(Tabela2[[#This Row],[TUE_tempo_uso_aparelhos_em_horas]]/Tabela2[[#This Row],[FAF_Var]])</f>
        <v>0</v>
      </c>
      <c r="T1314">
        <f>(Tabela2[[#This Row],[CAEC_lanche_entre_refeicoes]]*Tabela2[[#This Row],[FAVC_consumo_frequente_de_alimentos_mt_caloricos]])</f>
        <v>1</v>
      </c>
      <c r="U1314" s="1">
        <f>IF(OR(Tabela2[[#This Row],[MTRANS]]="Walking",Tabela2[[#This Row],[MTRANS]]="Bike"),Tabela2[[#This Row],[FAF_atividade_fisica_frequente_em_horas]]+1,M1314)</f>
        <v>0.57807399999999998</v>
      </c>
      <c r="V1314">
        <f>(Tabela2[[#This Row],[SMOKE]]+Tabela2[[#This Row],[CALC_bebe_alcool_frequentemente]])</f>
        <v>1</v>
      </c>
      <c r="W1314" s="8">
        <f>(Tabela2[[#This Row],[Weight]]/(Tabela2[[#This Row],[Height]] ^2))</f>
        <v>32.015207056327611</v>
      </c>
    </row>
    <row r="1315" spans="1:23" x14ac:dyDescent="0.25">
      <c r="A1315" t="s">
        <v>15</v>
      </c>
      <c r="B1315" s="7">
        <v>21.872484</v>
      </c>
      <c r="C1315" s="4">
        <v>1.6999979999999999</v>
      </c>
      <c r="D1315" s="7">
        <v>95.564428000000007</v>
      </c>
      <c r="E1315">
        <v>1</v>
      </c>
      <c r="F1315">
        <v>1</v>
      </c>
      <c r="G1315" s="2">
        <v>2</v>
      </c>
      <c r="H1315" s="2">
        <v>2.970675</v>
      </c>
      <c r="I1315">
        <v>1</v>
      </c>
      <c r="J1315">
        <v>0</v>
      </c>
      <c r="K1315" s="2">
        <v>2</v>
      </c>
      <c r="L1315">
        <v>0</v>
      </c>
      <c r="M1315" s="7">
        <v>0</v>
      </c>
      <c r="N1315" s="7">
        <v>0.169294</v>
      </c>
      <c r="O1315">
        <v>0</v>
      </c>
      <c r="P1315" t="s">
        <v>14</v>
      </c>
      <c r="Q1315">
        <v>4</v>
      </c>
      <c r="R1315" s="8">
        <f>(Tabela2[[#This Row],[FAF_atividade_fisica_frequente_em_horas]]+ 0.1)</f>
        <v>0.1</v>
      </c>
      <c r="S1315" s="1">
        <f>(Tabela2[[#This Row],[TUE_tempo_uso_aparelhos_em_horas]]/Tabela2[[#This Row],[FAF_Var]])</f>
        <v>1.6929399999999999</v>
      </c>
      <c r="T1315">
        <f>(Tabela2[[#This Row],[CAEC_lanche_entre_refeicoes]]*Tabela2[[#This Row],[FAVC_consumo_frequente_de_alimentos_mt_caloricos]])</f>
        <v>1</v>
      </c>
      <c r="U1315" s="1">
        <f>IF(OR(Tabela2[[#This Row],[MTRANS]]="Walking",Tabela2[[#This Row],[MTRANS]]="Bike"),Tabela2[[#This Row],[FAF_atividade_fisica_frequente_em_horas]]+1,M1315)</f>
        <v>0</v>
      </c>
      <c r="V1315">
        <f>(Tabela2[[#This Row],[SMOKE]]+Tabela2[[#This Row],[CALC_bebe_alcool_frequentemente]])</f>
        <v>0</v>
      </c>
      <c r="W1315" s="8">
        <f>(Tabela2[[#This Row],[Weight]]/(Tabela2[[#This Row],[Height]] ^2))</f>
        <v>33.067353930060371</v>
      </c>
    </row>
    <row r="1316" spans="1:23" x14ac:dyDescent="0.25">
      <c r="A1316" t="s">
        <v>15</v>
      </c>
      <c r="B1316" s="7">
        <v>21.834893999999998</v>
      </c>
      <c r="C1316" s="4">
        <v>1.722785</v>
      </c>
      <c r="D1316" s="7">
        <v>94.094183999999998</v>
      </c>
      <c r="E1316">
        <v>1</v>
      </c>
      <c r="F1316">
        <v>1</v>
      </c>
      <c r="G1316" s="2">
        <v>2</v>
      </c>
      <c r="H1316" s="2">
        <v>2.9668030000000001</v>
      </c>
      <c r="I1316">
        <v>1</v>
      </c>
      <c r="J1316">
        <v>0</v>
      </c>
      <c r="K1316" s="2">
        <v>2</v>
      </c>
      <c r="L1316">
        <v>0</v>
      </c>
      <c r="M1316" s="7">
        <v>0</v>
      </c>
      <c r="N1316" s="7">
        <v>1.281541</v>
      </c>
      <c r="O1316">
        <v>0</v>
      </c>
      <c r="P1316" t="s">
        <v>14</v>
      </c>
      <c r="Q1316">
        <v>4</v>
      </c>
      <c r="R1316" s="8">
        <f>(Tabela2[[#This Row],[FAF_atividade_fisica_frequente_em_horas]]+ 0.1)</f>
        <v>0.1</v>
      </c>
      <c r="S1316" s="1">
        <f>(Tabela2[[#This Row],[TUE_tempo_uso_aparelhos_em_horas]]/Tabela2[[#This Row],[FAF_Var]])</f>
        <v>12.81541</v>
      </c>
      <c r="T1316">
        <f>(Tabela2[[#This Row],[CAEC_lanche_entre_refeicoes]]*Tabela2[[#This Row],[FAVC_consumo_frequente_de_alimentos_mt_caloricos]])</f>
        <v>1</v>
      </c>
      <c r="U1316" s="1">
        <f>IF(OR(Tabela2[[#This Row],[MTRANS]]="Walking",Tabela2[[#This Row],[MTRANS]]="Bike"),Tabela2[[#This Row],[FAF_atividade_fisica_frequente_em_horas]]+1,M1316)</f>
        <v>0</v>
      </c>
      <c r="V1316">
        <f>(Tabela2[[#This Row],[SMOKE]]+Tabela2[[#This Row],[CALC_bebe_alcool_frequentemente]])</f>
        <v>0</v>
      </c>
      <c r="W1316" s="8">
        <f>(Tabela2[[#This Row],[Weight]]/(Tabela2[[#This Row],[Height]] ^2))</f>
        <v>31.703018693874739</v>
      </c>
    </row>
    <row r="1317" spans="1:23" x14ac:dyDescent="0.25">
      <c r="A1317" t="s">
        <v>15</v>
      </c>
      <c r="B1317" s="7">
        <v>36.023972000000001</v>
      </c>
      <c r="C1317" s="4">
        <v>1.6706669999999999</v>
      </c>
      <c r="D1317" s="7">
        <v>90.575934000000004</v>
      </c>
      <c r="E1317">
        <v>1</v>
      </c>
      <c r="F1317">
        <v>1</v>
      </c>
      <c r="G1317" s="2">
        <v>2.9035449999999998</v>
      </c>
      <c r="H1317" s="2">
        <v>1.5086850000000001</v>
      </c>
      <c r="I1317">
        <v>1</v>
      </c>
      <c r="J1317">
        <v>0</v>
      </c>
      <c r="K1317" s="2">
        <v>2.4500690000000001</v>
      </c>
      <c r="L1317">
        <v>0</v>
      </c>
      <c r="M1317" s="7">
        <v>1.4547300000000001</v>
      </c>
      <c r="N1317" s="7">
        <v>0</v>
      </c>
      <c r="O1317">
        <v>1</v>
      </c>
      <c r="P1317" t="s">
        <v>17</v>
      </c>
      <c r="Q1317">
        <v>4</v>
      </c>
      <c r="R1317" s="8">
        <f>(Tabela2[[#This Row],[FAF_atividade_fisica_frequente_em_horas]]+ 0.1)</f>
        <v>1.5547300000000002</v>
      </c>
      <c r="S1317" s="1">
        <f>(Tabela2[[#This Row],[TUE_tempo_uso_aparelhos_em_horas]]/Tabela2[[#This Row],[FAF_Var]])</f>
        <v>0</v>
      </c>
      <c r="T1317">
        <f>(Tabela2[[#This Row],[CAEC_lanche_entre_refeicoes]]*Tabela2[[#This Row],[FAVC_consumo_frequente_de_alimentos_mt_caloricos]])</f>
        <v>1</v>
      </c>
      <c r="U1317" s="1">
        <f>IF(OR(Tabela2[[#This Row],[MTRANS]]="Walking",Tabela2[[#This Row],[MTRANS]]="Bike"),Tabela2[[#This Row],[FAF_atividade_fisica_frequente_em_horas]]+1,M1317)</f>
        <v>1.4547300000000001</v>
      </c>
      <c r="V1317">
        <f>(Tabela2[[#This Row],[SMOKE]]+Tabela2[[#This Row],[CALC_bebe_alcool_frequentemente]])</f>
        <v>1</v>
      </c>
      <c r="W1317" s="8">
        <f>(Tabela2[[#This Row],[Weight]]/(Tabela2[[#This Row],[Height]] ^2))</f>
        <v>32.451369733686143</v>
      </c>
    </row>
    <row r="1318" spans="1:23" x14ac:dyDescent="0.25">
      <c r="A1318" t="s">
        <v>15</v>
      </c>
      <c r="B1318" s="7">
        <v>39.656559000000001</v>
      </c>
      <c r="C1318" s="4">
        <v>1.789992</v>
      </c>
      <c r="D1318" s="7">
        <v>98.021766</v>
      </c>
      <c r="E1318">
        <v>1</v>
      </c>
      <c r="F1318">
        <v>1</v>
      </c>
      <c r="G1318" s="2">
        <v>2.0433590000000001</v>
      </c>
      <c r="H1318" s="2">
        <v>2.209314</v>
      </c>
      <c r="I1318">
        <v>1</v>
      </c>
      <c r="J1318">
        <v>0</v>
      </c>
      <c r="K1318" s="2">
        <v>2.7858040000000002</v>
      </c>
      <c r="L1318">
        <v>0</v>
      </c>
      <c r="M1318" s="7">
        <v>1.2596130000000001</v>
      </c>
      <c r="N1318" s="7">
        <v>0.66961599999999999</v>
      </c>
      <c r="O1318">
        <v>1</v>
      </c>
      <c r="P1318" t="s">
        <v>17</v>
      </c>
      <c r="Q1318">
        <v>4</v>
      </c>
      <c r="R1318" s="8">
        <f>(Tabela2[[#This Row],[FAF_atividade_fisica_frequente_em_horas]]+ 0.1)</f>
        <v>1.3596130000000002</v>
      </c>
      <c r="S1318" s="1">
        <f>(Tabela2[[#This Row],[TUE_tempo_uso_aparelhos_em_horas]]/Tabela2[[#This Row],[FAF_Var]])</f>
        <v>0.49250485248375819</v>
      </c>
      <c r="T1318">
        <f>(Tabela2[[#This Row],[CAEC_lanche_entre_refeicoes]]*Tabela2[[#This Row],[FAVC_consumo_frequente_de_alimentos_mt_caloricos]])</f>
        <v>1</v>
      </c>
      <c r="U1318" s="1">
        <f>IF(OR(Tabela2[[#This Row],[MTRANS]]="Walking",Tabela2[[#This Row],[MTRANS]]="Bike"),Tabela2[[#This Row],[FAF_atividade_fisica_frequente_em_horas]]+1,M1318)</f>
        <v>1.2596130000000001</v>
      </c>
      <c r="V1318">
        <f>(Tabela2[[#This Row],[SMOKE]]+Tabela2[[#This Row],[CALC_bebe_alcool_frequentemente]])</f>
        <v>1</v>
      </c>
      <c r="W1318" s="8">
        <f>(Tabela2[[#This Row],[Weight]]/(Tabela2[[#This Row],[Height]] ^2))</f>
        <v>30.59287855500261</v>
      </c>
    </row>
    <row r="1319" spans="1:23" x14ac:dyDescent="0.25">
      <c r="A1319" t="s">
        <v>15</v>
      </c>
      <c r="B1319" s="7">
        <v>24.184891</v>
      </c>
      <c r="C1319" s="4">
        <v>1.768834</v>
      </c>
      <c r="D1319" s="7">
        <v>97.449742999999998</v>
      </c>
      <c r="E1319">
        <v>1</v>
      </c>
      <c r="F1319">
        <v>1</v>
      </c>
      <c r="G1319" s="2">
        <v>2</v>
      </c>
      <c r="H1319" s="2">
        <v>3</v>
      </c>
      <c r="I1319">
        <v>1</v>
      </c>
      <c r="J1319">
        <v>0</v>
      </c>
      <c r="K1319" s="2">
        <v>2.9737290000000001</v>
      </c>
      <c r="L1319">
        <v>0</v>
      </c>
      <c r="M1319" s="7">
        <v>2.4916420000000001</v>
      </c>
      <c r="N1319" s="7">
        <v>1.36595</v>
      </c>
      <c r="O1319">
        <v>0</v>
      </c>
      <c r="P1319" t="s">
        <v>14</v>
      </c>
      <c r="Q1319">
        <v>4</v>
      </c>
      <c r="R1319" s="8">
        <f>(Tabela2[[#This Row],[FAF_atividade_fisica_frequente_em_horas]]+ 0.1)</f>
        <v>2.5916420000000002</v>
      </c>
      <c r="S1319" s="1">
        <f>(Tabela2[[#This Row],[TUE_tempo_uso_aparelhos_em_horas]]/Tabela2[[#This Row],[FAF_Var]])</f>
        <v>0.5270596787673606</v>
      </c>
      <c r="T1319">
        <f>(Tabela2[[#This Row],[CAEC_lanche_entre_refeicoes]]*Tabela2[[#This Row],[FAVC_consumo_frequente_de_alimentos_mt_caloricos]])</f>
        <v>1</v>
      </c>
      <c r="U1319" s="1">
        <f>IF(OR(Tabela2[[#This Row],[MTRANS]]="Walking",Tabela2[[#This Row],[MTRANS]]="Bike"),Tabela2[[#This Row],[FAF_atividade_fisica_frequente_em_horas]]+1,M1319)</f>
        <v>2.4916420000000001</v>
      </c>
      <c r="V1319">
        <f>(Tabela2[[#This Row],[SMOKE]]+Tabela2[[#This Row],[CALC_bebe_alcool_frequentemente]])</f>
        <v>0</v>
      </c>
      <c r="W1319" s="8">
        <f>(Tabela2[[#This Row],[Weight]]/(Tabela2[[#This Row],[Height]] ^2))</f>
        <v>31.146305784564362</v>
      </c>
    </row>
    <row r="1320" spans="1:23" x14ac:dyDescent="0.25">
      <c r="A1320" t="s">
        <v>15</v>
      </c>
      <c r="B1320" s="7">
        <v>23.237302</v>
      </c>
      <c r="C1320" s="4">
        <v>1.7610079999999999</v>
      </c>
      <c r="D1320" s="7">
        <v>97.829344000000006</v>
      </c>
      <c r="E1320">
        <v>1</v>
      </c>
      <c r="F1320">
        <v>1</v>
      </c>
      <c r="G1320" s="2">
        <v>2</v>
      </c>
      <c r="H1320" s="2">
        <v>3</v>
      </c>
      <c r="I1320">
        <v>1</v>
      </c>
      <c r="J1320">
        <v>0</v>
      </c>
      <c r="K1320" s="2">
        <v>2.9887709999999998</v>
      </c>
      <c r="L1320">
        <v>0</v>
      </c>
      <c r="M1320" s="7">
        <v>2.4299230000000001</v>
      </c>
      <c r="N1320" s="7">
        <v>1.978043</v>
      </c>
      <c r="O1320">
        <v>0</v>
      </c>
      <c r="P1320" t="s">
        <v>14</v>
      </c>
      <c r="Q1320">
        <v>4</v>
      </c>
      <c r="R1320" s="8">
        <f>(Tabela2[[#This Row],[FAF_atividade_fisica_frequente_em_horas]]+ 0.1)</f>
        <v>2.5299230000000001</v>
      </c>
      <c r="S1320" s="1">
        <f>(Tabela2[[#This Row],[TUE_tempo_uso_aparelhos_em_horas]]/Tabela2[[#This Row],[FAF_Var]])</f>
        <v>0.78185897357350398</v>
      </c>
      <c r="T1320">
        <f>(Tabela2[[#This Row],[CAEC_lanche_entre_refeicoes]]*Tabela2[[#This Row],[FAVC_consumo_frequente_de_alimentos_mt_caloricos]])</f>
        <v>1</v>
      </c>
      <c r="U1320" s="1">
        <f>IF(OR(Tabela2[[#This Row],[MTRANS]]="Walking",Tabela2[[#This Row],[MTRANS]]="Bike"),Tabela2[[#This Row],[FAF_atividade_fisica_frequente_em_horas]]+1,M1320)</f>
        <v>2.4299230000000001</v>
      </c>
      <c r="V1320">
        <f>(Tabela2[[#This Row],[SMOKE]]+Tabela2[[#This Row],[CALC_bebe_alcool_frequentemente]])</f>
        <v>0</v>
      </c>
      <c r="W1320" s="8">
        <f>(Tabela2[[#This Row],[Weight]]/(Tabela2[[#This Row],[Height]] ^2))</f>
        <v>31.546158680494596</v>
      </c>
    </row>
    <row r="1321" spans="1:23" x14ac:dyDescent="0.25">
      <c r="A1321" t="s">
        <v>15</v>
      </c>
      <c r="B1321" s="7">
        <v>35.322111999999997</v>
      </c>
      <c r="C1321" s="4">
        <v>1.78</v>
      </c>
      <c r="D1321" s="7">
        <v>102.26595500000001</v>
      </c>
      <c r="E1321">
        <v>1</v>
      </c>
      <c r="F1321">
        <v>1</v>
      </c>
      <c r="G1321" s="2">
        <v>2.7875890000000001</v>
      </c>
      <c r="H1321" s="2">
        <v>1.1145640000000001</v>
      </c>
      <c r="I1321">
        <v>1</v>
      </c>
      <c r="J1321">
        <v>0</v>
      </c>
      <c r="K1321" s="2">
        <v>3</v>
      </c>
      <c r="L1321">
        <v>0</v>
      </c>
      <c r="M1321" s="7">
        <v>2.7103380000000001</v>
      </c>
      <c r="N1321" s="7">
        <v>0.57218500000000005</v>
      </c>
      <c r="O1321">
        <v>1</v>
      </c>
      <c r="P1321" t="s">
        <v>17</v>
      </c>
      <c r="Q1321">
        <v>4</v>
      </c>
      <c r="R1321" s="8">
        <f>(Tabela2[[#This Row],[FAF_atividade_fisica_frequente_em_horas]]+ 0.1)</f>
        <v>2.8103380000000002</v>
      </c>
      <c r="S1321" s="1">
        <f>(Tabela2[[#This Row],[TUE_tempo_uso_aparelhos_em_horas]]/Tabela2[[#This Row],[FAF_Var]])</f>
        <v>0.20360006518788842</v>
      </c>
      <c r="T1321">
        <f>(Tabela2[[#This Row],[CAEC_lanche_entre_refeicoes]]*Tabela2[[#This Row],[FAVC_consumo_frequente_de_alimentos_mt_caloricos]])</f>
        <v>1</v>
      </c>
      <c r="U1321" s="1">
        <f>IF(OR(Tabela2[[#This Row],[MTRANS]]="Walking",Tabela2[[#This Row],[MTRANS]]="Bike"),Tabela2[[#This Row],[FAF_atividade_fisica_frequente_em_horas]]+1,M1321)</f>
        <v>2.7103380000000001</v>
      </c>
      <c r="V1321">
        <f>(Tabela2[[#This Row],[SMOKE]]+Tabela2[[#This Row],[CALC_bebe_alcool_frequentemente]])</f>
        <v>1</v>
      </c>
      <c r="W1321" s="8">
        <f>(Tabela2[[#This Row],[Weight]]/(Tabela2[[#This Row],[Height]] ^2))</f>
        <v>32.27684477969953</v>
      </c>
    </row>
    <row r="1322" spans="1:23" x14ac:dyDescent="0.25">
      <c r="A1322" t="s">
        <v>15</v>
      </c>
      <c r="B1322" s="7">
        <v>31.387982000000001</v>
      </c>
      <c r="C1322" s="4">
        <v>1.8102149999999999</v>
      </c>
      <c r="D1322" s="7">
        <v>105.25435400000001</v>
      </c>
      <c r="E1322">
        <v>1</v>
      </c>
      <c r="F1322">
        <v>1</v>
      </c>
      <c r="G1322" s="2">
        <v>2.3972799999999999</v>
      </c>
      <c r="H1322" s="2">
        <v>2.036794</v>
      </c>
      <c r="I1322">
        <v>1</v>
      </c>
      <c r="J1322">
        <v>0</v>
      </c>
      <c r="K1322" s="2">
        <v>2.6594190000000002</v>
      </c>
      <c r="L1322">
        <v>0</v>
      </c>
      <c r="M1322" s="7">
        <v>1.062011</v>
      </c>
      <c r="N1322" s="7">
        <v>1.7711349999999999</v>
      </c>
      <c r="O1322">
        <v>1</v>
      </c>
      <c r="P1322" t="s">
        <v>17</v>
      </c>
      <c r="Q1322">
        <v>4</v>
      </c>
      <c r="R1322" s="8">
        <f>(Tabela2[[#This Row],[FAF_atividade_fisica_frequente_em_horas]]+ 0.1)</f>
        <v>1.1620110000000001</v>
      </c>
      <c r="S1322" s="1">
        <f>(Tabela2[[#This Row],[TUE_tempo_uso_aparelhos_em_horas]]/Tabela2[[#This Row],[FAF_Var]])</f>
        <v>1.5241981358179912</v>
      </c>
      <c r="T1322">
        <f>(Tabela2[[#This Row],[CAEC_lanche_entre_refeicoes]]*Tabela2[[#This Row],[FAVC_consumo_frequente_de_alimentos_mt_caloricos]])</f>
        <v>1</v>
      </c>
      <c r="U1322" s="1">
        <f>IF(OR(Tabela2[[#This Row],[MTRANS]]="Walking",Tabela2[[#This Row],[MTRANS]]="Bike"),Tabela2[[#This Row],[FAF_atividade_fisica_frequente_em_horas]]+1,M1322)</f>
        <v>1.062011</v>
      </c>
      <c r="V1322">
        <f>(Tabela2[[#This Row],[SMOKE]]+Tabela2[[#This Row],[CALC_bebe_alcool_frequentemente]])</f>
        <v>1</v>
      </c>
      <c r="W1322" s="8">
        <f>(Tabela2[[#This Row],[Weight]]/(Tabela2[[#This Row],[Height]] ^2))</f>
        <v>32.120311735482701</v>
      </c>
    </row>
    <row r="1323" spans="1:23" x14ac:dyDescent="0.25">
      <c r="A1323" t="s">
        <v>13</v>
      </c>
      <c r="B1323" s="7">
        <v>23</v>
      </c>
      <c r="C1323" s="4">
        <v>1.6084689999999999</v>
      </c>
      <c r="D1323" s="7">
        <v>82.954796000000002</v>
      </c>
      <c r="E1323">
        <v>1</v>
      </c>
      <c r="F1323">
        <v>1</v>
      </c>
      <c r="G1323" s="2">
        <v>2.1500539999999999</v>
      </c>
      <c r="H1323" s="2">
        <v>2.9885389999999998</v>
      </c>
      <c r="I1323">
        <v>1</v>
      </c>
      <c r="J1323">
        <v>0</v>
      </c>
      <c r="K1323" s="2">
        <v>2.7683249999999999</v>
      </c>
      <c r="L1323">
        <v>0</v>
      </c>
      <c r="M1323" s="7">
        <v>2.0851500000000001</v>
      </c>
      <c r="N1323" s="7">
        <v>0</v>
      </c>
      <c r="O1323">
        <v>0</v>
      </c>
      <c r="P1323" t="s">
        <v>14</v>
      </c>
      <c r="Q1323">
        <v>4</v>
      </c>
      <c r="R1323" s="8">
        <f>(Tabela2[[#This Row],[FAF_atividade_fisica_frequente_em_horas]]+ 0.1)</f>
        <v>2.1851500000000001</v>
      </c>
      <c r="S1323" s="1">
        <f>(Tabela2[[#This Row],[TUE_tempo_uso_aparelhos_em_horas]]/Tabela2[[#This Row],[FAF_Var]])</f>
        <v>0</v>
      </c>
      <c r="T1323">
        <f>(Tabela2[[#This Row],[CAEC_lanche_entre_refeicoes]]*Tabela2[[#This Row],[FAVC_consumo_frequente_de_alimentos_mt_caloricos]])</f>
        <v>1</v>
      </c>
      <c r="U1323" s="1">
        <f>IF(OR(Tabela2[[#This Row],[MTRANS]]="Walking",Tabela2[[#This Row],[MTRANS]]="Bike"),Tabela2[[#This Row],[FAF_atividade_fisica_frequente_em_horas]]+1,M1323)</f>
        <v>2.0851500000000001</v>
      </c>
      <c r="V1323">
        <f>(Tabela2[[#This Row],[SMOKE]]+Tabela2[[#This Row],[CALC_bebe_alcool_frequentemente]])</f>
        <v>0</v>
      </c>
      <c r="W1323" s="8">
        <f>(Tabela2[[#This Row],[Weight]]/(Tabela2[[#This Row],[Height]] ^2))</f>
        <v>32.063882571307992</v>
      </c>
    </row>
    <row r="1324" spans="1:23" x14ac:dyDescent="0.25">
      <c r="A1324" t="s">
        <v>13</v>
      </c>
      <c r="B1324" s="7">
        <v>23</v>
      </c>
      <c r="C1324" s="4">
        <v>1.6303570000000001</v>
      </c>
      <c r="D1324" s="7">
        <v>83.101100000000002</v>
      </c>
      <c r="E1324">
        <v>1</v>
      </c>
      <c r="F1324">
        <v>1</v>
      </c>
      <c r="G1324" s="2">
        <v>2.9775849999999999</v>
      </c>
      <c r="H1324" s="2">
        <v>1.630506</v>
      </c>
      <c r="I1324">
        <v>1</v>
      </c>
      <c r="J1324">
        <v>0</v>
      </c>
      <c r="K1324" s="2">
        <v>2.8393190000000001</v>
      </c>
      <c r="L1324">
        <v>0</v>
      </c>
      <c r="M1324" s="7">
        <v>1.0914740000000001</v>
      </c>
      <c r="N1324" s="7">
        <v>0.889517</v>
      </c>
      <c r="O1324">
        <v>0</v>
      </c>
      <c r="P1324" t="s">
        <v>14</v>
      </c>
      <c r="Q1324">
        <v>4</v>
      </c>
      <c r="R1324" s="8">
        <f>(Tabela2[[#This Row],[FAF_atividade_fisica_frequente_em_horas]]+ 0.1)</f>
        <v>1.1914740000000001</v>
      </c>
      <c r="S1324" s="1">
        <f>(Tabela2[[#This Row],[TUE_tempo_uso_aparelhos_em_horas]]/Tabela2[[#This Row],[FAF_Var]])</f>
        <v>0.74656853611576912</v>
      </c>
      <c r="T1324">
        <f>(Tabela2[[#This Row],[CAEC_lanche_entre_refeicoes]]*Tabela2[[#This Row],[FAVC_consumo_frequente_de_alimentos_mt_caloricos]])</f>
        <v>1</v>
      </c>
      <c r="U1324" s="1">
        <f>IF(OR(Tabela2[[#This Row],[MTRANS]]="Walking",Tabela2[[#This Row],[MTRANS]]="Bike"),Tabela2[[#This Row],[FAF_atividade_fisica_frequente_em_horas]]+1,M1324)</f>
        <v>1.0914740000000001</v>
      </c>
      <c r="V1324">
        <f>(Tabela2[[#This Row],[SMOKE]]+Tabela2[[#This Row],[CALC_bebe_alcool_frequentemente]])</f>
        <v>0</v>
      </c>
      <c r="W1324" s="8">
        <f>(Tabela2[[#This Row],[Weight]]/(Tabela2[[#This Row],[Height]] ^2))</f>
        <v>31.263770038246779</v>
      </c>
    </row>
    <row r="1325" spans="1:23" x14ac:dyDescent="0.25">
      <c r="A1325" t="s">
        <v>13</v>
      </c>
      <c r="B1325" s="7">
        <v>22.679454</v>
      </c>
      <c r="C1325" s="4">
        <v>1.62826</v>
      </c>
      <c r="D1325" s="7">
        <v>82.967937000000006</v>
      </c>
      <c r="E1325">
        <v>1</v>
      </c>
      <c r="F1325">
        <v>1</v>
      </c>
      <c r="G1325" s="2">
        <v>2.2744909999999998</v>
      </c>
      <c r="H1325" s="2">
        <v>1</v>
      </c>
      <c r="I1325">
        <v>1</v>
      </c>
      <c r="J1325">
        <v>0</v>
      </c>
      <c r="K1325" s="2">
        <v>2.2694999999999999</v>
      </c>
      <c r="L1325">
        <v>0</v>
      </c>
      <c r="M1325" s="7">
        <v>0.946461</v>
      </c>
      <c r="N1325" s="7">
        <v>1.7310700000000001</v>
      </c>
      <c r="O1325">
        <v>1</v>
      </c>
      <c r="P1325" t="s">
        <v>14</v>
      </c>
      <c r="Q1325">
        <v>4</v>
      </c>
      <c r="R1325" s="8">
        <f>(Tabela2[[#This Row],[FAF_atividade_fisica_frequente_em_horas]]+ 0.1)</f>
        <v>1.0464610000000001</v>
      </c>
      <c r="S1325" s="1">
        <f>(Tabela2[[#This Row],[TUE_tempo_uso_aparelhos_em_horas]]/Tabela2[[#This Row],[FAF_Var]])</f>
        <v>1.6542135827326578</v>
      </c>
      <c r="T1325">
        <f>(Tabela2[[#This Row],[CAEC_lanche_entre_refeicoes]]*Tabela2[[#This Row],[FAVC_consumo_frequente_de_alimentos_mt_caloricos]])</f>
        <v>1</v>
      </c>
      <c r="U1325" s="1">
        <f>IF(OR(Tabela2[[#This Row],[MTRANS]]="Walking",Tabela2[[#This Row],[MTRANS]]="Bike"),Tabela2[[#This Row],[FAF_atividade_fisica_frequente_em_horas]]+1,M1325)</f>
        <v>0.946461</v>
      </c>
      <c r="V1325">
        <f>(Tabela2[[#This Row],[SMOKE]]+Tabela2[[#This Row],[CALC_bebe_alcool_frequentemente]])</f>
        <v>1</v>
      </c>
      <c r="W1325" s="8">
        <f>(Tabela2[[#This Row],[Weight]]/(Tabela2[[#This Row],[Height]] ^2))</f>
        <v>31.294122863655172</v>
      </c>
    </row>
    <row r="1326" spans="1:23" x14ac:dyDescent="0.25">
      <c r="A1326" t="s">
        <v>13</v>
      </c>
      <c r="B1326" s="7">
        <v>22.480889000000001</v>
      </c>
      <c r="C1326" s="4">
        <v>1.6056619999999999</v>
      </c>
      <c r="D1326" s="7">
        <v>82.470375000000004</v>
      </c>
      <c r="E1326">
        <v>1</v>
      </c>
      <c r="F1326">
        <v>1</v>
      </c>
      <c r="G1326" s="2">
        <v>1.5572870000000001</v>
      </c>
      <c r="H1326" s="2">
        <v>1</v>
      </c>
      <c r="I1326">
        <v>1</v>
      </c>
      <c r="J1326">
        <v>0</v>
      </c>
      <c r="K1326" s="2">
        <v>2.3710149999999999</v>
      </c>
      <c r="L1326">
        <v>0</v>
      </c>
      <c r="M1326" s="7">
        <v>0.28803200000000001</v>
      </c>
      <c r="N1326" s="7">
        <v>2</v>
      </c>
      <c r="O1326">
        <v>1</v>
      </c>
      <c r="P1326" t="s">
        <v>14</v>
      </c>
      <c r="Q1326">
        <v>4</v>
      </c>
      <c r="R1326" s="8">
        <f>(Tabela2[[#This Row],[FAF_atividade_fisica_frequente_em_horas]]+ 0.1)</f>
        <v>0.38803200000000004</v>
      </c>
      <c r="S1326" s="1">
        <f>(Tabela2[[#This Row],[TUE_tempo_uso_aparelhos_em_horas]]/Tabela2[[#This Row],[FAF_Var]])</f>
        <v>5.1542140854362524</v>
      </c>
      <c r="T1326">
        <f>(Tabela2[[#This Row],[CAEC_lanche_entre_refeicoes]]*Tabela2[[#This Row],[FAVC_consumo_frequente_de_alimentos_mt_caloricos]])</f>
        <v>1</v>
      </c>
      <c r="U1326" s="1">
        <f>IF(OR(Tabela2[[#This Row],[MTRANS]]="Walking",Tabela2[[#This Row],[MTRANS]]="Bike"),Tabela2[[#This Row],[FAF_atividade_fisica_frequente_em_horas]]+1,M1326)</f>
        <v>0.28803200000000001</v>
      </c>
      <c r="V1326">
        <f>(Tabela2[[#This Row],[SMOKE]]+Tabela2[[#This Row],[CALC_bebe_alcool_frequentemente]])</f>
        <v>1</v>
      </c>
      <c r="W1326" s="8">
        <f>(Tabela2[[#This Row],[Weight]]/(Tabela2[[#This Row],[Height]] ^2))</f>
        <v>31.988193216687318</v>
      </c>
    </row>
    <row r="1327" spans="1:23" x14ac:dyDescent="0.25">
      <c r="A1327" t="s">
        <v>13</v>
      </c>
      <c r="B1327" s="7">
        <v>41.403861999999997</v>
      </c>
      <c r="C1327" s="4">
        <v>1.5679730000000001</v>
      </c>
      <c r="D1327" s="7">
        <v>81.056850999999995</v>
      </c>
      <c r="E1327">
        <v>1</v>
      </c>
      <c r="F1327">
        <v>1</v>
      </c>
      <c r="G1327" s="2">
        <v>2.1522640000000002</v>
      </c>
      <c r="H1327" s="2">
        <v>2.9779990000000001</v>
      </c>
      <c r="I1327">
        <v>1</v>
      </c>
      <c r="J1327">
        <v>0</v>
      </c>
      <c r="K1327" s="2">
        <v>1.513199</v>
      </c>
      <c r="L1327">
        <v>0</v>
      </c>
      <c r="M1327" s="7">
        <v>0</v>
      </c>
      <c r="N1327" s="7">
        <v>0</v>
      </c>
      <c r="O1327">
        <v>1</v>
      </c>
      <c r="P1327" t="s">
        <v>17</v>
      </c>
      <c r="Q1327">
        <v>4</v>
      </c>
      <c r="R1327" s="8">
        <f>(Tabela2[[#This Row],[FAF_atividade_fisica_frequente_em_horas]]+ 0.1)</f>
        <v>0.1</v>
      </c>
      <c r="S1327" s="1">
        <f>(Tabela2[[#This Row],[TUE_tempo_uso_aparelhos_em_horas]]/Tabela2[[#This Row],[FAF_Var]])</f>
        <v>0</v>
      </c>
      <c r="T1327">
        <f>(Tabela2[[#This Row],[CAEC_lanche_entre_refeicoes]]*Tabela2[[#This Row],[FAVC_consumo_frequente_de_alimentos_mt_caloricos]])</f>
        <v>1</v>
      </c>
      <c r="U1327" s="1">
        <f>IF(OR(Tabela2[[#This Row],[MTRANS]]="Walking",Tabela2[[#This Row],[MTRANS]]="Bike"),Tabela2[[#This Row],[FAF_atividade_fisica_frequente_em_horas]]+1,M1327)</f>
        <v>0</v>
      </c>
      <c r="V1327">
        <f>(Tabela2[[#This Row],[SMOKE]]+Tabela2[[#This Row],[CALC_bebe_alcool_frequentemente]])</f>
        <v>1</v>
      </c>
      <c r="W1327" s="8">
        <f>(Tabela2[[#This Row],[Weight]]/(Tabela2[[#This Row],[Height]] ^2))</f>
        <v>32.969515700976906</v>
      </c>
    </row>
    <row r="1328" spans="1:23" x14ac:dyDescent="0.25">
      <c r="A1328" t="s">
        <v>13</v>
      </c>
      <c r="B1328" s="7">
        <v>40.702770999999998</v>
      </c>
      <c r="C1328" s="4">
        <v>1.548403</v>
      </c>
      <c r="D1328" s="7">
        <v>80</v>
      </c>
      <c r="E1328">
        <v>1</v>
      </c>
      <c r="F1328">
        <v>1</v>
      </c>
      <c r="G1328" s="2">
        <v>2</v>
      </c>
      <c r="H1328" s="2">
        <v>3</v>
      </c>
      <c r="I1328">
        <v>1</v>
      </c>
      <c r="J1328">
        <v>0</v>
      </c>
      <c r="K1328" s="2">
        <v>1.326165</v>
      </c>
      <c r="L1328">
        <v>0</v>
      </c>
      <c r="M1328" s="7">
        <v>0</v>
      </c>
      <c r="N1328" s="7">
        <v>0</v>
      </c>
      <c r="O1328">
        <v>1</v>
      </c>
      <c r="P1328" t="s">
        <v>17</v>
      </c>
      <c r="Q1328">
        <v>4</v>
      </c>
      <c r="R1328" s="8">
        <f>(Tabela2[[#This Row],[FAF_atividade_fisica_frequente_em_horas]]+ 0.1)</f>
        <v>0.1</v>
      </c>
      <c r="S1328" s="1">
        <f>(Tabela2[[#This Row],[TUE_tempo_uso_aparelhos_em_horas]]/Tabela2[[#This Row],[FAF_Var]])</f>
        <v>0</v>
      </c>
      <c r="T1328">
        <f>(Tabela2[[#This Row],[CAEC_lanche_entre_refeicoes]]*Tabela2[[#This Row],[FAVC_consumo_frequente_de_alimentos_mt_caloricos]])</f>
        <v>1</v>
      </c>
      <c r="U1328" s="1">
        <f>IF(OR(Tabela2[[#This Row],[MTRANS]]="Walking",Tabela2[[#This Row],[MTRANS]]="Bike"),Tabela2[[#This Row],[FAF_atividade_fisica_frequente_em_horas]]+1,M1328)</f>
        <v>0</v>
      </c>
      <c r="V1328">
        <f>(Tabela2[[#This Row],[SMOKE]]+Tabela2[[#This Row],[CALC_bebe_alcool_frequentemente]])</f>
        <v>1</v>
      </c>
      <c r="W1328" s="8">
        <f>(Tabela2[[#This Row],[Weight]]/(Tabela2[[#This Row],[Height]] ^2))</f>
        <v>33.367370130640865</v>
      </c>
    </row>
    <row r="1329" spans="1:23" x14ac:dyDescent="0.25">
      <c r="A1329" t="s">
        <v>15</v>
      </c>
      <c r="B1329" s="7">
        <v>29.389239</v>
      </c>
      <c r="C1329" s="4">
        <v>1.6818550000000001</v>
      </c>
      <c r="D1329" s="7">
        <v>90</v>
      </c>
      <c r="E1329">
        <v>1</v>
      </c>
      <c r="F1329">
        <v>1</v>
      </c>
      <c r="G1329" s="2">
        <v>2.0884100000000001</v>
      </c>
      <c r="H1329" s="2">
        <v>2.644692</v>
      </c>
      <c r="I1329">
        <v>1</v>
      </c>
      <c r="J1329">
        <v>0</v>
      </c>
      <c r="K1329" s="2">
        <v>2.7732359999999998</v>
      </c>
      <c r="L1329">
        <v>0</v>
      </c>
      <c r="M1329" s="7">
        <v>1.252472</v>
      </c>
      <c r="N1329" s="7">
        <v>0</v>
      </c>
      <c r="O1329">
        <v>1</v>
      </c>
      <c r="P1329" t="s">
        <v>17</v>
      </c>
      <c r="Q1329">
        <v>4</v>
      </c>
      <c r="R1329" s="8">
        <f>(Tabela2[[#This Row],[FAF_atividade_fisica_frequente_em_horas]]+ 0.1)</f>
        <v>1.3524720000000001</v>
      </c>
      <c r="S1329" s="1">
        <f>(Tabela2[[#This Row],[TUE_tempo_uso_aparelhos_em_horas]]/Tabela2[[#This Row],[FAF_Var]])</f>
        <v>0</v>
      </c>
      <c r="T1329">
        <f>(Tabela2[[#This Row],[CAEC_lanche_entre_refeicoes]]*Tabela2[[#This Row],[FAVC_consumo_frequente_de_alimentos_mt_caloricos]])</f>
        <v>1</v>
      </c>
      <c r="U1329" s="1">
        <f>IF(OR(Tabela2[[#This Row],[MTRANS]]="Walking",Tabela2[[#This Row],[MTRANS]]="Bike"),Tabela2[[#This Row],[FAF_atividade_fisica_frequente_em_horas]]+1,M1329)</f>
        <v>1.252472</v>
      </c>
      <c r="V1329">
        <f>(Tabela2[[#This Row],[SMOKE]]+Tabela2[[#This Row],[CALC_bebe_alcool_frequentemente]])</f>
        <v>1</v>
      </c>
      <c r="W1329" s="8">
        <f>(Tabela2[[#This Row],[Weight]]/(Tabela2[[#This Row],[Height]] ^2))</f>
        <v>31.817452769178654</v>
      </c>
    </row>
    <row r="1330" spans="1:23" x14ac:dyDescent="0.25">
      <c r="A1330" t="s">
        <v>15</v>
      </c>
      <c r="B1330" s="7">
        <v>30.967417000000001</v>
      </c>
      <c r="C1330" s="4">
        <v>1.688436</v>
      </c>
      <c r="D1330" s="7">
        <v>90</v>
      </c>
      <c r="E1330">
        <v>1</v>
      </c>
      <c r="F1330">
        <v>1</v>
      </c>
      <c r="G1330" s="2">
        <v>2.1800470000000001</v>
      </c>
      <c r="H1330" s="2">
        <v>2.7330770000000002</v>
      </c>
      <c r="I1330">
        <v>1</v>
      </c>
      <c r="J1330">
        <v>0</v>
      </c>
      <c r="K1330" s="2">
        <v>2.77962</v>
      </c>
      <c r="L1330">
        <v>0</v>
      </c>
      <c r="M1330" s="7">
        <v>1.454129</v>
      </c>
      <c r="N1330" s="7">
        <v>0</v>
      </c>
      <c r="O1330">
        <v>1</v>
      </c>
      <c r="P1330" t="s">
        <v>17</v>
      </c>
      <c r="Q1330">
        <v>4</v>
      </c>
      <c r="R1330" s="8">
        <f>(Tabela2[[#This Row],[FAF_atividade_fisica_frequente_em_horas]]+ 0.1)</f>
        <v>1.5541290000000001</v>
      </c>
      <c r="S1330" s="1">
        <f>(Tabela2[[#This Row],[TUE_tempo_uso_aparelhos_em_horas]]/Tabela2[[#This Row],[FAF_Var]])</f>
        <v>0</v>
      </c>
      <c r="T1330">
        <f>(Tabela2[[#This Row],[CAEC_lanche_entre_refeicoes]]*Tabela2[[#This Row],[FAVC_consumo_frequente_de_alimentos_mt_caloricos]])</f>
        <v>1</v>
      </c>
      <c r="U1330" s="1">
        <f>IF(OR(Tabela2[[#This Row],[MTRANS]]="Walking",Tabela2[[#This Row],[MTRANS]]="Bike"),Tabela2[[#This Row],[FAF_atividade_fisica_frequente_em_horas]]+1,M1330)</f>
        <v>1.454129</v>
      </c>
      <c r="V1330">
        <f>(Tabela2[[#This Row],[SMOKE]]+Tabela2[[#This Row],[CALC_bebe_alcool_frequentemente]])</f>
        <v>1</v>
      </c>
      <c r="W1330" s="8">
        <f>(Tabela2[[#This Row],[Weight]]/(Tabela2[[#This Row],[Height]] ^2))</f>
        <v>31.569907008786604</v>
      </c>
    </row>
    <row r="1331" spans="1:23" x14ac:dyDescent="0.25">
      <c r="A1331" t="s">
        <v>13</v>
      </c>
      <c r="B1331" s="7">
        <v>23.474164999999999</v>
      </c>
      <c r="C1331" s="4">
        <v>1.577115</v>
      </c>
      <c r="D1331" s="7">
        <v>78</v>
      </c>
      <c r="E1331">
        <v>1</v>
      </c>
      <c r="F1331">
        <v>1</v>
      </c>
      <c r="G1331" s="2">
        <v>2</v>
      </c>
      <c r="H1331" s="2">
        <v>1</v>
      </c>
      <c r="I1331">
        <v>1</v>
      </c>
      <c r="J1331">
        <v>0</v>
      </c>
      <c r="K1331" s="2">
        <v>2</v>
      </c>
      <c r="L1331">
        <v>0</v>
      </c>
      <c r="M1331" s="7">
        <v>0.87610100000000002</v>
      </c>
      <c r="N1331" s="7">
        <v>0</v>
      </c>
      <c r="O1331">
        <v>0</v>
      </c>
      <c r="P1331" t="s">
        <v>14</v>
      </c>
      <c r="Q1331">
        <v>4</v>
      </c>
      <c r="R1331" s="8">
        <f>(Tabela2[[#This Row],[FAF_atividade_fisica_frequente_em_horas]]+ 0.1)</f>
        <v>0.976101</v>
      </c>
      <c r="S1331" s="1">
        <f>(Tabela2[[#This Row],[TUE_tempo_uso_aparelhos_em_horas]]/Tabela2[[#This Row],[FAF_Var]])</f>
        <v>0</v>
      </c>
      <c r="T1331">
        <f>(Tabela2[[#This Row],[CAEC_lanche_entre_refeicoes]]*Tabela2[[#This Row],[FAVC_consumo_frequente_de_alimentos_mt_caloricos]])</f>
        <v>1</v>
      </c>
      <c r="U1331" s="1">
        <f>IF(OR(Tabela2[[#This Row],[MTRANS]]="Walking",Tabela2[[#This Row],[MTRANS]]="Bike"),Tabela2[[#This Row],[FAF_atividade_fisica_frequente_em_horas]]+1,M1331)</f>
        <v>0.87610100000000002</v>
      </c>
      <c r="V1331">
        <f>(Tabela2[[#This Row],[SMOKE]]+Tabela2[[#This Row],[CALC_bebe_alcool_frequentemente]])</f>
        <v>0</v>
      </c>
      <c r="W1331" s="8">
        <f>(Tabela2[[#This Row],[Weight]]/(Tabela2[[#This Row],[Height]] ^2))</f>
        <v>31.359409622794828</v>
      </c>
    </row>
    <row r="1332" spans="1:23" x14ac:dyDescent="0.25">
      <c r="A1332" t="s">
        <v>13</v>
      </c>
      <c r="B1332" s="7">
        <v>24.317606999999999</v>
      </c>
      <c r="C1332" s="4">
        <v>1.586751</v>
      </c>
      <c r="D1332" s="7">
        <v>79.109029000000007</v>
      </c>
      <c r="E1332">
        <v>1</v>
      </c>
      <c r="F1332">
        <v>1</v>
      </c>
      <c r="G1332" s="2">
        <v>2</v>
      </c>
      <c r="H1332" s="2">
        <v>1</v>
      </c>
      <c r="I1332">
        <v>1</v>
      </c>
      <c r="J1332">
        <v>0</v>
      </c>
      <c r="K1332" s="2">
        <v>2</v>
      </c>
      <c r="L1332">
        <v>0</v>
      </c>
      <c r="M1332" s="7">
        <v>0.85244600000000004</v>
      </c>
      <c r="N1332" s="7">
        <v>0</v>
      </c>
      <c r="O1332">
        <v>0</v>
      </c>
      <c r="P1332" t="s">
        <v>14</v>
      </c>
      <c r="Q1332">
        <v>4</v>
      </c>
      <c r="R1332" s="8">
        <f>(Tabela2[[#This Row],[FAF_atividade_fisica_frequente_em_horas]]+ 0.1)</f>
        <v>0.95244600000000001</v>
      </c>
      <c r="S1332" s="1">
        <f>(Tabela2[[#This Row],[TUE_tempo_uso_aparelhos_em_horas]]/Tabela2[[#This Row],[FAF_Var]])</f>
        <v>0</v>
      </c>
      <c r="T1332">
        <f>(Tabela2[[#This Row],[CAEC_lanche_entre_refeicoes]]*Tabela2[[#This Row],[FAVC_consumo_frequente_de_alimentos_mt_caloricos]])</f>
        <v>1</v>
      </c>
      <c r="U1332" s="1">
        <f>IF(OR(Tabela2[[#This Row],[MTRANS]]="Walking",Tabela2[[#This Row],[MTRANS]]="Bike"),Tabela2[[#This Row],[FAF_atividade_fisica_frequente_em_horas]]+1,M1332)</f>
        <v>0.85244600000000004</v>
      </c>
      <c r="V1332">
        <f>(Tabela2[[#This Row],[SMOKE]]+Tabela2[[#This Row],[CALC_bebe_alcool_frequentemente]])</f>
        <v>0</v>
      </c>
      <c r="W1332" s="8">
        <f>(Tabela2[[#This Row],[Weight]]/(Tabela2[[#This Row],[Height]] ^2))</f>
        <v>31.420167256495802</v>
      </c>
    </row>
    <row r="1333" spans="1:23" x14ac:dyDescent="0.25">
      <c r="A1333" t="s">
        <v>15</v>
      </c>
      <c r="B1333" s="7">
        <v>17.052914000000001</v>
      </c>
      <c r="C1333" s="4">
        <v>1.7106159999999999</v>
      </c>
      <c r="D1333" s="7">
        <v>99.860253999999998</v>
      </c>
      <c r="E1333">
        <v>1</v>
      </c>
      <c r="F1333">
        <v>1</v>
      </c>
      <c r="G1333" s="2">
        <v>2</v>
      </c>
      <c r="H1333" s="2">
        <v>3</v>
      </c>
      <c r="I1333">
        <v>1</v>
      </c>
      <c r="J1333">
        <v>0</v>
      </c>
      <c r="K1333" s="2">
        <v>2</v>
      </c>
      <c r="L1333">
        <v>0</v>
      </c>
      <c r="M1333" s="7">
        <v>6.7490999999999995E-2</v>
      </c>
      <c r="N1333" s="7">
        <v>0.89410500000000004</v>
      </c>
      <c r="O1333">
        <v>0</v>
      </c>
      <c r="P1333" t="s">
        <v>14</v>
      </c>
      <c r="Q1333">
        <v>4</v>
      </c>
      <c r="R1333" s="8">
        <f>(Tabela2[[#This Row],[FAF_atividade_fisica_frequente_em_horas]]+ 0.1)</f>
        <v>0.167491</v>
      </c>
      <c r="S1333" s="1">
        <f>(Tabela2[[#This Row],[TUE_tempo_uso_aparelhos_em_horas]]/Tabela2[[#This Row],[FAF_Var]])</f>
        <v>5.3382271286218366</v>
      </c>
      <c r="T1333">
        <f>(Tabela2[[#This Row],[CAEC_lanche_entre_refeicoes]]*Tabela2[[#This Row],[FAVC_consumo_frequente_de_alimentos_mt_caloricos]])</f>
        <v>1</v>
      </c>
      <c r="U1333" s="1">
        <f>IF(OR(Tabela2[[#This Row],[MTRANS]]="Walking",Tabela2[[#This Row],[MTRANS]]="Bike"),Tabela2[[#This Row],[FAF_atividade_fisica_frequente_em_horas]]+1,M1333)</f>
        <v>6.7490999999999995E-2</v>
      </c>
      <c r="V1333">
        <f>(Tabela2[[#This Row],[SMOKE]]+Tabela2[[#This Row],[CALC_bebe_alcool_frequentemente]])</f>
        <v>0</v>
      </c>
      <c r="W1333" s="8">
        <f>(Tabela2[[#This Row],[Weight]]/(Tabela2[[#This Row],[Height]] ^2))</f>
        <v>34.126174466108239</v>
      </c>
    </row>
    <row r="1334" spans="1:23" x14ac:dyDescent="0.25">
      <c r="A1334" t="s">
        <v>15</v>
      </c>
      <c r="B1334" s="7">
        <v>18.048919999999999</v>
      </c>
      <c r="C1334" s="4">
        <v>1.721384</v>
      </c>
      <c r="D1334" s="7">
        <v>99.430611999999996</v>
      </c>
      <c r="E1334">
        <v>1</v>
      </c>
      <c r="F1334">
        <v>1</v>
      </c>
      <c r="G1334" s="2">
        <v>2</v>
      </c>
      <c r="H1334" s="2">
        <v>3</v>
      </c>
      <c r="I1334">
        <v>1</v>
      </c>
      <c r="J1334">
        <v>0</v>
      </c>
      <c r="K1334" s="2">
        <v>2</v>
      </c>
      <c r="L1334">
        <v>0</v>
      </c>
      <c r="M1334" s="7">
        <v>1.579431</v>
      </c>
      <c r="N1334" s="7">
        <v>0.839862</v>
      </c>
      <c r="O1334">
        <v>0</v>
      </c>
      <c r="P1334" t="s">
        <v>14</v>
      </c>
      <c r="Q1334">
        <v>4</v>
      </c>
      <c r="R1334" s="8">
        <f>(Tabela2[[#This Row],[FAF_atividade_fisica_frequente_em_horas]]+ 0.1)</f>
        <v>1.6794310000000001</v>
      </c>
      <c r="S1334" s="1">
        <f>(Tabela2[[#This Row],[TUE_tempo_uso_aparelhos_em_horas]]/Tabela2[[#This Row],[FAF_Var]])</f>
        <v>0.5000872319255748</v>
      </c>
      <c r="T1334">
        <f>(Tabela2[[#This Row],[CAEC_lanche_entre_refeicoes]]*Tabela2[[#This Row],[FAVC_consumo_frequente_de_alimentos_mt_caloricos]])</f>
        <v>1</v>
      </c>
      <c r="U1334" s="1">
        <f>IF(OR(Tabela2[[#This Row],[MTRANS]]="Walking",Tabela2[[#This Row],[MTRANS]]="Bike"),Tabela2[[#This Row],[FAF_atividade_fisica_frequente_em_horas]]+1,M1334)</f>
        <v>1.579431</v>
      </c>
      <c r="V1334">
        <f>(Tabela2[[#This Row],[SMOKE]]+Tabela2[[#This Row],[CALC_bebe_alcool_frequentemente]])</f>
        <v>0</v>
      </c>
      <c r="W1334" s="8">
        <f>(Tabela2[[#This Row],[Weight]]/(Tabela2[[#This Row],[Height]] ^2))</f>
        <v>33.55556754020774</v>
      </c>
    </row>
    <row r="1335" spans="1:23" x14ac:dyDescent="0.25">
      <c r="A1335" t="s">
        <v>13</v>
      </c>
      <c r="B1335" s="7">
        <v>22.875222999999998</v>
      </c>
      <c r="C1335" s="4">
        <v>1.6243669999999999</v>
      </c>
      <c r="D1335" s="7">
        <v>82</v>
      </c>
      <c r="E1335">
        <v>1</v>
      </c>
      <c r="F1335">
        <v>1</v>
      </c>
      <c r="G1335" s="2">
        <v>1.8268850000000001</v>
      </c>
      <c r="H1335" s="2">
        <v>1</v>
      </c>
      <c r="I1335">
        <v>1</v>
      </c>
      <c r="J1335">
        <v>0</v>
      </c>
      <c r="K1335" s="2">
        <v>2</v>
      </c>
      <c r="L1335">
        <v>0</v>
      </c>
      <c r="M1335" s="7">
        <v>0</v>
      </c>
      <c r="N1335" s="7">
        <v>0.45927400000000002</v>
      </c>
      <c r="O1335">
        <v>0</v>
      </c>
      <c r="P1335" t="s">
        <v>14</v>
      </c>
      <c r="Q1335">
        <v>4</v>
      </c>
      <c r="R1335" s="8">
        <f>(Tabela2[[#This Row],[FAF_atividade_fisica_frequente_em_horas]]+ 0.1)</f>
        <v>0.1</v>
      </c>
      <c r="S1335" s="1">
        <f>(Tabela2[[#This Row],[TUE_tempo_uso_aparelhos_em_horas]]/Tabela2[[#This Row],[FAF_Var]])</f>
        <v>4.59274</v>
      </c>
      <c r="T1335">
        <f>(Tabela2[[#This Row],[CAEC_lanche_entre_refeicoes]]*Tabela2[[#This Row],[FAVC_consumo_frequente_de_alimentos_mt_caloricos]])</f>
        <v>1</v>
      </c>
      <c r="U1335" s="1">
        <f>IF(OR(Tabela2[[#This Row],[MTRANS]]="Walking",Tabela2[[#This Row],[MTRANS]]="Bike"),Tabela2[[#This Row],[FAF_atividade_fisica_frequente_em_horas]]+1,M1335)</f>
        <v>0</v>
      </c>
      <c r="V1335">
        <f>(Tabela2[[#This Row],[SMOKE]]+Tabela2[[#This Row],[CALC_bebe_alcool_frequentemente]])</f>
        <v>0</v>
      </c>
      <c r="W1335" s="8">
        <f>(Tabela2[[#This Row],[Weight]]/(Tabela2[[#This Row],[Height]] ^2))</f>
        <v>31.077461455216778</v>
      </c>
    </row>
    <row r="1336" spans="1:23" x14ac:dyDescent="0.25">
      <c r="A1336" t="s">
        <v>13</v>
      </c>
      <c r="B1336" s="7">
        <v>22.884722</v>
      </c>
      <c r="C1336" s="4">
        <v>1.622787</v>
      </c>
      <c r="D1336" s="7">
        <v>82</v>
      </c>
      <c r="E1336">
        <v>1</v>
      </c>
      <c r="F1336">
        <v>1</v>
      </c>
      <c r="G1336" s="2">
        <v>1.7544010000000001</v>
      </c>
      <c r="H1336" s="2">
        <v>1</v>
      </c>
      <c r="I1336">
        <v>1</v>
      </c>
      <c r="J1336">
        <v>0</v>
      </c>
      <c r="K1336" s="2">
        <v>2</v>
      </c>
      <c r="L1336">
        <v>0</v>
      </c>
      <c r="M1336" s="7">
        <v>0</v>
      </c>
      <c r="N1336" s="7">
        <v>0.30190899999999998</v>
      </c>
      <c r="O1336">
        <v>0</v>
      </c>
      <c r="P1336" t="s">
        <v>14</v>
      </c>
      <c r="Q1336">
        <v>4</v>
      </c>
      <c r="R1336" s="8">
        <f>(Tabela2[[#This Row],[FAF_atividade_fisica_frequente_em_horas]]+ 0.1)</f>
        <v>0.1</v>
      </c>
      <c r="S1336" s="1">
        <f>(Tabela2[[#This Row],[TUE_tempo_uso_aparelhos_em_horas]]/Tabela2[[#This Row],[FAF_Var]])</f>
        <v>3.0190899999999998</v>
      </c>
      <c r="T1336">
        <f>(Tabela2[[#This Row],[CAEC_lanche_entre_refeicoes]]*Tabela2[[#This Row],[FAVC_consumo_frequente_de_alimentos_mt_caloricos]])</f>
        <v>1</v>
      </c>
      <c r="U1336" s="1">
        <f>IF(OR(Tabela2[[#This Row],[MTRANS]]="Walking",Tabela2[[#This Row],[MTRANS]]="Bike"),Tabela2[[#This Row],[FAF_atividade_fisica_frequente_em_horas]]+1,M1336)</f>
        <v>0</v>
      </c>
      <c r="V1336">
        <f>(Tabela2[[#This Row],[SMOKE]]+Tabela2[[#This Row],[CALC_bebe_alcool_frequentemente]])</f>
        <v>0</v>
      </c>
      <c r="W1336" s="8">
        <f>(Tabela2[[#This Row],[Weight]]/(Tabela2[[#This Row],[Height]] ^2))</f>
        <v>31.138007038793607</v>
      </c>
    </row>
    <row r="1337" spans="1:23" x14ac:dyDescent="0.25">
      <c r="A1337" t="s">
        <v>15</v>
      </c>
      <c r="B1337" s="7">
        <v>18.729565999999998</v>
      </c>
      <c r="C1337" s="4">
        <v>1.8554330000000001</v>
      </c>
      <c r="D1337" s="7">
        <v>112.875283</v>
      </c>
      <c r="E1337">
        <v>1</v>
      </c>
      <c r="F1337">
        <v>1</v>
      </c>
      <c r="G1337" s="2">
        <v>2</v>
      </c>
      <c r="H1337" s="2">
        <v>2.4271370000000001</v>
      </c>
      <c r="I1337">
        <v>1</v>
      </c>
      <c r="J1337">
        <v>0</v>
      </c>
      <c r="K1337" s="2">
        <v>2.5740729999999998</v>
      </c>
      <c r="L1337">
        <v>0</v>
      </c>
      <c r="M1337" s="7">
        <v>1</v>
      </c>
      <c r="N1337" s="7">
        <v>2</v>
      </c>
      <c r="O1337">
        <v>1</v>
      </c>
      <c r="P1337" t="s">
        <v>14</v>
      </c>
      <c r="Q1337">
        <v>4</v>
      </c>
      <c r="R1337" s="8">
        <f>(Tabela2[[#This Row],[FAF_atividade_fisica_frequente_em_horas]]+ 0.1)</f>
        <v>1.1000000000000001</v>
      </c>
      <c r="S1337" s="1">
        <f>(Tabela2[[#This Row],[TUE_tempo_uso_aparelhos_em_horas]]/Tabela2[[#This Row],[FAF_Var]])</f>
        <v>1.8181818181818181</v>
      </c>
      <c r="T1337">
        <f>(Tabela2[[#This Row],[CAEC_lanche_entre_refeicoes]]*Tabela2[[#This Row],[FAVC_consumo_frequente_de_alimentos_mt_caloricos]])</f>
        <v>1</v>
      </c>
      <c r="U1337" s="1">
        <f>IF(OR(Tabela2[[#This Row],[MTRANS]]="Walking",Tabela2[[#This Row],[MTRANS]]="Bike"),Tabela2[[#This Row],[FAF_atividade_fisica_frequente_em_horas]]+1,M1337)</f>
        <v>1</v>
      </c>
      <c r="V1337">
        <f>(Tabela2[[#This Row],[SMOKE]]+Tabela2[[#This Row],[CALC_bebe_alcool_frequentemente]])</f>
        <v>1</v>
      </c>
      <c r="W1337" s="8">
        <f>(Tabela2[[#This Row],[Weight]]/(Tabela2[[#This Row],[Height]] ^2))</f>
        <v>32.787499663507241</v>
      </c>
    </row>
    <row r="1338" spans="1:23" x14ac:dyDescent="0.25">
      <c r="A1338" t="s">
        <v>15</v>
      </c>
      <c r="B1338" s="7">
        <v>21.011123999999999</v>
      </c>
      <c r="C1338" s="4">
        <v>1.8563149999999999</v>
      </c>
      <c r="D1338" s="7">
        <v>118.183797</v>
      </c>
      <c r="E1338">
        <v>1</v>
      </c>
      <c r="F1338">
        <v>1</v>
      </c>
      <c r="G1338" s="2">
        <v>2</v>
      </c>
      <c r="H1338" s="2">
        <v>3</v>
      </c>
      <c r="I1338">
        <v>1</v>
      </c>
      <c r="J1338">
        <v>0</v>
      </c>
      <c r="K1338" s="2">
        <v>3</v>
      </c>
      <c r="L1338">
        <v>0</v>
      </c>
      <c r="M1338" s="7">
        <v>0.78858499999999998</v>
      </c>
      <c r="N1338" s="7">
        <v>1.220029</v>
      </c>
      <c r="O1338">
        <v>1</v>
      </c>
      <c r="P1338" t="s">
        <v>14</v>
      </c>
      <c r="Q1338">
        <v>4</v>
      </c>
      <c r="R1338" s="8">
        <f>(Tabela2[[#This Row],[FAF_atividade_fisica_frequente_em_horas]]+ 0.1)</f>
        <v>0.88858499999999996</v>
      </c>
      <c r="S1338" s="1">
        <f>(Tabela2[[#This Row],[TUE_tempo_uso_aparelhos_em_horas]]/Tabela2[[#This Row],[FAF_Var]])</f>
        <v>1.3730020200656101</v>
      </c>
      <c r="T1338">
        <f>(Tabela2[[#This Row],[CAEC_lanche_entre_refeicoes]]*Tabela2[[#This Row],[FAVC_consumo_frequente_de_alimentos_mt_caloricos]])</f>
        <v>1</v>
      </c>
      <c r="U1338" s="1">
        <f>IF(OR(Tabela2[[#This Row],[MTRANS]]="Walking",Tabela2[[#This Row],[MTRANS]]="Bike"),Tabela2[[#This Row],[FAF_atividade_fisica_frequente_em_horas]]+1,M1338)</f>
        <v>0.78858499999999998</v>
      </c>
      <c r="V1338">
        <f>(Tabela2[[#This Row],[SMOKE]]+Tabela2[[#This Row],[CALC_bebe_alcool_frequentemente]])</f>
        <v>1</v>
      </c>
      <c r="W1338" s="8">
        <f>(Tabela2[[#This Row],[Weight]]/(Tabela2[[#This Row],[Height]] ^2))</f>
        <v>34.296878176782698</v>
      </c>
    </row>
    <row r="1339" spans="1:23" x14ac:dyDescent="0.25">
      <c r="A1339" t="s">
        <v>13</v>
      </c>
      <c r="B1339" s="7">
        <v>18.603496</v>
      </c>
      <c r="C1339" s="4">
        <v>1.681719</v>
      </c>
      <c r="D1339" s="7">
        <v>90.671870999999996</v>
      </c>
      <c r="E1339">
        <v>1</v>
      </c>
      <c r="F1339">
        <v>1</v>
      </c>
      <c r="G1339" s="2">
        <v>1.5244279999999999</v>
      </c>
      <c r="H1339" s="2">
        <v>3</v>
      </c>
      <c r="I1339">
        <v>1</v>
      </c>
      <c r="J1339">
        <v>0</v>
      </c>
      <c r="K1339" s="2">
        <v>1.383831</v>
      </c>
      <c r="L1339">
        <v>0</v>
      </c>
      <c r="M1339" s="7">
        <v>0.13041700000000001</v>
      </c>
      <c r="N1339" s="7">
        <v>1</v>
      </c>
      <c r="O1339">
        <v>1</v>
      </c>
      <c r="P1339" t="s">
        <v>14</v>
      </c>
      <c r="Q1339">
        <v>4</v>
      </c>
      <c r="R1339" s="8">
        <f>(Tabela2[[#This Row],[FAF_atividade_fisica_frequente_em_horas]]+ 0.1)</f>
        <v>0.23041700000000001</v>
      </c>
      <c r="S1339" s="1">
        <f>(Tabela2[[#This Row],[TUE_tempo_uso_aparelhos_em_horas]]/Tabela2[[#This Row],[FAF_Var]])</f>
        <v>4.3399575552151095</v>
      </c>
      <c r="T1339">
        <f>(Tabela2[[#This Row],[CAEC_lanche_entre_refeicoes]]*Tabela2[[#This Row],[FAVC_consumo_frequente_de_alimentos_mt_caloricos]])</f>
        <v>1</v>
      </c>
      <c r="U1339" s="1">
        <f>IF(OR(Tabela2[[#This Row],[MTRANS]]="Walking",Tabela2[[#This Row],[MTRANS]]="Bike"),Tabela2[[#This Row],[FAF_atividade_fisica_frequente_em_horas]]+1,M1339)</f>
        <v>0.13041700000000001</v>
      </c>
      <c r="V1339">
        <f>(Tabela2[[#This Row],[SMOKE]]+Tabela2[[#This Row],[CALC_bebe_alcool_frequentemente]])</f>
        <v>1</v>
      </c>
      <c r="W1339" s="8">
        <f>(Tabela2[[#This Row],[Weight]]/(Tabela2[[#This Row],[Height]] ^2))</f>
        <v>32.060162236401446</v>
      </c>
    </row>
    <row r="1340" spans="1:23" x14ac:dyDescent="0.25">
      <c r="A1340" t="s">
        <v>13</v>
      </c>
      <c r="B1340" s="7">
        <v>21.106055999999999</v>
      </c>
      <c r="C1340" s="4">
        <v>1.7228840000000001</v>
      </c>
      <c r="D1340" s="7">
        <v>92.949253999999996</v>
      </c>
      <c r="E1340">
        <v>1</v>
      </c>
      <c r="F1340">
        <v>1</v>
      </c>
      <c r="G1340" s="2">
        <v>1.1640619999999999</v>
      </c>
      <c r="H1340" s="2">
        <v>3</v>
      </c>
      <c r="I1340">
        <v>1</v>
      </c>
      <c r="J1340">
        <v>0</v>
      </c>
      <c r="K1340" s="2">
        <v>1.157395</v>
      </c>
      <c r="L1340">
        <v>0</v>
      </c>
      <c r="M1340" s="7">
        <v>0</v>
      </c>
      <c r="N1340" s="7">
        <v>0.320851</v>
      </c>
      <c r="O1340">
        <v>1</v>
      </c>
      <c r="P1340" t="s">
        <v>14</v>
      </c>
      <c r="Q1340">
        <v>4</v>
      </c>
      <c r="R1340" s="8">
        <f>(Tabela2[[#This Row],[FAF_atividade_fisica_frequente_em_horas]]+ 0.1)</f>
        <v>0.1</v>
      </c>
      <c r="S1340" s="1">
        <f>(Tabela2[[#This Row],[TUE_tempo_uso_aparelhos_em_horas]]/Tabela2[[#This Row],[FAF_Var]])</f>
        <v>3.20851</v>
      </c>
      <c r="T1340">
        <f>(Tabela2[[#This Row],[CAEC_lanche_entre_refeicoes]]*Tabela2[[#This Row],[FAVC_consumo_frequente_de_alimentos_mt_caloricos]])</f>
        <v>1</v>
      </c>
      <c r="U1340" s="1">
        <f>IF(OR(Tabela2[[#This Row],[MTRANS]]="Walking",Tabela2[[#This Row],[MTRANS]]="Bike"),Tabela2[[#This Row],[FAF_atividade_fisica_frequente_em_horas]]+1,M1340)</f>
        <v>0</v>
      </c>
      <c r="V1340">
        <f>(Tabela2[[#This Row],[SMOKE]]+Tabela2[[#This Row],[CALC_bebe_alcool_frequentemente]])</f>
        <v>1</v>
      </c>
      <c r="W1340" s="8">
        <f>(Tabela2[[#This Row],[Weight]]/(Tabela2[[#This Row],[Height]] ^2))</f>
        <v>31.313660080077753</v>
      </c>
    </row>
    <row r="1341" spans="1:23" x14ac:dyDescent="0.25">
      <c r="A1341" t="s">
        <v>15</v>
      </c>
      <c r="B1341" s="7">
        <v>23</v>
      </c>
      <c r="C1341" s="4">
        <v>1.7994060000000001</v>
      </c>
      <c r="D1341" s="7">
        <v>106.528811</v>
      </c>
      <c r="E1341">
        <v>1</v>
      </c>
      <c r="F1341">
        <v>1</v>
      </c>
      <c r="G1341" s="2">
        <v>2.1231589999999998</v>
      </c>
      <c r="H1341" s="2">
        <v>3</v>
      </c>
      <c r="I1341">
        <v>1</v>
      </c>
      <c r="J1341">
        <v>0</v>
      </c>
      <c r="K1341" s="2">
        <v>2.415343</v>
      </c>
      <c r="L1341">
        <v>0</v>
      </c>
      <c r="M1341" s="7">
        <v>0.295178</v>
      </c>
      <c r="N1341" s="7">
        <v>0.56985200000000003</v>
      </c>
      <c r="O1341">
        <v>1</v>
      </c>
      <c r="P1341" t="s">
        <v>14</v>
      </c>
      <c r="Q1341">
        <v>4</v>
      </c>
      <c r="R1341" s="8">
        <f>(Tabela2[[#This Row],[FAF_atividade_fisica_frequente_em_horas]]+ 0.1)</f>
        <v>0.39517800000000003</v>
      </c>
      <c r="S1341" s="1">
        <f>(Tabela2[[#This Row],[TUE_tempo_uso_aparelhos_em_horas]]/Tabela2[[#This Row],[FAF_Var]])</f>
        <v>1.4420134724099014</v>
      </c>
      <c r="T1341">
        <f>(Tabela2[[#This Row],[CAEC_lanche_entre_refeicoes]]*Tabela2[[#This Row],[FAVC_consumo_frequente_de_alimentos_mt_caloricos]])</f>
        <v>1</v>
      </c>
      <c r="U1341" s="1">
        <f>IF(OR(Tabela2[[#This Row],[MTRANS]]="Walking",Tabela2[[#This Row],[MTRANS]]="Bike"),Tabela2[[#This Row],[FAF_atividade_fisica_frequente_em_horas]]+1,M1341)</f>
        <v>0.295178</v>
      </c>
      <c r="V1341">
        <f>(Tabela2[[#This Row],[SMOKE]]+Tabela2[[#This Row],[CALC_bebe_alcool_frequentemente]])</f>
        <v>1</v>
      </c>
      <c r="W1341" s="8">
        <f>(Tabela2[[#This Row],[Weight]]/(Tabela2[[#This Row],[Height]] ^2))</f>
        <v>32.900973714056228</v>
      </c>
    </row>
    <row r="1342" spans="1:23" x14ac:dyDescent="0.25">
      <c r="A1342" t="s">
        <v>15</v>
      </c>
      <c r="B1342" s="7">
        <v>21.980847000000001</v>
      </c>
      <c r="C1342" s="4">
        <v>1.8198749999999999</v>
      </c>
      <c r="D1342" s="7">
        <v>106.04851600000001</v>
      </c>
      <c r="E1342">
        <v>1</v>
      </c>
      <c r="F1342">
        <v>1</v>
      </c>
      <c r="G1342" s="2">
        <v>2</v>
      </c>
      <c r="H1342" s="2">
        <v>3</v>
      </c>
      <c r="I1342">
        <v>1</v>
      </c>
      <c r="J1342">
        <v>0</v>
      </c>
      <c r="K1342" s="2">
        <v>2.7452420000000002</v>
      </c>
      <c r="L1342">
        <v>0</v>
      </c>
      <c r="M1342" s="7">
        <v>0</v>
      </c>
      <c r="N1342" s="7">
        <v>0.80898000000000003</v>
      </c>
      <c r="O1342">
        <v>1</v>
      </c>
      <c r="P1342" t="s">
        <v>14</v>
      </c>
      <c r="Q1342">
        <v>4</v>
      </c>
      <c r="R1342" s="8">
        <f>(Tabela2[[#This Row],[FAF_atividade_fisica_frequente_em_horas]]+ 0.1)</f>
        <v>0.1</v>
      </c>
      <c r="S1342" s="1">
        <f>(Tabela2[[#This Row],[TUE_tempo_uso_aparelhos_em_horas]]/Tabela2[[#This Row],[FAF_Var]])</f>
        <v>8.0898000000000003</v>
      </c>
      <c r="T1342">
        <f>(Tabela2[[#This Row],[CAEC_lanche_entre_refeicoes]]*Tabela2[[#This Row],[FAVC_consumo_frequente_de_alimentos_mt_caloricos]])</f>
        <v>1</v>
      </c>
      <c r="U1342" s="1">
        <f>IF(OR(Tabela2[[#This Row],[MTRANS]]="Walking",Tabela2[[#This Row],[MTRANS]]="Bike"),Tabela2[[#This Row],[FAF_atividade_fisica_frequente_em_horas]]+1,M1342)</f>
        <v>0</v>
      </c>
      <c r="V1342">
        <f>(Tabela2[[#This Row],[SMOKE]]+Tabela2[[#This Row],[CALC_bebe_alcool_frequentemente]])</f>
        <v>1</v>
      </c>
      <c r="W1342" s="8">
        <f>(Tabela2[[#This Row],[Weight]]/(Tabela2[[#This Row],[Height]] ^2))</f>
        <v>32.02001105081375</v>
      </c>
    </row>
    <row r="1343" spans="1:23" x14ac:dyDescent="0.25">
      <c r="A1343" t="s">
        <v>15</v>
      </c>
      <c r="B1343" s="7">
        <v>21.016665</v>
      </c>
      <c r="C1343" s="4">
        <v>1.7901720000000001</v>
      </c>
      <c r="D1343" s="7">
        <v>105.04219399999999</v>
      </c>
      <c r="E1343">
        <v>1</v>
      </c>
      <c r="F1343">
        <v>1</v>
      </c>
      <c r="G1343" s="2">
        <v>2.2596790000000002</v>
      </c>
      <c r="H1343" s="2">
        <v>3</v>
      </c>
      <c r="I1343">
        <v>1</v>
      </c>
      <c r="J1343">
        <v>0</v>
      </c>
      <c r="K1343" s="2">
        <v>1.026143</v>
      </c>
      <c r="L1343">
        <v>0</v>
      </c>
      <c r="M1343" s="7">
        <v>0.26880100000000001</v>
      </c>
      <c r="N1343" s="7">
        <v>7.7817999999999998E-2</v>
      </c>
      <c r="O1343">
        <v>1</v>
      </c>
      <c r="P1343" t="s">
        <v>14</v>
      </c>
      <c r="Q1343">
        <v>4</v>
      </c>
      <c r="R1343" s="8">
        <f>(Tabela2[[#This Row],[FAF_atividade_fisica_frequente_em_horas]]+ 0.1)</f>
        <v>0.36880100000000005</v>
      </c>
      <c r="S1343" s="1">
        <f>(Tabela2[[#This Row],[TUE_tempo_uso_aparelhos_em_horas]]/Tabela2[[#This Row],[FAF_Var]])</f>
        <v>0.21100268166301064</v>
      </c>
      <c r="T1343">
        <f>(Tabela2[[#This Row],[CAEC_lanche_entre_refeicoes]]*Tabela2[[#This Row],[FAVC_consumo_frequente_de_alimentos_mt_caloricos]])</f>
        <v>1</v>
      </c>
      <c r="U1343" s="1">
        <f>IF(OR(Tabela2[[#This Row],[MTRANS]]="Walking",Tabela2[[#This Row],[MTRANS]]="Bike"),Tabela2[[#This Row],[FAF_atividade_fisica_frequente_em_horas]]+1,M1343)</f>
        <v>0.26880100000000001</v>
      </c>
      <c r="V1343">
        <f>(Tabela2[[#This Row],[SMOKE]]+Tabela2[[#This Row],[CALC_bebe_alcool_frequentemente]])</f>
        <v>1</v>
      </c>
      <c r="W1343" s="8">
        <f>(Tabela2[[#This Row],[Weight]]/(Tabela2[[#This Row],[Height]] ^2))</f>
        <v>32.777382113387155</v>
      </c>
    </row>
    <row r="1344" spans="1:23" x14ac:dyDescent="0.25">
      <c r="A1344" t="s">
        <v>15</v>
      </c>
      <c r="B1344" s="7">
        <v>21.72738</v>
      </c>
      <c r="C1344" s="4">
        <v>1.783782</v>
      </c>
      <c r="D1344" s="7">
        <v>105.000276</v>
      </c>
      <c r="E1344">
        <v>1</v>
      </c>
      <c r="F1344">
        <v>1</v>
      </c>
      <c r="G1344" s="2">
        <v>2.0443259999999999</v>
      </c>
      <c r="H1344" s="2">
        <v>3</v>
      </c>
      <c r="I1344">
        <v>1</v>
      </c>
      <c r="J1344">
        <v>0</v>
      </c>
      <c r="K1344" s="2">
        <v>2.3581799999999999</v>
      </c>
      <c r="L1344">
        <v>0</v>
      </c>
      <c r="M1344" s="7">
        <v>0.34937099999999999</v>
      </c>
      <c r="N1344" s="7">
        <v>0</v>
      </c>
      <c r="O1344">
        <v>1</v>
      </c>
      <c r="P1344" t="s">
        <v>14</v>
      </c>
      <c r="Q1344">
        <v>4</v>
      </c>
      <c r="R1344" s="8">
        <f>(Tabela2[[#This Row],[FAF_atividade_fisica_frequente_em_horas]]+ 0.1)</f>
        <v>0.44937099999999996</v>
      </c>
      <c r="S1344" s="1">
        <f>(Tabela2[[#This Row],[TUE_tempo_uso_aparelhos_em_horas]]/Tabela2[[#This Row],[FAF_Var]])</f>
        <v>0</v>
      </c>
      <c r="T1344">
        <f>(Tabela2[[#This Row],[CAEC_lanche_entre_refeicoes]]*Tabela2[[#This Row],[FAVC_consumo_frequente_de_alimentos_mt_caloricos]])</f>
        <v>1</v>
      </c>
      <c r="U1344" s="1">
        <f>IF(OR(Tabela2[[#This Row],[MTRANS]]="Walking",Tabela2[[#This Row],[MTRANS]]="Bike"),Tabela2[[#This Row],[FAF_atividade_fisica_frequente_em_horas]]+1,M1344)</f>
        <v>0.34937099999999999</v>
      </c>
      <c r="V1344">
        <f>(Tabela2[[#This Row],[SMOKE]]+Tabela2[[#This Row],[CALC_bebe_alcool_frequentemente]])</f>
        <v>1</v>
      </c>
      <c r="W1344" s="8">
        <f>(Tabela2[[#This Row],[Weight]]/(Tabela2[[#This Row],[Height]] ^2))</f>
        <v>32.999464034707742</v>
      </c>
    </row>
    <row r="1345" spans="1:23" x14ac:dyDescent="0.25">
      <c r="A1345" t="s">
        <v>15</v>
      </c>
      <c r="B1345" s="7">
        <v>18</v>
      </c>
      <c r="C1345" s="4">
        <v>1.783906</v>
      </c>
      <c r="D1345" s="7">
        <v>109.20761400000001</v>
      </c>
      <c r="E1345">
        <v>1</v>
      </c>
      <c r="F1345">
        <v>1</v>
      </c>
      <c r="G1345" s="2">
        <v>2</v>
      </c>
      <c r="H1345" s="2">
        <v>1.8678360000000001</v>
      </c>
      <c r="I1345">
        <v>1</v>
      </c>
      <c r="J1345">
        <v>0</v>
      </c>
      <c r="K1345" s="2">
        <v>2.4383979999999998</v>
      </c>
      <c r="L1345">
        <v>0</v>
      </c>
      <c r="M1345" s="7">
        <v>1</v>
      </c>
      <c r="N1345" s="7">
        <v>0.80230500000000005</v>
      </c>
      <c r="O1345">
        <v>0</v>
      </c>
      <c r="P1345" t="s">
        <v>14</v>
      </c>
      <c r="Q1345">
        <v>4</v>
      </c>
      <c r="R1345" s="8">
        <f>(Tabela2[[#This Row],[FAF_atividade_fisica_frequente_em_horas]]+ 0.1)</f>
        <v>1.1000000000000001</v>
      </c>
      <c r="S1345" s="1">
        <f>(Tabela2[[#This Row],[TUE_tempo_uso_aparelhos_em_horas]]/Tabela2[[#This Row],[FAF_Var]])</f>
        <v>0.72936818181818175</v>
      </c>
      <c r="T1345">
        <f>(Tabela2[[#This Row],[CAEC_lanche_entre_refeicoes]]*Tabela2[[#This Row],[FAVC_consumo_frequente_de_alimentos_mt_caloricos]])</f>
        <v>1</v>
      </c>
      <c r="U1345" s="1">
        <f>IF(OR(Tabela2[[#This Row],[MTRANS]]="Walking",Tabela2[[#This Row],[MTRANS]]="Bike"),Tabela2[[#This Row],[FAF_atividade_fisica_frequente_em_horas]]+1,M1345)</f>
        <v>1</v>
      </c>
      <c r="V1345">
        <f>(Tabela2[[#This Row],[SMOKE]]+Tabela2[[#This Row],[CALC_bebe_alcool_frequentemente]])</f>
        <v>0</v>
      </c>
      <c r="W1345" s="8">
        <f>(Tabela2[[#This Row],[Weight]]/(Tabela2[[#This Row],[Height]] ^2))</f>
        <v>34.316974041597014</v>
      </c>
    </row>
    <row r="1346" spans="1:23" x14ac:dyDescent="0.25">
      <c r="A1346" t="s">
        <v>15</v>
      </c>
      <c r="B1346" s="7">
        <v>18</v>
      </c>
      <c r="C1346" s="4">
        <v>1.8442179999999999</v>
      </c>
      <c r="D1346" s="7">
        <v>109.19552899999999</v>
      </c>
      <c r="E1346">
        <v>1</v>
      </c>
      <c r="F1346">
        <v>1</v>
      </c>
      <c r="G1346" s="2">
        <v>2</v>
      </c>
      <c r="H1346" s="2">
        <v>1.5484070000000001</v>
      </c>
      <c r="I1346">
        <v>1</v>
      </c>
      <c r="J1346">
        <v>0</v>
      </c>
      <c r="K1346" s="2">
        <v>2.1914009999999999</v>
      </c>
      <c r="L1346">
        <v>0</v>
      </c>
      <c r="M1346" s="7">
        <v>1</v>
      </c>
      <c r="N1346" s="7">
        <v>1.676944</v>
      </c>
      <c r="O1346">
        <v>0</v>
      </c>
      <c r="P1346" t="s">
        <v>14</v>
      </c>
      <c r="Q1346">
        <v>4</v>
      </c>
      <c r="R1346" s="8">
        <f>(Tabela2[[#This Row],[FAF_atividade_fisica_frequente_em_horas]]+ 0.1)</f>
        <v>1.1000000000000001</v>
      </c>
      <c r="S1346" s="1">
        <f>(Tabela2[[#This Row],[TUE_tempo_uso_aparelhos_em_horas]]/Tabela2[[#This Row],[FAF_Var]])</f>
        <v>1.5244945454545453</v>
      </c>
      <c r="T1346">
        <f>(Tabela2[[#This Row],[CAEC_lanche_entre_refeicoes]]*Tabela2[[#This Row],[FAVC_consumo_frequente_de_alimentos_mt_caloricos]])</f>
        <v>1</v>
      </c>
      <c r="U1346" s="1">
        <f>IF(OR(Tabela2[[#This Row],[MTRANS]]="Walking",Tabela2[[#This Row],[MTRANS]]="Bike"),Tabela2[[#This Row],[FAF_atividade_fisica_frequente_em_horas]]+1,M1346)</f>
        <v>1</v>
      </c>
      <c r="V1346">
        <f>(Tabela2[[#This Row],[SMOKE]]+Tabela2[[#This Row],[CALC_bebe_alcool_frequentemente]])</f>
        <v>0</v>
      </c>
      <c r="W1346" s="8">
        <f>(Tabela2[[#This Row],[Weight]]/(Tabela2[[#This Row],[Height]] ^2))</f>
        <v>32.105566953405066</v>
      </c>
    </row>
    <row r="1347" spans="1:23" x14ac:dyDescent="0.25">
      <c r="A1347" t="s">
        <v>13</v>
      </c>
      <c r="B1347" s="7">
        <v>19.431661999999999</v>
      </c>
      <c r="C1347" s="4">
        <v>1.6316619999999999</v>
      </c>
      <c r="D1347" s="7">
        <v>82</v>
      </c>
      <c r="E1347">
        <v>1</v>
      </c>
      <c r="F1347">
        <v>1</v>
      </c>
      <c r="G1347" s="2">
        <v>2.8434560000000002</v>
      </c>
      <c r="H1347" s="2">
        <v>2.937989</v>
      </c>
      <c r="I1347">
        <v>1</v>
      </c>
      <c r="J1347">
        <v>0</v>
      </c>
      <c r="K1347" s="2">
        <v>1.001995</v>
      </c>
      <c r="L1347">
        <v>0</v>
      </c>
      <c r="M1347" s="7">
        <v>0</v>
      </c>
      <c r="N1347" s="7">
        <v>1.5544039999999999</v>
      </c>
      <c r="O1347">
        <v>0</v>
      </c>
      <c r="P1347" t="s">
        <v>14</v>
      </c>
      <c r="Q1347">
        <v>4</v>
      </c>
      <c r="R1347" s="8">
        <f>(Tabela2[[#This Row],[FAF_atividade_fisica_frequente_em_horas]]+ 0.1)</f>
        <v>0.1</v>
      </c>
      <c r="S1347" s="1">
        <f>(Tabela2[[#This Row],[TUE_tempo_uso_aparelhos_em_horas]]/Tabela2[[#This Row],[FAF_Var]])</f>
        <v>15.544039999999999</v>
      </c>
      <c r="T1347">
        <f>(Tabela2[[#This Row],[CAEC_lanche_entre_refeicoes]]*Tabela2[[#This Row],[FAVC_consumo_frequente_de_alimentos_mt_caloricos]])</f>
        <v>1</v>
      </c>
      <c r="U1347" s="1">
        <f>IF(OR(Tabela2[[#This Row],[MTRANS]]="Walking",Tabela2[[#This Row],[MTRANS]]="Bike"),Tabela2[[#This Row],[FAF_atividade_fisica_frequente_em_horas]]+1,M1347)</f>
        <v>0</v>
      </c>
      <c r="V1347">
        <f>(Tabela2[[#This Row],[SMOKE]]+Tabela2[[#This Row],[CALC_bebe_alcool_frequentemente]])</f>
        <v>0</v>
      </c>
      <c r="W1347" s="8">
        <f>(Tabela2[[#This Row],[Weight]]/(Tabela2[[#This Row],[Height]] ^2))</f>
        <v>30.800194126443678</v>
      </c>
    </row>
    <row r="1348" spans="1:23" x14ac:dyDescent="0.25">
      <c r="A1348" t="s">
        <v>13</v>
      </c>
      <c r="B1348" s="7">
        <v>18.166318</v>
      </c>
      <c r="C1348" s="4">
        <v>1.649553</v>
      </c>
      <c r="D1348" s="7">
        <v>82.323954000000001</v>
      </c>
      <c r="E1348">
        <v>1</v>
      </c>
      <c r="F1348">
        <v>1</v>
      </c>
      <c r="G1348" s="2">
        <v>2.864776</v>
      </c>
      <c r="H1348" s="2">
        <v>3</v>
      </c>
      <c r="I1348">
        <v>1</v>
      </c>
      <c r="J1348">
        <v>0</v>
      </c>
      <c r="K1348" s="2">
        <v>1.8769149999999999</v>
      </c>
      <c r="L1348">
        <v>0</v>
      </c>
      <c r="M1348" s="7">
        <v>0.63156500000000004</v>
      </c>
      <c r="N1348" s="7">
        <v>0.186414</v>
      </c>
      <c r="O1348">
        <v>0</v>
      </c>
      <c r="P1348" t="s">
        <v>14</v>
      </c>
      <c r="Q1348">
        <v>4</v>
      </c>
      <c r="R1348" s="8">
        <f>(Tabela2[[#This Row],[FAF_atividade_fisica_frequente_em_horas]]+ 0.1)</f>
        <v>0.73156500000000002</v>
      </c>
      <c r="S1348" s="1">
        <f>(Tabela2[[#This Row],[TUE_tempo_uso_aparelhos_em_horas]]/Tabela2[[#This Row],[FAF_Var]])</f>
        <v>0.2548153615878288</v>
      </c>
      <c r="T1348">
        <f>(Tabela2[[#This Row],[CAEC_lanche_entre_refeicoes]]*Tabela2[[#This Row],[FAVC_consumo_frequente_de_alimentos_mt_caloricos]])</f>
        <v>1</v>
      </c>
      <c r="U1348" s="1">
        <f>IF(OR(Tabela2[[#This Row],[MTRANS]]="Walking",Tabela2[[#This Row],[MTRANS]]="Bike"),Tabela2[[#This Row],[FAF_atividade_fisica_frequente_em_horas]]+1,M1348)</f>
        <v>0.63156500000000004</v>
      </c>
      <c r="V1348">
        <f>(Tabela2[[#This Row],[SMOKE]]+Tabela2[[#This Row],[CALC_bebe_alcool_frequentemente]])</f>
        <v>0</v>
      </c>
      <c r="W1348" s="8">
        <f>(Tabela2[[#This Row],[Weight]]/(Tabela2[[#This Row],[Height]] ^2))</f>
        <v>30.254757299290866</v>
      </c>
    </row>
    <row r="1349" spans="1:23" x14ac:dyDescent="0.25">
      <c r="A1349" t="s">
        <v>15</v>
      </c>
      <c r="B1349" s="7">
        <v>22.352025000000001</v>
      </c>
      <c r="C1349" s="4">
        <v>1.7547109999999999</v>
      </c>
      <c r="D1349" s="7">
        <v>105.00070599999999</v>
      </c>
      <c r="E1349">
        <v>1</v>
      </c>
      <c r="F1349">
        <v>1</v>
      </c>
      <c r="G1349" s="2">
        <v>2.8711370000000001</v>
      </c>
      <c r="H1349" s="2">
        <v>3</v>
      </c>
      <c r="I1349">
        <v>1</v>
      </c>
      <c r="J1349">
        <v>0</v>
      </c>
      <c r="K1349" s="2">
        <v>2.6275689999999998</v>
      </c>
      <c r="L1349">
        <v>0</v>
      </c>
      <c r="M1349" s="7">
        <v>1</v>
      </c>
      <c r="N1349" s="7">
        <v>0</v>
      </c>
      <c r="O1349">
        <v>1</v>
      </c>
      <c r="P1349" t="s">
        <v>14</v>
      </c>
      <c r="Q1349">
        <v>4</v>
      </c>
      <c r="R1349" s="8">
        <f>(Tabela2[[#This Row],[FAF_atividade_fisica_frequente_em_horas]]+ 0.1)</f>
        <v>1.1000000000000001</v>
      </c>
      <c r="S1349" s="1">
        <f>(Tabela2[[#This Row],[TUE_tempo_uso_aparelhos_em_horas]]/Tabela2[[#This Row],[FAF_Var]])</f>
        <v>0</v>
      </c>
      <c r="T1349">
        <f>(Tabela2[[#This Row],[CAEC_lanche_entre_refeicoes]]*Tabela2[[#This Row],[FAVC_consumo_frequente_de_alimentos_mt_caloricos]])</f>
        <v>1</v>
      </c>
      <c r="U1349" s="1">
        <f>IF(OR(Tabela2[[#This Row],[MTRANS]]="Walking",Tabela2[[#This Row],[MTRANS]]="Bike"),Tabela2[[#This Row],[FAF_atividade_fisica_frequente_em_horas]]+1,M1349)</f>
        <v>1</v>
      </c>
      <c r="V1349">
        <f>(Tabela2[[#This Row],[SMOKE]]+Tabela2[[#This Row],[CALC_bebe_alcool_frequentemente]])</f>
        <v>1</v>
      </c>
      <c r="W1349" s="8">
        <f>(Tabela2[[#This Row],[Weight]]/(Tabela2[[#This Row],[Height]] ^2))</f>
        <v>34.102092019669648</v>
      </c>
    </row>
    <row r="1350" spans="1:23" x14ac:dyDescent="0.25">
      <c r="A1350" t="s">
        <v>15</v>
      </c>
      <c r="B1350" s="7">
        <v>22.469351</v>
      </c>
      <c r="C1350" s="4">
        <v>1.7625150000000001</v>
      </c>
      <c r="D1350" s="7">
        <v>105.000097</v>
      </c>
      <c r="E1350">
        <v>1</v>
      </c>
      <c r="F1350">
        <v>1</v>
      </c>
      <c r="G1350" s="2">
        <v>2.2828029999999999</v>
      </c>
      <c r="H1350" s="2">
        <v>3</v>
      </c>
      <c r="I1350">
        <v>1</v>
      </c>
      <c r="J1350">
        <v>0</v>
      </c>
      <c r="K1350" s="2">
        <v>2.1042640000000001</v>
      </c>
      <c r="L1350">
        <v>0</v>
      </c>
      <c r="M1350" s="7">
        <v>1</v>
      </c>
      <c r="N1350" s="7">
        <v>0</v>
      </c>
      <c r="O1350">
        <v>1</v>
      </c>
      <c r="P1350" t="s">
        <v>14</v>
      </c>
      <c r="Q1350">
        <v>4</v>
      </c>
      <c r="R1350" s="8">
        <f>(Tabela2[[#This Row],[FAF_atividade_fisica_frequente_em_horas]]+ 0.1)</f>
        <v>1.1000000000000001</v>
      </c>
      <c r="S1350" s="1">
        <f>(Tabela2[[#This Row],[TUE_tempo_uso_aparelhos_em_horas]]/Tabela2[[#This Row],[FAF_Var]])</f>
        <v>0</v>
      </c>
      <c r="T1350">
        <f>(Tabela2[[#This Row],[CAEC_lanche_entre_refeicoes]]*Tabela2[[#This Row],[FAVC_consumo_frequente_de_alimentos_mt_caloricos]])</f>
        <v>1</v>
      </c>
      <c r="U1350" s="1">
        <f>IF(OR(Tabela2[[#This Row],[MTRANS]]="Walking",Tabela2[[#This Row],[MTRANS]]="Bike"),Tabela2[[#This Row],[FAF_atividade_fisica_frequente_em_horas]]+1,M1350)</f>
        <v>1</v>
      </c>
      <c r="V1350">
        <f>(Tabela2[[#This Row],[SMOKE]]+Tabela2[[#This Row],[CALC_bebe_alcool_frequentemente]])</f>
        <v>1</v>
      </c>
      <c r="W1350" s="8">
        <f>(Tabela2[[#This Row],[Weight]]/(Tabela2[[#This Row],[Height]] ^2))</f>
        <v>33.800572538482974</v>
      </c>
    </row>
    <row r="1351" spans="1:23" x14ac:dyDescent="0.25">
      <c r="A1351" t="s">
        <v>15</v>
      </c>
      <c r="B1351" s="7">
        <v>19.524698000000001</v>
      </c>
      <c r="C1351" s="4">
        <v>1.942725</v>
      </c>
      <c r="D1351" s="7">
        <v>121.657979</v>
      </c>
      <c r="E1351">
        <v>1</v>
      </c>
      <c r="F1351">
        <v>1</v>
      </c>
      <c r="G1351" s="2">
        <v>2</v>
      </c>
      <c r="H1351" s="2">
        <v>3</v>
      </c>
      <c r="I1351">
        <v>1</v>
      </c>
      <c r="J1351">
        <v>0</v>
      </c>
      <c r="K1351" s="2">
        <v>3</v>
      </c>
      <c r="L1351">
        <v>0</v>
      </c>
      <c r="M1351" s="7">
        <v>1</v>
      </c>
      <c r="N1351" s="7">
        <v>1.0148079999999999</v>
      </c>
      <c r="O1351">
        <v>1</v>
      </c>
      <c r="P1351" t="s">
        <v>14</v>
      </c>
      <c r="Q1351">
        <v>4</v>
      </c>
      <c r="R1351" s="8">
        <f>(Tabela2[[#This Row],[FAF_atividade_fisica_frequente_em_horas]]+ 0.1)</f>
        <v>1.1000000000000001</v>
      </c>
      <c r="S1351" s="1">
        <f>(Tabela2[[#This Row],[TUE_tempo_uso_aparelhos_em_horas]]/Tabela2[[#This Row],[FAF_Var]])</f>
        <v>0.92255272727272719</v>
      </c>
      <c r="T1351">
        <f>(Tabela2[[#This Row],[CAEC_lanche_entre_refeicoes]]*Tabela2[[#This Row],[FAVC_consumo_frequente_de_alimentos_mt_caloricos]])</f>
        <v>1</v>
      </c>
      <c r="U1351" s="1">
        <f>IF(OR(Tabela2[[#This Row],[MTRANS]]="Walking",Tabela2[[#This Row],[MTRANS]]="Bike"),Tabela2[[#This Row],[FAF_atividade_fisica_frequente_em_horas]]+1,M1351)</f>
        <v>1</v>
      </c>
      <c r="V1351">
        <f>(Tabela2[[#This Row],[SMOKE]]+Tabela2[[#This Row],[CALC_bebe_alcool_frequentemente]])</f>
        <v>1</v>
      </c>
      <c r="W1351" s="8">
        <f>(Tabela2[[#This Row],[Weight]]/(Tabela2[[#This Row],[Height]] ^2))</f>
        <v>32.234277453721248</v>
      </c>
    </row>
    <row r="1352" spans="1:23" x14ac:dyDescent="0.25">
      <c r="A1352" t="s">
        <v>15</v>
      </c>
      <c r="B1352" s="7">
        <v>20.491475000000001</v>
      </c>
      <c r="C1352" s="4">
        <v>1.9756629999999999</v>
      </c>
      <c r="D1352" s="7">
        <v>120.702935</v>
      </c>
      <c r="E1352">
        <v>1</v>
      </c>
      <c r="F1352">
        <v>1</v>
      </c>
      <c r="G1352" s="2">
        <v>2</v>
      </c>
      <c r="H1352" s="2">
        <v>3</v>
      </c>
      <c r="I1352">
        <v>1</v>
      </c>
      <c r="J1352">
        <v>0</v>
      </c>
      <c r="K1352" s="2">
        <v>3</v>
      </c>
      <c r="L1352">
        <v>0</v>
      </c>
      <c r="M1352" s="7">
        <v>0.76701299999999994</v>
      </c>
      <c r="N1352" s="7">
        <v>1</v>
      </c>
      <c r="O1352">
        <v>1</v>
      </c>
      <c r="P1352" t="s">
        <v>14</v>
      </c>
      <c r="Q1352">
        <v>4</v>
      </c>
      <c r="R1352" s="8">
        <f>(Tabela2[[#This Row],[FAF_atividade_fisica_frequente_em_horas]]+ 0.1)</f>
        <v>0.86701299999999992</v>
      </c>
      <c r="S1352" s="1">
        <f>(Tabela2[[#This Row],[TUE_tempo_uso_aparelhos_em_horas]]/Tabela2[[#This Row],[FAF_Var]])</f>
        <v>1.1533852433585194</v>
      </c>
      <c r="T1352">
        <f>(Tabela2[[#This Row],[CAEC_lanche_entre_refeicoes]]*Tabela2[[#This Row],[FAVC_consumo_frequente_de_alimentos_mt_caloricos]])</f>
        <v>1</v>
      </c>
      <c r="U1352" s="1">
        <f>IF(OR(Tabela2[[#This Row],[MTRANS]]="Walking",Tabela2[[#This Row],[MTRANS]]="Bike"),Tabela2[[#This Row],[FAF_atividade_fisica_frequente_em_horas]]+1,M1352)</f>
        <v>0.76701299999999994</v>
      </c>
      <c r="V1352">
        <f>(Tabela2[[#This Row],[SMOKE]]+Tabela2[[#This Row],[CALC_bebe_alcool_frequentemente]])</f>
        <v>1</v>
      </c>
      <c r="W1352" s="8">
        <f>(Tabela2[[#This Row],[Weight]]/(Tabela2[[#This Row],[Height]] ^2))</f>
        <v>30.9237460034376</v>
      </c>
    </row>
    <row r="1353" spans="1:23" x14ac:dyDescent="0.25">
      <c r="A1353" t="s">
        <v>13</v>
      </c>
      <c r="B1353" s="7">
        <v>39.213399000000003</v>
      </c>
      <c r="C1353" s="4">
        <v>1.586301</v>
      </c>
      <c r="D1353" s="7">
        <v>80</v>
      </c>
      <c r="E1353">
        <v>1</v>
      </c>
      <c r="F1353">
        <v>1</v>
      </c>
      <c r="G1353" s="2">
        <v>2.020502</v>
      </c>
      <c r="H1353" s="2">
        <v>1.2374540000000001</v>
      </c>
      <c r="I1353">
        <v>1</v>
      </c>
      <c r="J1353">
        <v>0</v>
      </c>
      <c r="K1353" s="2">
        <v>1.9314199999999999</v>
      </c>
      <c r="L1353">
        <v>0</v>
      </c>
      <c r="M1353" s="7">
        <v>1.967973</v>
      </c>
      <c r="N1353" s="7">
        <v>0</v>
      </c>
      <c r="O1353">
        <v>1</v>
      </c>
      <c r="P1353" t="s">
        <v>17</v>
      </c>
      <c r="Q1353">
        <v>4</v>
      </c>
      <c r="R1353" s="8">
        <f>(Tabela2[[#This Row],[FAF_atividade_fisica_frequente_em_horas]]+ 0.1)</f>
        <v>2.0679729999999998</v>
      </c>
      <c r="S1353" s="1">
        <f>(Tabela2[[#This Row],[TUE_tempo_uso_aparelhos_em_horas]]/Tabela2[[#This Row],[FAF_Var]])</f>
        <v>0</v>
      </c>
      <c r="T1353">
        <f>(Tabela2[[#This Row],[CAEC_lanche_entre_refeicoes]]*Tabela2[[#This Row],[FAVC_consumo_frequente_de_alimentos_mt_caloricos]])</f>
        <v>1</v>
      </c>
      <c r="U1353" s="1">
        <f>IF(OR(Tabela2[[#This Row],[MTRANS]]="Walking",Tabela2[[#This Row],[MTRANS]]="Bike"),Tabela2[[#This Row],[FAF_atividade_fisica_frequente_em_horas]]+1,M1353)</f>
        <v>1.967973</v>
      </c>
      <c r="V1353">
        <f>(Tabela2[[#This Row],[SMOKE]]+Tabela2[[#This Row],[CALC_bebe_alcool_frequentemente]])</f>
        <v>1</v>
      </c>
      <c r="W1353" s="8">
        <f>(Tabela2[[#This Row],[Weight]]/(Tabela2[[#This Row],[Height]] ^2))</f>
        <v>31.792068899846832</v>
      </c>
    </row>
    <row r="1354" spans="1:23" x14ac:dyDescent="0.25">
      <c r="A1354" t="s">
        <v>13</v>
      </c>
      <c r="B1354" s="7">
        <v>38.098745000000001</v>
      </c>
      <c r="C1354" s="4">
        <v>1.5984480000000001</v>
      </c>
      <c r="D1354" s="7">
        <v>80</v>
      </c>
      <c r="E1354">
        <v>1</v>
      </c>
      <c r="F1354">
        <v>1</v>
      </c>
      <c r="G1354" s="2">
        <v>2.0207850000000001</v>
      </c>
      <c r="H1354" s="2">
        <v>1.169173</v>
      </c>
      <c r="I1354">
        <v>1</v>
      </c>
      <c r="J1354">
        <v>0</v>
      </c>
      <c r="K1354" s="2">
        <v>1.9725509999999999</v>
      </c>
      <c r="L1354">
        <v>0</v>
      </c>
      <c r="M1354" s="7">
        <v>1.903338</v>
      </c>
      <c r="N1354" s="7">
        <v>0</v>
      </c>
      <c r="O1354">
        <v>1</v>
      </c>
      <c r="P1354" t="s">
        <v>17</v>
      </c>
      <c r="Q1354">
        <v>4</v>
      </c>
      <c r="R1354" s="8">
        <f>(Tabela2[[#This Row],[FAF_atividade_fisica_frequente_em_horas]]+ 0.1)</f>
        <v>2.0033379999999998</v>
      </c>
      <c r="S1354" s="1">
        <f>(Tabela2[[#This Row],[TUE_tempo_uso_aparelhos_em_horas]]/Tabela2[[#This Row],[FAF_Var]])</f>
        <v>0</v>
      </c>
      <c r="T1354">
        <f>(Tabela2[[#This Row],[CAEC_lanche_entre_refeicoes]]*Tabela2[[#This Row],[FAVC_consumo_frequente_de_alimentos_mt_caloricos]])</f>
        <v>1</v>
      </c>
      <c r="U1354" s="1">
        <f>IF(OR(Tabela2[[#This Row],[MTRANS]]="Walking",Tabela2[[#This Row],[MTRANS]]="Bike"),Tabela2[[#This Row],[FAF_atividade_fisica_frequente_em_horas]]+1,M1354)</f>
        <v>1.903338</v>
      </c>
      <c r="V1354">
        <f>(Tabela2[[#This Row],[SMOKE]]+Tabela2[[#This Row],[CALC_bebe_alcool_frequentemente]])</f>
        <v>1</v>
      </c>
      <c r="W1354" s="8">
        <f>(Tabela2[[#This Row],[Weight]]/(Tabela2[[#This Row],[Height]] ^2))</f>
        <v>31.310713323597607</v>
      </c>
    </row>
    <row r="1355" spans="1:23" x14ac:dyDescent="0.25">
      <c r="A1355" t="s">
        <v>15</v>
      </c>
      <c r="B1355" s="7">
        <v>19.034033000000001</v>
      </c>
      <c r="C1355" s="4">
        <v>1.703098</v>
      </c>
      <c r="D1355" s="7">
        <v>98.296650999999997</v>
      </c>
      <c r="E1355">
        <v>1</v>
      </c>
      <c r="F1355">
        <v>1</v>
      </c>
      <c r="G1355" s="2">
        <v>2</v>
      </c>
      <c r="H1355" s="2">
        <v>2.391753</v>
      </c>
      <c r="I1355">
        <v>1</v>
      </c>
      <c r="J1355">
        <v>0</v>
      </c>
      <c r="K1355" s="2">
        <v>2</v>
      </c>
      <c r="L1355">
        <v>0</v>
      </c>
      <c r="M1355" s="7">
        <v>0</v>
      </c>
      <c r="N1355" s="7">
        <v>1.119877</v>
      </c>
      <c r="O1355">
        <v>0</v>
      </c>
      <c r="P1355" t="s">
        <v>14</v>
      </c>
      <c r="Q1355">
        <v>4</v>
      </c>
      <c r="R1355" s="8">
        <f>(Tabela2[[#This Row],[FAF_atividade_fisica_frequente_em_horas]]+ 0.1)</f>
        <v>0.1</v>
      </c>
      <c r="S1355" s="1">
        <f>(Tabela2[[#This Row],[TUE_tempo_uso_aparelhos_em_horas]]/Tabela2[[#This Row],[FAF_Var]])</f>
        <v>11.19877</v>
      </c>
      <c r="T1355">
        <f>(Tabela2[[#This Row],[CAEC_lanche_entre_refeicoes]]*Tabela2[[#This Row],[FAVC_consumo_frequente_de_alimentos_mt_caloricos]])</f>
        <v>1</v>
      </c>
      <c r="U1355" s="1">
        <f>IF(OR(Tabela2[[#This Row],[MTRANS]]="Walking",Tabela2[[#This Row],[MTRANS]]="Bike"),Tabela2[[#This Row],[FAF_atividade_fisica_frequente_em_horas]]+1,M1355)</f>
        <v>0</v>
      </c>
      <c r="V1355">
        <f>(Tabela2[[#This Row],[SMOKE]]+Tabela2[[#This Row],[CALC_bebe_alcool_frequentemente]])</f>
        <v>0</v>
      </c>
      <c r="W1355" s="8">
        <f>(Tabela2[[#This Row],[Weight]]/(Tabela2[[#This Row],[Height]] ^2))</f>
        <v>33.889053828544839</v>
      </c>
    </row>
    <row r="1356" spans="1:23" x14ac:dyDescent="0.25">
      <c r="A1356" t="s">
        <v>15</v>
      </c>
      <c r="B1356" s="7">
        <v>17.073647999999999</v>
      </c>
      <c r="C1356" s="4">
        <v>1.706996</v>
      </c>
      <c r="D1356" s="7">
        <v>99.544696000000002</v>
      </c>
      <c r="E1356">
        <v>1</v>
      </c>
      <c r="F1356">
        <v>1</v>
      </c>
      <c r="G1356" s="2">
        <v>2</v>
      </c>
      <c r="H1356" s="2">
        <v>3</v>
      </c>
      <c r="I1356">
        <v>1</v>
      </c>
      <c r="J1356">
        <v>0</v>
      </c>
      <c r="K1356" s="2">
        <v>2</v>
      </c>
      <c r="L1356">
        <v>0</v>
      </c>
      <c r="M1356" s="7">
        <v>1.7320899999999999</v>
      </c>
      <c r="N1356" s="7">
        <v>4.8617E-2</v>
      </c>
      <c r="O1356">
        <v>0</v>
      </c>
      <c r="P1356" t="s">
        <v>14</v>
      </c>
      <c r="Q1356">
        <v>4</v>
      </c>
      <c r="R1356" s="8">
        <f>(Tabela2[[#This Row],[FAF_atividade_fisica_frequente_em_horas]]+ 0.1)</f>
        <v>1.83209</v>
      </c>
      <c r="S1356" s="1">
        <f>(Tabela2[[#This Row],[TUE_tempo_uso_aparelhos_em_horas]]/Tabela2[[#This Row],[FAF_Var]])</f>
        <v>2.6536360113313211E-2</v>
      </c>
      <c r="T1356">
        <f>(Tabela2[[#This Row],[CAEC_lanche_entre_refeicoes]]*Tabela2[[#This Row],[FAVC_consumo_frequente_de_alimentos_mt_caloricos]])</f>
        <v>1</v>
      </c>
      <c r="U1356" s="1">
        <f>IF(OR(Tabela2[[#This Row],[MTRANS]]="Walking",Tabela2[[#This Row],[MTRANS]]="Bike"),Tabela2[[#This Row],[FAF_atividade_fisica_frequente_em_horas]]+1,M1356)</f>
        <v>1.7320899999999999</v>
      </c>
      <c r="V1356">
        <f>(Tabela2[[#This Row],[SMOKE]]+Tabela2[[#This Row],[CALC_bebe_alcool_frequentemente]])</f>
        <v>0</v>
      </c>
      <c r="W1356" s="8">
        <f>(Tabela2[[#This Row],[Weight]]/(Tabela2[[#This Row],[Height]] ^2))</f>
        <v>34.162773200081482</v>
      </c>
    </row>
    <row r="1357" spans="1:23" x14ac:dyDescent="0.25">
      <c r="A1357" t="s">
        <v>13</v>
      </c>
      <c r="B1357" s="7">
        <v>38.547266999999998</v>
      </c>
      <c r="C1357" s="4">
        <v>1.5264720000000001</v>
      </c>
      <c r="D1357" s="7">
        <v>75.150345000000002</v>
      </c>
      <c r="E1357">
        <v>1</v>
      </c>
      <c r="F1357">
        <v>1</v>
      </c>
      <c r="G1357" s="2">
        <v>2</v>
      </c>
      <c r="H1357" s="2">
        <v>3</v>
      </c>
      <c r="I1357">
        <v>1</v>
      </c>
      <c r="J1357">
        <v>0</v>
      </c>
      <c r="K1357" s="2">
        <v>1.0844419999999999</v>
      </c>
      <c r="L1357">
        <v>0</v>
      </c>
      <c r="M1357" s="7">
        <v>0</v>
      </c>
      <c r="N1357" s="7">
        <v>0</v>
      </c>
      <c r="O1357">
        <v>1</v>
      </c>
      <c r="P1357" t="s">
        <v>17</v>
      </c>
      <c r="Q1357">
        <v>4</v>
      </c>
      <c r="R1357" s="8">
        <f>(Tabela2[[#This Row],[FAF_atividade_fisica_frequente_em_horas]]+ 0.1)</f>
        <v>0.1</v>
      </c>
      <c r="S1357" s="1">
        <f>(Tabela2[[#This Row],[TUE_tempo_uso_aparelhos_em_horas]]/Tabela2[[#This Row],[FAF_Var]])</f>
        <v>0</v>
      </c>
      <c r="T1357">
        <f>(Tabela2[[#This Row],[CAEC_lanche_entre_refeicoes]]*Tabela2[[#This Row],[FAVC_consumo_frequente_de_alimentos_mt_caloricos]])</f>
        <v>1</v>
      </c>
      <c r="U1357" s="1">
        <f>IF(OR(Tabela2[[#This Row],[MTRANS]]="Walking",Tabela2[[#This Row],[MTRANS]]="Bike"),Tabela2[[#This Row],[FAF_atividade_fisica_frequente_em_horas]]+1,M1357)</f>
        <v>0</v>
      </c>
      <c r="V1357">
        <f>(Tabela2[[#This Row],[SMOKE]]+Tabela2[[#This Row],[CALC_bebe_alcool_frequentemente]])</f>
        <v>1</v>
      </c>
      <c r="W1357" s="8">
        <f>(Tabela2[[#This Row],[Weight]]/(Tabela2[[#This Row],[Height]] ^2))</f>
        <v>32.251750672444466</v>
      </c>
    </row>
    <row r="1358" spans="1:23" x14ac:dyDescent="0.25">
      <c r="A1358" t="s">
        <v>13</v>
      </c>
      <c r="B1358" s="7">
        <v>38.683793999999999</v>
      </c>
      <c r="C1358" s="4">
        <v>1.5019929999999999</v>
      </c>
      <c r="D1358" s="7">
        <v>76.642944</v>
      </c>
      <c r="E1358">
        <v>1</v>
      </c>
      <c r="F1358">
        <v>1</v>
      </c>
      <c r="G1358" s="2">
        <v>2</v>
      </c>
      <c r="H1358" s="2">
        <v>3</v>
      </c>
      <c r="I1358">
        <v>1</v>
      </c>
      <c r="J1358">
        <v>0</v>
      </c>
      <c r="K1358" s="2">
        <v>1</v>
      </c>
      <c r="L1358">
        <v>0</v>
      </c>
      <c r="M1358" s="7">
        <v>0</v>
      </c>
      <c r="N1358" s="7">
        <v>0</v>
      </c>
      <c r="O1358">
        <v>1</v>
      </c>
      <c r="P1358" t="s">
        <v>17</v>
      </c>
      <c r="Q1358">
        <v>4</v>
      </c>
      <c r="R1358" s="8">
        <f>(Tabela2[[#This Row],[FAF_atividade_fisica_frequente_em_horas]]+ 0.1)</f>
        <v>0.1</v>
      </c>
      <c r="S1358" s="1">
        <f>(Tabela2[[#This Row],[TUE_tempo_uso_aparelhos_em_horas]]/Tabela2[[#This Row],[FAF_Var]])</f>
        <v>0</v>
      </c>
      <c r="T1358">
        <f>(Tabela2[[#This Row],[CAEC_lanche_entre_refeicoes]]*Tabela2[[#This Row],[FAVC_consumo_frequente_de_alimentos_mt_caloricos]])</f>
        <v>1</v>
      </c>
      <c r="U1358" s="1">
        <f>IF(OR(Tabela2[[#This Row],[MTRANS]]="Walking",Tabela2[[#This Row],[MTRANS]]="Bike"),Tabela2[[#This Row],[FAF_atividade_fisica_frequente_em_horas]]+1,M1358)</f>
        <v>0</v>
      </c>
      <c r="V1358">
        <f>(Tabela2[[#This Row],[SMOKE]]+Tabela2[[#This Row],[CALC_bebe_alcool_frequentemente]])</f>
        <v>1</v>
      </c>
      <c r="W1358" s="8">
        <f>(Tabela2[[#This Row],[Weight]]/(Tabela2[[#This Row],[Height]] ^2))</f>
        <v>33.973192594795577</v>
      </c>
    </row>
    <row r="1359" spans="1:23" x14ac:dyDescent="0.25">
      <c r="A1359" t="s">
        <v>15</v>
      </c>
      <c r="B1359" s="7">
        <v>18</v>
      </c>
      <c r="C1359" s="4">
        <v>1.784402</v>
      </c>
      <c r="D1359" s="7">
        <v>108.41311899999999</v>
      </c>
      <c r="E1359">
        <v>1</v>
      </c>
      <c r="F1359">
        <v>1</v>
      </c>
      <c r="G1359" s="2">
        <v>2</v>
      </c>
      <c r="H1359" s="2">
        <v>2.475444</v>
      </c>
      <c r="I1359">
        <v>1</v>
      </c>
      <c r="J1359">
        <v>0</v>
      </c>
      <c r="K1359" s="2">
        <v>2.6557949999999999</v>
      </c>
      <c r="L1359">
        <v>0</v>
      </c>
      <c r="M1359" s="7">
        <v>1</v>
      </c>
      <c r="N1359" s="7">
        <v>0.169879</v>
      </c>
      <c r="O1359">
        <v>0</v>
      </c>
      <c r="P1359" t="s">
        <v>14</v>
      </c>
      <c r="Q1359">
        <v>4</v>
      </c>
      <c r="R1359" s="8">
        <f>(Tabela2[[#This Row],[FAF_atividade_fisica_frequente_em_horas]]+ 0.1)</f>
        <v>1.1000000000000001</v>
      </c>
      <c r="S1359" s="1">
        <f>(Tabela2[[#This Row],[TUE_tempo_uso_aparelhos_em_horas]]/Tabela2[[#This Row],[FAF_Var]])</f>
        <v>0.15443545454545454</v>
      </c>
      <c r="T1359">
        <f>(Tabela2[[#This Row],[CAEC_lanche_entre_refeicoes]]*Tabela2[[#This Row],[FAVC_consumo_frequente_de_alimentos_mt_caloricos]])</f>
        <v>1</v>
      </c>
      <c r="U1359" s="1">
        <f>IF(OR(Tabela2[[#This Row],[MTRANS]]="Walking",Tabela2[[#This Row],[MTRANS]]="Bike"),Tabela2[[#This Row],[FAF_atividade_fisica_frequente_em_horas]]+1,M1359)</f>
        <v>1</v>
      </c>
      <c r="V1359">
        <f>(Tabela2[[#This Row],[SMOKE]]+Tabela2[[#This Row],[CALC_bebe_alcool_frequentemente]])</f>
        <v>0</v>
      </c>
      <c r="W1359" s="8">
        <f>(Tabela2[[#This Row],[Weight]]/(Tabela2[[#This Row],[Height]] ^2))</f>
        <v>34.048378675662612</v>
      </c>
    </row>
    <row r="1360" spans="1:23" x14ac:dyDescent="0.25">
      <c r="A1360" t="s">
        <v>15</v>
      </c>
      <c r="B1360" s="7">
        <v>18</v>
      </c>
      <c r="C1360" s="4">
        <v>1.7926869999999999</v>
      </c>
      <c r="D1360" s="7">
        <v>108.20454700000001</v>
      </c>
      <c r="E1360">
        <v>1</v>
      </c>
      <c r="F1360">
        <v>1</v>
      </c>
      <c r="G1360" s="2">
        <v>2</v>
      </c>
      <c r="H1360" s="2">
        <v>2.4787940000000002</v>
      </c>
      <c r="I1360">
        <v>1</v>
      </c>
      <c r="J1360">
        <v>0</v>
      </c>
      <c r="K1360" s="2">
        <v>2.9670640000000001</v>
      </c>
      <c r="L1360">
        <v>0</v>
      </c>
      <c r="M1360" s="7">
        <v>1</v>
      </c>
      <c r="N1360" s="7">
        <v>0.43459999999999999</v>
      </c>
      <c r="O1360">
        <v>0</v>
      </c>
      <c r="P1360" t="s">
        <v>14</v>
      </c>
      <c r="Q1360">
        <v>4</v>
      </c>
      <c r="R1360" s="8">
        <f>(Tabela2[[#This Row],[FAF_atividade_fisica_frequente_em_horas]]+ 0.1)</f>
        <v>1.1000000000000001</v>
      </c>
      <c r="S1360" s="1">
        <f>(Tabela2[[#This Row],[TUE_tempo_uso_aparelhos_em_horas]]/Tabela2[[#This Row],[FAF_Var]])</f>
        <v>0.39509090909090905</v>
      </c>
      <c r="T1360">
        <f>(Tabela2[[#This Row],[CAEC_lanche_entre_refeicoes]]*Tabela2[[#This Row],[FAVC_consumo_frequente_de_alimentos_mt_caloricos]])</f>
        <v>1</v>
      </c>
      <c r="U1360" s="1">
        <f>IF(OR(Tabela2[[#This Row],[MTRANS]]="Walking",Tabela2[[#This Row],[MTRANS]]="Bike"),Tabela2[[#This Row],[FAF_atividade_fisica_frequente_em_horas]]+1,M1360)</f>
        <v>1</v>
      </c>
      <c r="V1360">
        <f>(Tabela2[[#This Row],[SMOKE]]+Tabela2[[#This Row],[CALC_bebe_alcool_frequentemente]])</f>
        <v>0</v>
      </c>
      <c r="W1360" s="8">
        <f>(Tabela2[[#This Row],[Weight]]/(Tabela2[[#This Row],[Height]] ^2))</f>
        <v>33.669492702796923</v>
      </c>
    </row>
    <row r="1361" spans="1:23" x14ac:dyDescent="0.25">
      <c r="A1361" t="s">
        <v>15</v>
      </c>
      <c r="B1361" s="7">
        <v>29.622803999999999</v>
      </c>
      <c r="C1361" s="4">
        <v>1.814052</v>
      </c>
      <c r="D1361" s="7">
        <v>109.41162199999999</v>
      </c>
      <c r="E1361">
        <v>1</v>
      </c>
      <c r="F1361">
        <v>1</v>
      </c>
      <c r="G1361" s="2">
        <v>2.4078170000000001</v>
      </c>
      <c r="H1361" s="2">
        <v>2.070033</v>
      </c>
      <c r="I1361">
        <v>1</v>
      </c>
      <c r="J1361">
        <v>0</v>
      </c>
      <c r="K1361" s="2">
        <v>1.796257</v>
      </c>
      <c r="L1361">
        <v>0</v>
      </c>
      <c r="M1361" s="7">
        <v>1.234483</v>
      </c>
      <c r="N1361" s="7">
        <v>0.17870800000000001</v>
      </c>
      <c r="O1361">
        <v>1</v>
      </c>
      <c r="P1361" t="s">
        <v>17</v>
      </c>
      <c r="Q1361">
        <v>4</v>
      </c>
      <c r="R1361" s="8">
        <f>(Tabela2[[#This Row],[FAF_atividade_fisica_frequente_em_horas]]+ 0.1)</f>
        <v>1.3344830000000001</v>
      </c>
      <c r="S1361" s="1">
        <f>(Tabela2[[#This Row],[TUE_tempo_uso_aparelhos_em_horas]]/Tabela2[[#This Row],[FAF_Var]])</f>
        <v>0.13391553133310802</v>
      </c>
      <c r="T1361">
        <f>(Tabela2[[#This Row],[CAEC_lanche_entre_refeicoes]]*Tabela2[[#This Row],[FAVC_consumo_frequente_de_alimentos_mt_caloricos]])</f>
        <v>1</v>
      </c>
      <c r="U1361" s="1">
        <f>IF(OR(Tabela2[[#This Row],[MTRANS]]="Walking",Tabela2[[#This Row],[MTRANS]]="Bike"),Tabela2[[#This Row],[FAF_atividade_fisica_frequente_em_horas]]+1,M1361)</f>
        <v>1.234483</v>
      </c>
      <c r="V1361">
        <f>(Tabela2[[#This Row],[SMOKE]]+Tabela2[[#This Row],[CALC_bebe_alcool_frequentemente]])</f>
        <v>1</v>
      </c>
      <c r="W1361" s="8">
        <f>(Tabela2[[#This Row],[Weight]]/(Tabela2[[#This Row],[Height]] ^2))</f>
        <v>33.24788260167994</v>
      </c>
    </row>
    <row r="1362" spans="1:23" x14ac:dyDescent="0.25">
      <c r="A1362" t="s">
        <v>15</v>
      </c>
      <c r="B1362" s="7">
        <v>30.79626</v>
      </c>
      <c r="C1362" s="4">
        <v>1.7894209999999999</v>
      </c>
      <c r="D1362" s="7">
        <v>109.599453</v>
      </c>
      <c r="E1362">
        <v>1</v>
      </c>
      <c r="F1362">
        <v>1</v>
      </c>
      <c r="G1362" s="2">
        <v>2.2149800000000002</v>
      </c>
      <c r="H1362" s="2">
        <v>2.2823920000000002</v>
      </c>
      <c r="I1362">
        <v>1</v>
      </c>
      <c r="J1362">
        <v>0</v>
      </c>
      <c r="K1362" s="2">
        <v>1.179942</v>
      </c>
      <c r="L1362">
        <v>0</v>
      </c>
      <c r="M1362" s="7">
        <v>1.7717540000000001</v>
      </c>
      <c r="N1362" s="7">
        <v>0.537659</v>
      </c>
      <c r="O1362">
        <v>1</v>
      </c>
      <c r="P1362" t="s">
        <v>17</v>
      </c>
      <c r="Q1362">
        <v>4</v>
      </c>
      <c r="R1362" s="8">
        <f>(Tabela2[[#This Row],[FAF_atividade_fisica_frequente_em_horas]]+ 0.1)</f>
        <v>1.8717540000000001</v>
      </c>
      <c r="S1362" s="1">
        <f>(Tabela2[[#This Row],[TUE_tempo_uso_aparelhos_em_horas]]/Tabela2[[#This Row],[FAF_Var]])</f>
        <v>0.28724875170561942</v>
      </c>
      <c r="T1362">
        <f>(Tabela2[[#This Row],[CAEC_lanche_entre_refeicoes]]*Tabela2[[#This Row],[FAVC_consumo_frequente_de_alimentos_mt_caloricos]])</f>
        <v>1</v>
      </c>
      <c r="U1362" s="1">
        <f>IF(OR(Tabela2[[#This Row],[MTRANS]]="Walking",Tabela2[[#This Row],[MTRANS]]="Bike"),Tabela2[[#This Row],[FAF_atividade_fisica_frequente_em_horas]]+1,M1362)</f>
        <v>1.7717540000000001</v>
      </c>
      <c r="V1362">
        <f>(Tabela2[[#This Row],[SMOKE]]+Tabela2[[#This Row],[CALC_bebe_alcool_frequentemente]])</f>
        <v>1</v>
      </c>
      <c r="W1362" s="8">
        <f>(Tabela2[[#This Row],[Weight]]/(Tabela2[[#This Row],[Height]] ^2))</f>
        <v>34.228142162529487</v>
      </c>
    </row>
    <row r="1363" spans="1:23" x14ac:dyDescent="0.25">
      <c r="A1363" t="s">
        <v>13</v>
      </c>
      <c r="B1363" s="7">
        <v>18</v>
      </c>
      <c r="C1363" s="4">
        <v>1.686904</v>
      </c>
      <c r="D1363" s="7">
        <v>90.004046000000002</v>
      </c>
      <c r="E1363">
        <v>1</v>
      </c>
      <c r="F1363">
        <v>1</v>
      </c>
      <c r="G1363" s="2">
        <v>2.7371490000000001</v>
      </c>
      <c r="H1363" s="2">
        <v>3</v>
      </c>
      <c r="I1363">
        <v>1</v>
      </c>
      <c r="J1363">
        <v>0</v>
      </c>
      <c r="K1363" s="2">
        <v>1.9971950000000001</v>
      </c>
      <c r="L1363">
        <v>0</v>
      </c>
      <c r="M1363" s="7">
        <v>1.3526629999999999</v>
      </c>
      <c r="N1363" s="7">
        <v>0.46848299999999998</v>
      </c>
      <c r="O1363">
        <v>1</v>
      </c>
      <c r="P1363" t="s">
        <v>14</v>
      </c>
      <c r="Q1363">
        <v>4</v>
      </c>
      <c r="R1363" s="8">
        <f>(Tabela2[[#This Row],[FAF_atividade_fisica_frequente_em_horas]]+ 0.1)</f>
        <v>1.452663</v>
      </c>
      <c r="S1363" s="1">
        <f>(Tabela2[[#This Row],[TUE_tempo_uso_aparelhos_em_horas]]/Tabela2[[#This Row],[FAF_Var]])</f>
        <v>0.32249943724043356</v>
      </c>
      <c r="T1363">
        <f>(Tabela2[[#This Row],[CAEC_lanche_entre_refeicoes]]*Tabela2[[#This Row],[FAVC_consumo_frequente_de_alimentos_mt_caloricos]])</f>
        <v>1</v>
      </c>
      <c r="U1363" s="1">
        <f>IF(OR(Tabela2[[#This Row],[MTRANS]]="Walking",Tabela2[[#This Row],[MTRANS]]="Bike"),Tabela2[[#This Row],[FAF_atividade_fisica_frequente_em_horas]]+1,M1363)</f>
        <v>1.3526629999999999</v>
      </c>
      <c r="V1363">
        <f>(Tabela2[[#This Row],[SMOKE]]+Tabela2[[#This Row],[CALC_bebe_alcool_frequentemente]])</f>
        <v>1</v>
      </c>
      <c r="W1363" s="8">
        <f>(Tabela2[[#This Row],[Weight]]/(Tabela2[[#This Row],[Height]] ^2))</f>
        <v>31.628696718021772</v>
      </c>
    </row>
    <row r="1364" spans="1:23" x14ac:dyDescent="0.25">
      <c r="A1364" t="s">
        <v>13</v>
      </c>
      <c r="B1364" s="7">
        <v>18.107092000000002</v>
      </c>
      <c r="C1364" s="4">
        <v>1.7032590000000001</v>
      </c>
      <c r="D1364" s="7">
        <v>91.499683000000005</v>
      </c>
      <c r="E1364">
        <v>1</v>
      </c>
      <c r="F1364">
        <v>1</v>
      </c>
      <c r="G1364" s="2">
        <v>1.8997930000000001</v>
      </c>
      <c r="H1364" s="2">
        <v>3</v>
      </c>
      <c r="I1364">
        <v>1</v>
      </c>
      <c r="J1364">
        <v>0</v>
      </c>
      <c r="K1364" s="2">
        <v>1.439962</v>
      </c>
      <c r="L1364">
        <v>0</v>
      </c>
      <c r="M1364" s="7">
        <v>0.95289999999999997</v>
      </c>
      <c r="N1364" s="7">
        <v>0.83884700000000001</v>
      </c>
      <c r="O1364">
        <v>1</v>
      </c>
      <c r="P1364" t="s">
        <v>14</v>
      </c>
      <c r="Q1364">
        <v>4</v>
      </c>
      <c r="R1364" s="8">
        <f>(Tabela2[[#This Row],[FAF_atividade_fisica_frequente_em_horas]]+ 0.1)</f>
        <v>1.0528999999999999</v>
      </c>
      <c r="S1364" s="1">
        <f>(Tabela2[[#This Row],[TUE_tempo_uso_aparelhos_em_horas]]/Tabela2[[#This Row],[FAF_Var]])</f>
        <v>0.79670149111976452</v>
      </c>
      <c r="T1364">
        <f>(Tabela2[[#This Row],[CAEC_lanche_entre_refeicoes]]*Tabela2[[#This Row],[FAVC_consumo_frequente_de_alimentos_mt_caloricos]])</f>
        <v>1</v>
      </c>
      <c r="U1364" s="1">
        <f>IF(OR(Tabela2[[#This Row],[MTRANS]]="Walking",Tabela2[[#This Row],[MTRANS]]="Bike"),Tabela2[[#This Row],[FAF_atividade_fisica_frequente_em_horas]]+1,M1364)</f>
        <v>0.95289999999999997</v>
      </c>
      <c r="V1364">
        <f>(Tabela2[[#This Row],[SMOKE]]+Tabela2[[#This Row],[CALC_bebe_alcool_frequentemente]])</f>
        <v>1</v>
      </c>
      <c r="W1364" s="8">
        <f>(Tabela2[[#This Row],[Weight]]/(Tabela2[[#This Row],[Height]] ^2))</f>
        <v>31.539746952839881</v>
      </c>
    </row>
    <row r="1365" spans="1:23" x14ac:dyDescent="0.25">
      <c r="A1365" t="s">
        <v>15</v>
      </c>
      <c r="B1365" s="7">
        <v>31.335093000000001</v>
      </c>
      <c r="C1365" s="4">
        <v>1.6657979999999999</v>
      </c>
      <c r="D1365" s="7">
        <v>89.738596000000001</v>
      </c>
      <c r="E1365">
        <v>1</v>
      </c>
      <c r="F1365">
        <v>1</v>
      </c>
      <c r="G1365" s="2">
        <v>2.2741639999999999</v>
      </c>
      <c r="H1365" s="2">
        <v>1.049534</v>
      </c>
      <c r="I1365">
        <v>1</v>
      </c>
      <c r="J1365">
        <v>0</v>
      </c>
      <c r="K1365" s="2">
        <v>1.3581719999999999</v>
      </c>
      <c r="L1365">
        <v>0</v>
      </c>
      <c r="M1365" s="7">
        <v>1.4824109999999999</v>
      </c>
      <c r="N1365" s="7">
        <v>0</v>
      </c>
      <c r="O1365">
        <v>1</v>
      </c>
      <c r="P1365" t="s">
        <v>17</v>
      </c>
      <c r="Q1365">
        <v>4</v>
      </c>
      <c r="R1365" s="8">
        <f>(Tabela2[[#This Row],[FAF_atividade_fisica_frequente_em_horas]]+ 0.1)</f>
        <v>1.582411</v>
      </c>
      <c r="S1365" s="1">
        <f>(Tabela2[[#This Row],[TUE_tempo_uso_aparelhos_em_horas]]/Tabela2[[#This Row],[FAF_Var]])</f>
        <v>0</v>
      </c>
      <c r="T1365">
        <f>(Tabela2[[#This Row],[CAEC_lanche_entre_refeicoes]]*Tabela2[[#This Row],[FAVC_consumo_frequente_de_alimentos_mt_caloricos]])</f>
        <v>1</v>
      </c>
      <c r="U1365" s="1">
        <f>IF(OR(Tabela2[[#This Row],[MTRANS]]="Walking",Tabela2[[#This Row],[MTRANS]]="Bike"),Tabela2[[#This Row],[FAF_atividade_fisica_frequente_em_horas]]+1,M1365)</f>
        <v>1.4824109999999999</v>
      </c>
      <c r="V1365">
        <f>(Tabela2[[#This Row],[SMOKE]]+Tabela2[[#This Row],[CALC_bebe_alcool_frequentemente]])</f>
        <v>1</v>
      </c>
      <c r="W1365" s="8">
        <f>(Tabela2[[#This Row],[Weight]]/(Tabela2[[#This Row],[Height]] ^2))</f>
        <v>32.339596570431723</v>
      </c>
    </row>
    <row r="1366" spans="1:23" x14ac:dyDescent="0.25">
      <c r="A1366" t="s">
        <v>15</v>
      </c>
      <c r="B1366" s="7">
        <v>29</v>
      </c>
      <c r="C1366" s="4">
        <v>1.6667099999999999</v>
      </c>
      <c r="D1366" s="7">
        <v>89.048151000000004</v>
      </c>
      <c r="E1366">
        <v>1</v>
      </c>
      <c r="F1366">
        <v>1</v>
      </c>
      <c r="G1366" s="2">
        <v>1.897796</v>
      </c>
      <c r="H1366" s="2">
        <v>3</v>
      </c>
      <c r="I1366">
        <v>1</v>
      </c>
      <c r="J1366">
        <v>0</v>
      </c>
      <c r="K1366" s="2">
        <v>1.193039</v>
      </c>
      <c r="L1366">
        <v>0</v>
      </c>
      <c r="M1366" s="7">
        <v>1.1519E-2</v>
      </c>
      <c r="N1366" s="7">
        <v>0</v>
      </c>
      <c r="O1366">
        <v>1</v>
      </c>
      <c r="P1366" t="s">
        <v>17</v>
      </c>
      <c r="Q1366">
        <v>4</v>
      </c>
      <c r="R1366" s="8">
        <f>(Tabela2[[#This Row],[FAF_atividade_fisica_frequente_em_horas]]+ 0.1)</f>
        <v>0.11151900000000001</v>
      </c>
      <c r="S1366" s="1">
        <f>(Tabela2[[#This Row],[TUE_tempo_uso_aparelhos_em_horas]]/Tabela2[[#This Row],[FAF_Var]])</f>
        <v>0</v>
      </c>
      <c r="T1366">
        <f>(Tabela2[[#This Row],[CAEC_lanche_entre_refeicoes]]*Tabela2[[#This Row],[FAVC_consumo_frequente_de_alimentos_mt_caloricos]])</f>
        <v>1</v>
      </c>
      <c r="U1366" s="1">
        <f>IF(OR(Tabela2[[#This Row],[MTRANS]]="Walking",Tabela2[[#This Row],[MTRANS]]="Bike"),Tabela2[[#This Row],[FAF_atividade_fisica_frequente_em_horas]]+1,M1366)</f>
        <v>1.1519E-2</v>
      </c>
      <c r="V1366">
        <f>(Tabela2[[#This Row],[SMOKE]]+Tabela2[[#This Row],[CALC_bebe_alcool_frequentemente]])</f>
        <v>1</v>
      </c>
      <c r="W1366" s="8">
        <f>(Tabela2[[#This Row],[Weight]]/(Tabela2[[#This Row],[Height]] ^2))</f>
        <v>32.055667443623307</v>
      </c>
    </row>
    <row r="1367" spans="1:23" x14ac:dyDescent="0.25">
      <c r="A1367" t="s">
        <v>13</v>
      </c>
      <c r="B1367" s="7">
        <v>18.011903</v>
      </c>
      <c r="C1367" s="4">
        <v>1.65</v>
      </c>
      <c r="D1367" s="7">
        <v>84.210534999999993</v>
      </c>
      <c r="E1367">
        <v>1</v>
      </c>
      <c r="F1367">
        <v>1</v>
      </c>
      <c r="G1367" s="2">
        <v>2.8591600000000001</v>
      </c>
      <c r="H1367" s="2">
        <v>3</v>
      </c>
      <c r="I1367">
        <v>1</v>
      </c>
      <c r="J1367">
        <v>0</v>
      </c>
      <c r="K1367" s="2">
        <v>1</v>
      </c>
      <c r="L1367">
        <v>0</v>
      </c>
      <c r="M1367" s="7">
        <v>1.0205249999999999</v>
      </c>
      <c r="N1367" s="7">
        <v>0.78606600000000004</v>
      </c>
      <c r="O1367">
        <v>0</v>
      </c>
      <c r="P1367" t="s">
        <v>14</v>
      </c>
      <c r="Q1367">
        <v>4</v>
      </c>
      <c r="R1367" s="8">
        <f>(Tabela2[[#This Row],[FAF_atividade_fisica_frequente_em_horas]]+ 0.1)</f>
        <v>1.120525</v>
      </c>
      <c r="S1367" s="1">
        <f>(Tabela2[[#This Row],[TUE_tempo_uso_aparelhos_em_horas]]/Tabela2[[#This Row],[FAF_Var]])</f>
        <v>0.70151580732246055</v>
      </c>
      <c r="T1367">
        <f>(Tabela2[[#This Row],[CAEC_lanche_entre_refeicoes]]*Tabela2[[#This Row],[FAVC_consumo_frequente_de_alimentos_mt_caloricos]])</f>
        <v>1</v>
      </c>
      <c r="U1367" s="1">
        <f>IF(OR(Tabela2[[#This Row],[MTRANS]]="Walking",Tabela2[[#This Row],[MTRANS]]="Bike"),Tabela2[[#This Row],[FAF_atividade_fisica_frequente_em_horas]]+1,M1367)</f>
        <v>1.0205249999999999</v>
      </c>
      <c r="V1367">
        <f>(Tabela2[[#This Row],[SMOKE]]+Tabela2[[#This Row],[CALC_bebe_alcool_frequentemente]])</f>
        <v>0</v>
      </c>
      <c r="W1367" s="8">
        <f>(Tabela2[[#This Row],[Weight]]/(Tabela2[[#This Row],[Height]] ^2))</f>
        <v>30.93132598714417</v>
      </c>
    </row>
    <row r="1368" spans="1:23" x14ac:dyDescent="0.25">
      <c r="A1368" t="s">
        <v>13</v>
      </c>
      <c r="B1368" s="7">
        <v>18</v>
      </c>
      <c r="C1368" s="4">
        <v>1.6494390000000001</v>
      </c>
      <c r="D1368" s="7">
        <v>84.897738000000004</v>
      </c>
      <c r="E1368">
        <v>1</v>
      </c>
      <c r="F1368">
        <v>1</v>
      </c>
      <c r="G1368" s="2">
        <v>2</v>
      </c>
      <c r="H1368" s="2">
        <v>3</v>
      </c>
      <c r="I1368">
        <v>1</v>
      </c>
      <c r="J1368">
        <v>0</v>
      </c>
      <c r="K1368" s="2">
        <v>1.0393129999999999</v>
      </c>
      <c r="L1368">
        <v>0</v>
      </c>
      <c r="M1368" s="7">
        <v>1</v>
      </c>
      <c r="N1368" s="7">
        <v>0</v>
      </c>
      <c r="O1368">
        <v>0</v>
      </c>
      <c r="P1368" t="s">
        <v>14</v>
      </c>
      <c r="Q1368">
        <v>4</v>
      </c>
      <c r="R1368" s="8">
        <f>(Tabela2[[#This Row],[FAF_atividade_fisica_frequente_em_horas]]+ 0.1)</f>
        <v>1.1000000000000001</v>
      </c>
      <c r="S1368" s="1">
        <f>(Tabela2[[#This Row],[TUE_tempo_uso_aparelhos_em_horas]]/Tabela2[[#This Row],[FAF_Var]])</f>
        <v>0</v>
      </c>
      <c r="T1368">
        <f>(Tabela2[[#This Row],[CAEC_lanche_entre_refeicoes]]*Tabela2[[#This Row],[FAVC_consumo_frequente_de_alimentos_mt_caloricos]])</f>
        <v>1</v>
      </c>
      <c r="U1368" s="1">
        <f>IF(OR(Tabela2[[#This Row],[MTRANS]]="Walking",Tabela2[[#This Row],[MTRANS]]="Bike"),Tabela2[[#This Row],[FAF_atividade_fisica_frequente_em_horas]]+1,M1368)</f>
        <v>1</v>
      </c>
      <c r="V1368">
        <f>(Tabela2[[#This Row],[SMOKE]]+Tabela2[[#This Row],[CALC_bebe_alcool_frequentemente]])</f>
        <v>0</v>
      </c>
      <c r="W1368" s="8">
        <f>(Tabela2[[#This Row],[Weight]]/(Tabela2[[#This Row],[Height]] ^2))</f>
        <v>31.204957912847931</v>
      </c>
    </row>
    <row r="1369" spans="1:23" x14ac:dyDescent="0.25">
      <c r="A1369" t="s">
        <v>15</v>
      </c>
      <c r="B1369" s="7">
        <v>21.077356000000002</v>
      </c>
      <c r="C1369" s="4">
        <v>1.702002</v>
      </c>
      <c r="D1369" s="7">
        <v>97.971598</v>
      </c>
      <c r="E1369">
        <v>1</v>
      </c>
      <c r="F1369">
        <v>1</v>
      </c>
      <c r="G1369" s="2">
        <v>2</v>
      </c>
      <c r="H1369" s="2">
        <v>1.6633800000000001</v>
      </c>
      <c r="I1369">
        <v>1</v>
      </c>
      <c r="J1369">
        <v>0</v>
      </c>
      <c r="K1369" s="2">
        <v>2</v>
      </c>
      <c r="L1369">
        <v>0</v>
      </c>
      <c r="M1369" s="7">
        <v>0</v>
      </c>
      <c r="N1369" s="7">
        <v>1.8658509999999999</v>
      </c>
      <c r="O1369">
        <v>0</v>
      </c>
      <c r="P1369" t="s">
        <v>14</v>
      </c>
      <c r="Q1369">
        <v>4</v>
      </c>
      <c r="R1369" s="8">
        <f>(Tabela2[[#This Row],[FAF_atividade_fisica_frequente_em_horas]]+ 0.1)</f>
        <v>0.1</v>
      </c>
      <c r="S1369" s="1">
        <f>(Tabela2[[#This Row],[TUE_tempo_uso_aparelhos_em_horas]]/Tabela2[[#This Row],[FAF_Var]])</f>
        <v>18.65851</v>
      </c>
      <c r="T1369">
        <f>(Tabela2[[#This Row],[CAEC_lanche_entre_refeicoes]]*Tabela2[[#This Row],[FAVC_consumo_frequente_de_alimentos_mt_caloricos]])</f>
        <v>1</v>
      </c>
      <c r="U1369" s="1">
        <f>IF(OR(Tabela2[[#This Row],[MTRANS]]="Walking",Tabela2[[#This Row],[MTRANS]]="Bike"),Tabela2[[#This Row],[FAF_atividade_fisica_frequente_em_horas]]+1,M1369)</f>
        <v>0</v>
      </c>
      <c r="V1369">
        <f>(Tabela2[[#This Row],[SMOKE]]+Tabela2[[#This Row],[CALC_bebe_alcool_frequentemente]])</f>
        <v>0</v>
      </c>
      <c r="W1369" s="8">
        <f>(Tabela2[[#This Row],[Weight]]/(Tabela2[[#This Row],[Height]] ^2))</f>
        <v>33.82050278509756</v>
      </c>
    </row>
    <row r="1370" spans="1:23" x14ac:dyDescent="0.25">
      <c r="A1370" t="s">
        <v>15</v>
      </c>
      <c r="B1370" s="7">
        <v>21.052015999999998</v>
      </c>
      <c r="C1370" s="4">
        <v>1.6938200000000001</v>
      </c>
      <c r="D1370" s="7">
        <v>99.530970999999994</v>
      </c>
      <c r="E1370">
        <v>1</v>
      </c>
      <c r="F1370">
        <v>1</v>
      </c>
      <c r="G1370" s="2">
        <v>2</v>
      </c>
      <c r="H1370" s="2">
        <v>1.6727510000000001</v>
      </c>
      <c r="I1370">
        <v>1</v>
      </c>
      <c r="J1370">
        <v>0</v>
      </c>
      <c r="K1370" s="2">
        <v>2</v>
      </c>
      <c r="L1370">
        <v>0</v>
      </c>
      <c r="M1370" s="7">
        <v>0</v>
      </c>
      <c r="N1370" s="7">
        <v>1.9461729999999999</v>
      </c>
      <c r="O1370">
        <v>0</v>
      </c>
      <c r="P1370" t="s">
        <v>14</v>
      </c>
      <c r="Q1370">
        <v>4</v>
      </c>
      <c r="R1370" s="8">
        <f>(Tabela2[[#This Row],[FAF_atividade_fisica_frequente_em_horas]]+ 0.1)</f>
        <v>0.1</v>
      </c>
      <c r="S1370" s="1">
        <f>(Tabela2[[#This Row],[TUE_tempo_uso_aparelhos_em_horas]]/Tabela2[[#This Row],[FAF_Var]])</f>
        <v>19.461729999999999</v>
      </c>
      <c r="T1370">
        <f>(Tabela2[[#This Row],[CAEC_lanche_entre_refeicoes]]*Tabela2[[#This Row],[FAVC_consumo_frequente_de_alimentos_mt_caloricos]])</f>
        <v>1</v>
      </c>
      <c r="U1370" s="1">
        <f>IF(OR(Tabela2[[#This Row],[MTRANS]]="Walking",Tabela2[[#This Row],[MTRANS]]="Bike"),Tabela2[[#This Row],[FAF_atividade_fisica_frequente_em_horas]]+1,M1370)</f>
        <v>0</v>
      </c>
      <c r="V1370">
        <f>(Tabela2[[#This Row],[SMOKE]]+Tabela2[[#This Row],[CALC_bebe_alcool_frequentemente]])</f>
        <v>0</v>
      </c>
      <c r="W1370" s="8">
        <f>(Tabela2[[#This Row],[Weight]]/(Tabela2[[#This Row],[Height]] ^2))</f>
        <v>34.691551880444933</v>
      </c>
    </row>
    <row r="1371" spans="1:23" x14ac:dyDescent="0.25">
      <c r="A1371" t="s">
        <v>13</v>
      </c>
      <c r="B1371" s="7">
        <v>18.078256</v>
      </c>
      <c r="C1371" s="4">
        <v>1.6229990000000001</v>
      </c>
      <c r="D1371" s="7">
        <v>82.403075999999999</v>
      </c>
      <c r="E1371">
        <v>1</v>
      </c>
      <c r="F1371">
        <v>1</v>
      </c>
      <c r="G1371" s="2">
        <v>2.3404050000000001</v>
      </c>
      <c r="H1371" s="2">
        <v>3</v>
      </c>
      <c r="I1371">
        <v>1</v>
      </c>
      <c r="J1371">
        <v>0</v>
      </c>
      <c r="K1371" s="2">
        <v>1.6552450000000001</v>
      </c>
      <c r="L1371">
        <v>0</v>
      </c>
      <c r="M1371" s="7">
        <v>1.0068839999999999</v>
      </c>
      <c r="N1371" s="7">
        <v>0.548539</v>
      </c>
      <c r="O1371">
        <v>0</v>
      </c>
      <c r="P1371" t="s">
        <v>14</v>
      </c>
      <c r="Q1371">
        <v>4</v>
      </c>
      <c r="R1371" s="8">
        <f>(Tabela2[[#This Row],[FAF_atividade_fisica_frequente_em_horas]]+ 0.1)</f>
        <v>1.106884</v>
      </c>
      <c r="S1371" s="1">
        <f>(Tabela2[[#This Row],[TUE_tempo_uso_aparelhos_em_horas]]/Tabela2[[#This Row],[FAF_Var]])</f>
        <v>0.49557044821318225</v>
      </c>
      <c r="T1371">
        <f>(Tabela2[[#This Row],[CAEC_lanche_entre_refeicoes]]*Tabela2[[#This Row],[FAVC_consumo_frequente_de_alimentos_mt_caloricos]])</f>
        <v>1</v>
      </c>
      <c r="U1371" s="1">
        <f>IF(OR(Tabela2[[#This Row],[MTRANS]]="Walking",Tabela2[[#This Row],[MTRANS]]="Bike"),Tabela2[[#This Row],[FAF_atividade_fisica_frequente_em_horas]]+1,M1371)</f>
        <v>1.0068839999999999</v>
      </c>
      <c r="V1371">
        <f>(Tabela2[[#This Row],[SMOKE]]+Tabela2[[#This Row],[CALC_bebe_alcool_frequentemente]])</f>
        <v>0</v>
      </c>
      <c r="W1371" s="8">
        <f>(Tabela2[[#This Row],[Weight]]/(Tabela2[[#This Row],[Height]] ^2))</f>
        <v>31.282893717142066</v>
      </c>
    </row>
    <row r="1372" spans="1:23" x14ac:dyDescent="0.25">
      <c r="A1372" t="s">
        <v>13</v>
      </c>
      <c r="B1372" s="7">
        <v>18.063582</v>
      </c>
      <c r="C1372" s="4">
        <v>1.633675</v>
      </c>
      <c r="D1372" s="7">
        <v>82.459576999999996</v>
      </c>
      <c r="E1372">
        <v>1</v>
      </c>
      <c r="F1372">
        <v>1</v>
      </c>
      <c r="G1372" s="2">
        <v>2.921576</v>
      </c>
      <c r="H1372" s="2">
        <v>3</v>
      </c>
      <c r="I1372">
        <v>1</v>
      </c>
      <c r="J1372">
        <v>0</v>
      </c>
      <c r="K1372" s="2">
        <v>1.003636</v>
      </c>
      <c r="L1372">
        <v>0</v>
      </c>
      <c r="M1372" s="7">
        <v>1.000227</v>
      </c>
      <c r="N1372" s="7">
        <v>0.90559599999999996</v>
      </c>
      <c r="O1372">
        <v>0</v>
      </c>
      <c r="P1372" t="s">
        <v>14</v>
      </c>
      <c r="Q1372">
        <v>4</v>
      </c>
      <c r="R1372" s="8">
        <f>(Tabela2[[#This Row],[FAF_atividade_fisica_frequente_em_horas]]+ 0.1)</f>
        <v>1.1002270000000001</v>
      </c>
      <c r="S1372" s="1">
        <f>(Tabela2[[#This Row],[TUE_tempo_uso_aparelhos_em_horas]]/Tabela2[[#This Row],[FAF_Var]])</f>
        <v>0.82309923315824818</v>
      </c>
      <c r="T1372">
        <f>(Tabela2[[#This Row],[CAEC_lanche_entre_refeicoes]]*Tabela2[[#This Row],[FAVC_consumo_frequente_de_alimentos_mt_caloricos]])</f>
        <v>1</v>
      </c>
      <c r="U1372" s="1">
        <f>IF(OR(Tabela2[[#This Row],[MTRANS]]="Walking",Tabela2[[#This Row],[MTRANS]]="Bike"),Tabela2[[#This Row],[FAF_atividade_fisica_frequente_em_horas]]+1,M1372)</f>
        <v>1.000227</v>
      </c>
      <c r="V1372">
        <f>(Tabela2[[#This Row],[SMOKE]]+Tabela2[[#This Row],[CALC_bebe_alcool_frequentemente]])</f>
        <v>0</v>
      </c>
      <c r="W1372" s="8">
        <f>(Tabela2[[#This Row],[Weight]]/(Tabela2[[#This Row],[Height]] ^2))</f>
        <v>30.896534978986423</v>
      </c>
    </row>
    <row r="1373" spans="1:23" x14ac:dyDescent="0.25">
      <c r="A1373" t="s">
        <v>15</v>
      </c>
      <c r="B1373" s="7">
        <v>20.418831999999998</v>
      </c>
      <c r="C1373" s="4">
        <v>1.8366690000000001</v>
      </c>
      <c r="D1373" s="7">
        <v>105.257543</v>
      </c>
      <c r="E1373">
        <v>1</v>
      </c>
      <c r="F1373">
        <v>1</v>
      </c>
      <c r="G1373" s="2">
        <v>2</v>
      </c>
      <c r="H1373" s="2">
        <v>3</v>
      </c>
      <c r="I1373">
        <v>1</v>
      </c>
      <c r="J1373">
        <v>0</v>
      </c>
      <c r="K1373" s="2">
        <v>2.7935050000000001</v>
      </c>
      <c r="L1373">
        <v>0</v>
      </c>
      <c r="M1373" s="7">
        <v>2.2193900000000002</v>
      </c>
      <c r="N1373" s="7">
        <v>0.202902</v>
      </c>
      <c r="O1373">
        <v>0</v>
      </c>
      <c r="P1373" t="s">
        <v>14</v>
      </c>
      <c r="Q1373">
        <v>4</v>
      </c>
      <c r="R1373" s="8">
        <f>(Tabela2[[#This Row],[FAF_atividade_fisica_frequente_em_horas]]+ 0.1)</f>
        <v>2.3193900000000003</v>
      </c>
      <c r="S1373" s="1">
        <f>(Tabela2[[#This Row],[TUE_tempo_uso_aparelhos_em_horas]]/Tabela2[[#This Row],[FAF_Var]])</f>
        <v>8.7480760027420987E-2</v>
      </c>
      <c r="T1373">
        <f>(Tabela2[[#This Row],[CAEC_lanche_entre_refeicoes]]*Tabela2[[#This Row],[FAVC_consumo_frequente_de_alimentos_mt_caloricos]])</f>
        <v>1</v>
      </c>
      <c r="U1373" s="1">
        <f>IF(OR(Tabela2[[#This Row],[MTRANS]]="Walking",Tabela2[[#This Row],[MTRANS]]="Bike"),Tabela2[[#This Row],[FAF_atividade_fisica_frequente_em_horas]]+1,M1373)</f>
        <v>2.2193900000000002</v>
      </c>
      <c r="V1373">
        <f>(Tabela2[[#This Row],[SMOKE]]+Tabela2[[#This Row],[CALC_bebe_alcool_frequentemente]])</f>
        <v>0</v>
      </c>
      <c r="W1373" s="8">
        <f>(Tabela2[[#This Row],[Weight]]/(Tabela2[[#This Row],[Height]] ^2))</f>
        <v>31.202646895968375</v>
      </c>
    </row>
    <row r="1374" spans="1:23" x14ac:dyDescent="0.25">
      <c r="A1374" t="s">
        <v>15</v>
      </c>
      <c r="B1374" s="7">
        <v>20.580984000000001</v>
      </c>
      <c r="C1374" s="4">
        <v>1.798354</v>
      </c>
      <c r="D1374" s="7">
        <v>103.70541799999999</v>
      </c>
      <c r="E1374">
        <v>1</v>
      </c>
      <c r="F1374">
        <v>1</v>
      </c>
      <c r="G1374" s="2">
        <v>2</v>
      </c>
      <c r="H1374" s="2">
        <v>3</v>
      </c>
      <c r="I1374">
        <v>1</v>
      </c>
      <c r="J1374">
        <v>0</v>
      </c>
      <c r="K1374" s="2">
        <v>2.4013149999999999</v>
      </c>
      <c r="L1374">
        <v>0</v>
      </c>
      <c r="M1374" s="7">
        <v>2.8919860000000002</v>
      </c>
      <c r="N1374" s="7">
        <v>0</v>
      </c>
      <c r="O1374">
        <v>0</v>
      </c>
      <c r="P1374" t="s">
        <v>14</v>
      </c>
      <c r="Q1374">
        <v>4</v>
      </c>
      <c r="R1374" s="8">
        <f>(Tabela2[[#This Row],[FAF_atividade_fisica_frequente_em_horas]]+ 0.1)</f>
        <v>2.9919860000000003</v>
      </c>
      <c r="S1374" s="1">
        <f>(Tabela2[[#This Row],[TUE_tempo_uso_aparelhos_em_horas]]/Tabela2[[#This Row],[FAF_Var]])</f>
        <v>0</v>
      </c>
      <c r="T1374">
        <f>(Tabela2[[#This Row],[CAEC_lanche_entre_refeicoes]]*Tabela2[[#This Row],[FAVC_consumo_frequente_de_alimentos_mt_caloricos]])</f>
        <v>1</v>
      </c>
      <c r="U1374" s="1">
        <f>IF(OR(Tabela2[[#This Row],[MTRANS]]="Walking",Tabela2[[#This Row],[MTRANS]]="Bike"),Tabela2[[#This Row],[FAF_atividade_fisica_frequente_em_horas]]+1,M1374)</f>
        <v>2.8919860000000002</v>
      </c>
      <c r="V1374">
        <f>(Tabela2[[#This Row],[SMOKE]]+Tabela2[[#This Row],[CALC_bebe_alcool_frequentemente]])</f>
        <v>0</v>
      </c>
      <c r="W1374" s="8">
        <f>(Tabela2[[#This Row],[Weight]]/(Tabela2[[#This Row],[Height]] ^2))</f>
        <v>32.066464247642337</v>
      </c>
    </row>
    <row r="1375" spans="1:23" x14ac:dyDescent="0.25">
      <c r="A1375" t="s">
        <v>15</v>
      </c>
      <c r="B1375" s="7">
        <v>26.032416000000001</v>
      </c>
      <c r="C1375" s="4">
        <v>1.8244320000000001</v>
      </c>
      <c r="D1375" s="7">
        <v>105.131956</v>
      </c>
      <c r="E1375">
        <v>1</v>
      </c>
      <c r="F1375">
        <v>1</v>
      </c>
      <c r="G1375" s="2">
        <v>3</v>
      </c>
      <c r="H1375" s="2">
        <v>3</v>
      </c>
      <c r="I1375">
        <v>1</v>
      </c>
      <c r="J1375">
        <v>0</v>
      </c>
      <c r="K1375" s="2">
        <v>2.110611</v>
      </c>
      <c r="L1375">
        <v>0</v>
      </c>
      <c r="M1375" s="7">
        <v>1.8909069999999999</v>
      </c>
      <c r="N1375" s="7">
        <v>1.58483</v>
      </c>
      <c r="O1375">
        <v>1</v>
      </c>
      <c r="P1375" t="s">
        <v>14</v>
      </c>
      <c r="Q1375">
        <v>4</v>
      </c>
      <c r="R1375" s="8">
        <f>(Tabela2[[#This Row],[FAF_atividade_fisica_frequente_em_horas]]+ 0.1)</f>
        <v>1.990907</v>
      </c>
      <c r="S1375" s="1">
        <f>(Tabela2[[#This Row],[TUE_tempo_uso_aparelhos_em_horas]]/Tabela2[[#This Row],[FAF_Var]])</f>
        <v>0.79603416935095406</v>
      </c>
      <c r="T1375">
        <f>(Tabela2[[#This Row],[CAEC_lanche_entre_refeicoes]]*Tabela2[[#This Row],[FAVC_consumo_frequente_de_alimentos_mt_caloricos]])</f>
        <v>1</v>
      </c>
      <c r="U1375" s="1">
        <f>IF(OR(Tabela2[[#This Row],[MTRANS]]="Walking",Tabela2[[#This Row],[MTRANS]]="Bike"),Tabela2[[#This Row],[FAF_atividade_fisica_frequente_em_horas]]+1,M1375)</f>
        <v>1.8909069999999999</v>
      </c>
      <c r="V1375">
        <f>(Tabela2[[#This Row],[SMOKE]]+Tabela2[[#This Row],[CALC_bebe_alcool_frequentemente]])</f>
        <v>1</v>
      </c>
      <c r="W1375" s="8">
        <f>(Tabela2[[#This Row],[Weight]]/(Tabela2[[#This Row],[Height]] ^2))</f>
        <v>31.584891005738928</v>
      </c>
    </row>
    <row r="1376" spans="1:23" x14ac:dyDescent="0.25">
      <c r="A1376" t="s">
        <v>15</v>
      </c>
      <c r="B1376" s="7">
        <v>25.955361</v>
      </c>
      <c r="C1376" s="4">
        <v>1.830384</v>
      </c>
      <c r="D1376" s="7">
        <v>105.479313</v>
      </c>
      <c r="E1376">
        <v>1</v>
      </c>
      <c r="F1376">
        <v>1</v>
      </c>
      <c r="G1376" s="2">
        <v>3</v>
      </c>
      <c r="H1376" s="2">
        <v>3</v>
      </c>
      <c r="I1376">
        <v>1</v>
      </c>
      <c r="J1376">
        <v>0</v>
      </c>
      <c r="K1376" s="2">
        <v>2.4802770000000001</v>
      </c>
      <c r="L1376">
        <v>0</v>
      </c>
      <c r="M1376" s="7">
        <v>1.7967789999999999</v>
      </c>
      <c r="N1376" s="7">
        <v>1.596562</v>
      </c>
      <c r="O1376">
        <v>1</v>
      </c>
      <c r="P1376" t="s">
        <v>14</v>
      </c>
      <c r="Q1376">
        <v>4</v>
      </c>
      <c r="R1376" s="8">
        <f>(Tabela2[[#This Row],[FAF_atividade_fisica_frequente_em_horas]]+ 0.1)</f>
        <v>1.896779</v>
      </c>
      <c r="S1376" s="1">
        <f>(Tabela2[[#This Row],[TUE_tempo_uso_aparelhos_em_horas]]/Tabela2[[#This Row],[FAF_Var]])</f>
        <v>0.84172273100872586</v>
      </c>
      <c r="T1376">
        <f>(Tabela2[[#This Row],[CAEC_lanche_entre_refeicoes]]*Tabela2[[#This Row],[FAVC_consumo_frequente_de_alimentos_mt_caloricos]])</f>
        <v>1</v>
      </c>
      <c r="U1376" s="1">
        <f>IF(OR(Tabela2[[#This Row],[MTRANS]]="Walking",Tabela2[[#This Row],[MTRANS]]="Bike"),Tabela2[[#This Row],[FAF_atividade_fisica_frequente_em_horas]]+1,M1376)</f>
        <v>1.7967789999999999</v>
      </c>
      <c r="V1376">
        <f>(Tabela2[[#This Row],[SMOKE]]+Tabela2[[#This Row],[CALC_bebe_alcool_frequentemente]])</f>
        <v>1</v>
      </c>
      <c r="W1376" s="8">
        <f>(Tabela2[[#This Row],[Weight]]/(Tabela2[[#This Row],[Height]] ^2))</f>
        <v>31.483490161294213</v>
      </c>
    </row>
    <row r="1377" spans="1:23" x14ac:dyDescent="0.25">
      <c r="A1377" t="s">
        <v>15</v>
      </c>
      <c r="B1377" s="7">
        <v>26.015447999999999</v>
      </c>
      <c r="C1377" s="4">
        <v>1.829907</v>
      </c>
      <c r="D1377" s="7">
        <v>105.436173</v>
      </c>
      <c r="E1377">
        <v>1</v>
      </c>
      <c r="F1377">
        <v>1</v>
      </c>
      <c r="G1377" s="2">
        <v>3</v>
      </c>
      <c r="H1377" s="2">
        <v>3</v>
      </c>
      <c r="I1377">
        <v>1</v>
      </c>
      <c r="J1377">
        <v>0</v>
      </c>
      <c r="K1377" s="2">
        <v>2.2249140000000001</v>
      </c>
      <c r="L1377">
        <v>0</v>
      </c>
      <c r="M1377" s="7">
        <v>1.7815890000000001</v>
      </c>
      <c r="N1377" s="7">
        <v>1.59405</v>
      </c>
      <c r="O1377">
        <v>1</v>
      </c>
      <c r="P1377" t="s">
        <v>14</v>
      </c>
      <c r="Q1377">
        <v>4</v>
      </c>
      <c r="R1377" s="8">
        <f>(Tabela2[[#This Row],[FAF_atividade_fisica_frequente_em_horas]]+ 0.1)</f>
        <v>1.8815890000000002</v>
      </c>
      <c r="S1377" s="1">
        <f>(Tabela2[[#This Row],[TUE_tempo_uso_aparelhos_em_horas]]/Tabela2[[#This Row],[FAF_Var]])</f>
        <v>0.84718288637954398</v>
      </c>
      <c r="T1377">
        <f>(Tabela2[[#This Row],[CAEC_lanche_entre_refeicoes]]*Tabela2[[#This Row],[FAVC_consumo_frequente_de_alimentos_mt_caloricos]])</f>
        <v>1</v>
      </c>
      <c r="U1377" s="1">
        <f>IF(OR(Tabela2[[#This Row],[MTRANS]]="Walking",Tabela2[[#This Row],[MTRANS]]="Bike"),Tabela2[[#This Row],[FAF_atividade_fisica_frequente_em_horas]]+1,M1377)</f>
        <v>1.7815890000000001</v>
      </c>
      <c r="V1377">
        <f>(Tabela2[[#This Row],[SMOKE]]+Tabela2[[#This Row],[CALC_bebe_alcool_frequentemente]])</f>
        <v>1</v>
      </c>
      <c r="W1377" s="8">
        <f>(Tabela2[[#This Row],[Weight]]/(Tabela2[[#This Row],[Height]] ^2))</f>
        <v>31.487022688181597</v>
      </c>
    </row>
    <row r="1378" spans="1:23" x14ac:dyDescent="0.25">
      <c r="A1378" t="s">
        <v>15</v>
      </c>
      <c r="B1378" s="7">
        <v>25.920738</v>
      </c>
      <c r="C1378" s="4">
        <v>1.823755</v>
      </c>
      <c r="D1378" s="7">
        <v>105.800158</v>
      </c>
      <c r="E1378">
        <v>1</v>
      </c>
      <c r="F1378">
        <v>1</v>
      </c>
      <c r="G1378" s="2">
        <v>2.9271099999999999</v>
      </c>
      <c r="H1378" s="2">
        <v>3</v>
      </c>
      <c r="I1378">
        <v>1</v>
      </c>
      <c r="J1378">
        <v>0</v>
      </c>
      <c r="K1378" s="2">
        <v>2.1514959999999999</v>
      </c>
      <c r="L1378">
        <v>0</v>
      </c>
      <c r="M1378" s="7">
        <v>1.166064</v>
      </c>
      <c r="N1378" s="7">
        <v>1.5098309999999999</v>
      </c>
      <c r="O1378">
        <v>1</v>
      </c>
      <c r="P1378" t="s">
        <v>14</v>
      </c>
      <c r="Q1378">
        <v>4</v>
      </c>
      <c r="R1378" s="8">
        <f>(Tabela2[[#This Row],[FAF_atividade_fisica_frequente_em_horas]]+ 0.1)</f>
        <v>1.2660640000000001</v>
      </c>
      <c r="S1378" s="1">
        <f>(Tabela2[[#This Row],[TUE_tempo_uso_aparelhos_em_horas]]/Tabela2[[#This Row],[FAF_Var]])</f>
        <v>1.1925392397224783</v>
      </c>
      <c r="T1378">
        <f>(Tabela2[[#This Row],[CAEC_lanche_entre_refeicoes]]*Tabela2[[#This Row],[FAVC_consumo_frequente_de_alimentos_mt_caloricos]])</f>
        <v>1</v>
      </c>
      <c r="U1378" s="1">
        <f>IF(OR(Tabela2[[#This Row],[MTRANS]]="Walking",Tabela2[[#This Row],[MTRANS]]="Bike"),Tabela2[[#This Row],[FAF_atividade_fisica_frequente_em_horas]]+1,M1378)</f>
        <v>1.166064</v>
      </c>
      <c r="V1378">
        <f>(Tabela2[[#This Row],[SMOKE]]+Tabela2[[#This Row],[CALC_bebe_alcool_frequentemente]])</f>
        <v>1</v>
      </c>
      <c r="W1378" s="8">
        <f>(Tabela2[[#This Row],[Weight]]/(Tabela2[[#This Row],[Height]] ^2))</f>
        <v>31.809242362765577</v>
      </c>
    </row>
    <row r="1379" spans="1:23" x14ac:dyDescent="0.25">
      <c r="A1379" t="s">
        <v>15</v>
      </c>
      <c r="B1379" s="7">
        <v>29.633714999999999</v>
      </c>
      <c r="C1379" s="4">
        <v>1.8348420000000001</v>
      </c>
      <c r="D1379" s="7">
        <v>105.19936</v>
      </c>
      <c r="E1379">
        <v>1</v>
      </c>
      <c r="F1379">
        <v>1</v>
      </c>
      <c r="G1379" s="2">
        <v>2.8055330000000001</v>
      </c>
      <c r="H1379" s="2">
        <v>3</v>
      </c>
      <c r="I1379">
        <v>1</v>
      </c>
      <c r="J1379">
        <v>0</v>
      </c>
      <c r="K1379" s="2">
        <v>1.8828469999999999</v>
      </c>
      <c r="L1379">
        <v>0</v>
      </c>
      <c r="M1379" s="7">
        <v>2</v>
      </c>
      <c r="N1379" s="7">
        <v>0.70777999999999996</v>
      </c>
      <c r="O1379">
        <v>1</v>
      </c>
      <c r="P1379" t="s">
        <v>17</v>
      </c>
      <c r="Q1379">
        <v>4</v>
      </c>
      <c r="R1379" s="8">
        <f>(Tabela2[[#This Row],[FAF_atividade_fisica_frequente_em_horas]]+ 0.1)</f>
        <v>2.1</v>
      </c>
      <c r="S1379" s="1">
        <f>(Tabela2[[#This Row],[TUE_tempo_uso_aparelhos_em_horas]]/Tabela2[[#This Row],[FAF_Var]])</f>
        <v>0.33703809523809519</v>
      </c>
      <c r="T1379">
        <f>(Tabela2[[#This Row],[CAEC_lanche_entre_refeicoes]]*Tabela2[[#This Row],[FAVC_consumo_frequente_de_alimentos_mt_caloricos]])</f>
        <v>1</v>
      </c>
      <c r="U1379" s="1">
        <f>IF(OR(Tabela2[[#This Row],[MTRANS]]="Walking",Tabela2[[#This Row],[MTRANS]]="Bike"),Tabela2[[#This Row],[FAF_atividade_fisica_frequente_em_horas]]+1,M1379)</f>
        <v>2</v>
      </c>
      <c r="V1379">
        <f>(Tabela2[[#This Row],[SMOKE]]+Tabela2[[#This Row],[CALC_bebe_alcool_frequentemente]])</f>
        <v>1</v>
      </c>
      <c r="W1379" s="8">
        <f>(Tabela2[[#This Row],[Weight]]/(Tabela2[[#This Row],[Height]] ^2))</f>
        <v>31.247534220353423</v>
      </c>
    </row>
    <row r="1380" spans="1:23" x14ac:dyDescent="0.25">
      <c r="A1380" t="s">
        <v>15</v>
      </c>
      <c r="B1380" s="7">
        <v>32.895637000000001</v>
      </c>
      <c r="C1380" s="4">
        <v>1.783901</v>
      </c>
      <c r="D1380" s="7">
        <v>103.771371</v>
      </c>
      <c r="E1380">
        <v>1</v>
      </c>
      <c r="F1380">
        <v>1</v>
      </c>
      <c r="G1380" s="2">
        <v>2.902469</v>
      </c>
      <c r="H1380" s="2">
        <v>1.7347619999999999</v>
      </c>
      <c r="I1380">
        <v>1</v>
      </c>
      <c r="J1380">
        <v>0</v>
      </c>
      <c r="K1380" s="2">
        <v>2.600238</v>
      </c>
      <c r="L1380">
        <v>0</v>
      </c>
      <c r="M1380" s="7">
        <v>2.1139920000000001</v>
      </c>
      <c r="N1380" s="7">
        <v>0.58475500000000002</v>
      </c>
      <c r="O1380">
        <v>1</v>
      </c>
      <c r="P1380" t="s">
        <v>17</v>
      </c>
      <c r="Q1380">
        <v>4</v>
      </c>
      <c r="R1380" s="8">
        <f>(Tabela2[[#This Row],[FAF_atividade_fisica_frequente_em_horas]]+ 0.1)</f>
        <v>2.2139920000000002</v>
      </c>
      <c r="S1380" s="1">
        <f>(Tabela2[[#This Row],[TUE_tempo_uso_aparelhos_em_horas]]/Tabela2[[#This Row],[FAF_Var]])</f>
        <v>0.26411793719218496</v>
      </c>
      <c r="T1380">
        <f>(Tabela2[[#This Row],[CAEC_lanche_entre_refeicoes]]*Tabela2[[#This Row],[FAVC_consumo_frequente_de_alimentos_mt_caloricos]])</f>
        <v>1</v>
      </c>
      <c r="U1380" s="1">
        <f>IF(OR(Tabela2[[#This Row],[MTRANS]]="Walking",Tabela2[[#This Row],[MTRANS]]="Bike"),Tabela2[[#This Row],[FAF_atividade_fisica_frequente_em_horas]]+1,M1380)</f>
        <v>2.1139920000000001</v>
      </c>
      <c r="V1380">
        <f>(Tabela2[[#This Row],[SMOKE]]+Tabela2[[#This Row],[CALC_bebe_alcool_frequentemente]])</f>
        <v>1</v>
      </c>
      <c r="W1380" s="8">
        <f>(Tabela2[[#This Row],[Weight]]/(Tabela2[[#This Row],[Height]] ^2))</f>
        <v>32.608893070730048</v>
      </c>
    </row>
    <row r="1381" spans="1:23" x14ac:dyDescent="0.25">
      <c r="A1381" t="s">
        <v>15</v>
      </c>
      <c r="B1381" s="7">
        <v>38.748306999999997</v>
      </c>
      <c r="C1381" s="4">
        <v>1.7820670000000001</v>
      </c>
      <c r="D1381" s="7">
        <v>103.586342</v>
      </c>
      <c r="E1381">
        <v>1</v>
      </c>
      <c r="F1381">
        <v>1</v>
      </c>
      <c r="G1381" s="2">
        <v>2.845961</v>
      </c>
      <c r="H1381" s="2">
        <v>1.92822</v>
      </c>
      <c r="I1381">
        <v>1</v>
      </c>
      <c r="J1381">
        <v>0</v>
      </c>
      <c r="K1381" s="2">
        <v>2.6422729999999999</v>
      </c>
      <c r="L1381">
        <v>0</v>
      </c>
      <c r="M1381" s="7">
        <v>2.9999180000000001</v>
      </c>
      <c r="N1381" s="7">
        <v>1</v>
      </c>
      <c r="O1381">
        <v>2</v>
      </c>
      <c r="P1381" t="s">
        <v>17</v>
      </c>
      <c r="Q1381">
        <v>4</v>
      </c>
      <c r="R1381" s="8">
        <f>(Tabela2[[#This Row],[FAF_atividade_fisica_frequente_em_horas]]+ 0.1)</f>
        <v>3.0999180000000002</v>
      </c>
      <c r="S1381" s="1">
        <f>(Tabela2[[#This Row],[TUE_tempo_uso_aparelhos_em_horas]]/Tabela2[[#This Row],[FAF_Var]])</f>
        <v>0.32258917816535793</v>
      </c>
      <c r="T1381">
        <f>(Tabela2[[#This Row],[CAEC_lanche_entre_refeicoes]]*Tabela2[[#This Row],[FAVC_consumo_frequente_de_alimentos_mt_caloricos]])</f>
        <v>1</v>
      </c>
      <c r="U1381" s="1">
        <f>IF(OR(Tabela2[[#This Row],[MTRANS]]="Walking",Tabela2[[#This Row],[MTRANS]]="Bike"),Tabela2[[#This Row],[FAF_atividade_fisica_frequente_em_horas]]+1,M1381)</f>
        <v>2.9999180000000001</v>
      </c>
      <c r="V1381">
        <f>(Tabela2[[#This Row],[SMOKE]]+Tabela2[[#This Row],[CALC_bebe_alcool_frequentemente]])</f>
        <v>2</v>
      </c>
      <c r="W1381" s="8">
        <f>(Tabela2[[#This Row],[Weight]]/(Tabela2[[#This Row],[Height]] ^2))</f>
        <v>32.617783118119576</v>
      </c>
    </row>
    <row r="1382" spans="1:23" x14ac:dyDescent="0.25">
      <c r="A1382" t="s">
        <v>15</v>
      </c>
      <c r="B1382" s="7">
        <v>39.685845999999998</v>
      </c>
      <c r="C1382" s="4">
        <v>1.7810319999999999</v>
      </c>
      <c r="D1382" s="7">
        <v>96.303854999999999</v>
      </c>
      <c r="E1382">
        <v>1</v>
      </c>
      <c r="F1382">
        <v>1</v>
      </c>
      <c r="G1382" s="2">
        <v>2.2526980000000001</v>
      </c>
      <c r="H1382" s="2">
        <v>2.475228</v>
      </c>
      <c r="I1382">
        <v>1</v>
      </c>
      <c r="J1382">
        <v>0</v>
      </c>
      <c r="K1382" s="2">
        <v>2.9238559999999998</v>
      </c>
      <c r="L1382">
        <v>0</v>
      </c>
      <c r="M1382" s="7">
        <v>2.165429</v>
      </c>
      <c r="N1382" s="7">
        <v>0.61604499999999995</v>
      </c>
      <c r="O1382">
        <v>2</v>
      </c>
      <c r="P1382" t="s">
        <v>17</v>
      </c>
      <c r="Q1382">
        <v>4</v>
      </c>
      <c r="R1382" s="8">
        <f>(Tabela2[[#This Row],[FAF_atividade_fisica_frequente_em_horas]]+ 0.1)</f>
        <v>2.2654290000000001</v>
      </c>
      <c r="S1382" s="1">
        <f>(Tabela2[[#This Row],[TUE_tempo_uso_aparelhos_em_horas]]/Tabela2[[#This Row],[FAF_Var]])</f>
        <v>0.27193304226263543</v>
      </c>
      <c r="T1382">
        <f>(Tabela2[[#This Row],[CAEC_lanche_entre_refeicoes]]*Tabela2[[#This Row],[FAVC_consumo_frequente_de_alimentos_mt_caloricos]])</f>
        <v>1</v>
      </c>
      <c r="U1382" s="1">
        <f>IF(OR(Tabela2[[#This Row],[MTRANS]]="Walking",Tabela2[[#This Row],[MTRANS]]="Bike"),Tabela2[[#This Row],[FAF_atividade_fisica_frequente_em_horas]]+1,M1382)</f>
        <v>2.165429</v>
      </c>
      <c r="V1382">
        <f>(Tabela2[[#This Row],[SMOKE]]+Tabela2[[#This Row],[CALC_bebe_alcool_frequentemente]])</f>
        <v>2</v>
      </c>
      <c r="W1382" s="8">
        <f>(Tabela2[[#This Row],[Weight]]/(Tabela2[[#This Row],[Height]] ^2))</f>
        <v>30.359892327473261</v>
      </c>
    </row>
    <row r="1383" spans="1:23" x14ac:dyDescent="0.25">
      <c r="A1383" t="s">
        <v>13</v>
      </c>
      <c r="B1383" s="7">
        <v>33.226807999999998</v>
      </c>
      <c r="C1383" s="4">
        <v>1.5579430000000001</v>
      </c>
      <c r="D1383" s="7">
        <v>77.647716000000003</v>
      </c>
      <c r="E1383">
        <v>1</v>
      </c>
      <c r="F1383">
        <v>1</v>
      </c>
      <c r="G1383" s="2">
        <v>2.0209100000000002</v>
      </c>
      <c r="H1383" s="2">
        <v>2.0938310000000002</v>
      </c>
      <c r="I1383">
        <v>1</v>
      </c>
      <c r="J1383">
        <v>0</v>
      </c>
      <c r="K1383" s="2">
        <v>1.506518</v>
      </c>
      <c r="L1383">
        <v>0</v>
      </c>
      <c r="M1383" s="7">
        <v>0</v>
      </c>
      <c r="N1383" s="7">
        <v>0</v>
      </c>
      <c r="O1383">
        <v>1</v>
      </c>
      <c r="P1383" t="s">
        <v>17</v>
      </c>
      <c r="Q1383">
        <v>4</v>
      </c>
      <c r="R1383" s="8">
        <f>(Tabela2[[#This Row],[FAF_atividade_fisica_frequente_em_horas]]+ 0.1)</f>
        <v>0.1</v>
      </c>
      <c r="S1383" s="1">
        <f>(Tabela2[[#This Row],[TUE_tempo_uso_aparelhos_em_horas]]/Tabela2[[#This Row],[FAF_Var]])</f>
        <v>0</v>
      </c>
      <c r="T1383">
        <f>(Tabela2[[#This Row],[CAEC_lanche_entre_refeicoes]]*Tabela2[[#This Row],[FAVC_consumo_frequente_de_alimentos_mt_caloricos]])</f>
        <v>1</v>
      </c>
      <c r="U1383" s="1">
        <f>IF(OR(Tabela2[[#This Row],[MTRANS]]="Walking",Tabela2[[#This Row],[MTRANS]]="Bike"),Tabela2[[#This Row],[FAF_atividade_fisica_frequente_em_horas]]+1,M1383)</f>
        <v>0</v>
      </c>
      <c r="V1383">
        <f>(Tabela2[[#This Row],[SMOKE]]+Tabela2[[#This Row],[CALC_bebe_alcool_frequentemente]])</f>
        <v>1</v>
      </c>
      <c r="W1383" s="8">
        <f>(Tabela2[[#This Row],[Weight]]/(Tabela2[[#This Row],[Height]] ^2))</f>
        <v>31.990833617043908</v>
      </c>
    </row>
    <row r="1384" spans="1:23" x14ac:dyDescent="0.25">
      <c r="A1384" t="s">
        <v>13</v>
      </c>
      <c r="B1384" s="7">
        <v>26.220065000000002</v>
      </c>
      <c r="C1384" s="4">
        <v>1.5602579999999999</v>
      </c>
      <c r="D1384" s="7">
        <v>78.435903999999994</v>
      </c>
      <c r="E1384">
        <v>1</v>
      </c>
      <c r="F1384">
        <v>1</v>
      </c>
      <c r="G1384" s="2">
        <v>2.1081629999999998</v>
      </c>
      <c r="H1384" s="2">
        <v>1.2319150000000001</v>
      </c>
      <c r="I1384">
        <v>1</v>
      </c>
      <c r="J1384">
        <v>0</v>
      </c>
      <c r="K1384" s="2">
        <v>1.808127</v>
      </c>
      <c r="L1384">
        <v>0</v>
      </c>
      <c r="M1384" s="7">
        <v>0</v>
      </c>
      <c r="N1384" s="7">
        <v>0</v>
      </c>
      <c r="O1384">
        <v>1</v>
      </c>
      <c r="P1384" t="s">
        <v>17</v>
      </c>
      <c r="Q1384">
        <v>4</v>
      </c>
      <c r="R1384" s="8">
        <f>(Tabela2[[#This Row],[FAF_atividade_fisica_frequente_em_horas]]+ 0.1)</f>
        <v>0.1</v>
      </c>
      <c r="S1384" s="1">
        <f>(Tabela2[[#This Row],[TUE_tempo_uso_aparelhos_em_horas]]/Tabela2[[#This Row],[FAF_Var]])</f>
        <v>0</v>
      </c>
      <c r="T1384">
        <f>(Tabela2[[#This Row],[CAEC_lanche_entre_refeicoes]]*Tabela2[[#This Row],[FAVC_consumo_frequente_de_alimentos_mt_caloricos]])</f>
        <v>1</v>
      </c>
      <c r="U1384" s="1">
        <f>IF(OR(Tabela2[[#This Row],[MTRANS]]="Walking",Tabela2[[#This Row],[MTRANS]]="Bike"),Tabela2[[#This Row],[FAF_atividade_fisica_frequente_em_horas]]+1,M1384)</f>
        <v>0</v>
      </c>
      <c r="V1384">
        <f>(Tabela2[[#This Row],[SMOKE]]+Tabela2[[#This Row],[CALC_bebe_alcool_frequentemente]])</f>
        <v>1</v>
      </c>
      <c r="W1384" s="8">
        <f>(Tabela2[[#This Row],[Weight]]/(Tabela2[[#This Row],[Height]] ^2))</f>
        <v>32.219742871097765</v>
      </c>
    </row>
    <row r="1385" spans="1:23" x14ac:dyDescent="0.25">
      <c r="A1385" t="s">
        <v>13</v>
      </c>
      <c r="B1385" s="7">
        <v>23.090215000000001</v>
      </c>
      <c r="C1385" s="4">
        <v>1.5965860000000001</v>
      </c>
      <c r="D1385" s="7">
        <v>80.726195000000004</v>
      </c>
      <c r="E1385">
        <v>1</v>
      </c>
      <c r="F1385">
        <v>1</v>
      </c>
      <c r="G1385" s="2">
        <v>1.518966</v>
      </c>
      <c r="H1385" s="2">
        <v>1</v>
      </c>
      <c r="I1385">
        <v>1</v>
      </c>
      <c r="J1385">
        <v>0</v>
      </c>
      <c r="K1385" s="2">
        <v>2</v>
      </c>
      <c r="L1385">
        <v>0</v>
      </c>
      <c r="M1385" s="7">
        <v>0</v>
      </c>
      <c r="N1385" s="7">
        <v>1.0940460000000001</v>
      </c>
      <c r="O1385">
        <v>0</v>
      </c>
      <c r="P1385" t="s">
        <v>14</v>
      </c>
      <c r="Q1385">
        <v>4</v>
      </c>
      <c r="R1385" s="8">
        <f>(Tabela2[[#This Row],[FAF_atividade_fisica_frequente_em_horas]]+ 0.1)</f>
        <v>0.1</v>
      </c>
      <c r="S1385" s="1">
        <f>(Tabela2[[#This Row],[TUE_tempo_uso_aparelhos_em_horas]]/Tabela2[[#This Row],[FAF_Var]])</f>
        <v>10.94046</v>
      </c>
      <c r="T1385">
        <f>(Tabela2[[#This Row],[CAEC_lanche_entre_refeicoes]]*Tabela2[[#This Row],[FAVC_consumo_frequente_de_alimentos_mt_caloricos]])</f>
        <v>1</v>
      </c>
      <c r="U1385" s="1">
        <f>IF(OR(Tabela2[[#This Row],[MTRANS]]="Walking",Tabela2[[#This Row],[MTRANS]]="Bike"),Tabela2[[#This Row],[FAF_atividade_fisica_frequente_em_horas]]+1,M1385)</f>
        <v>0</v>
      </c>
      <c r="V1385">
        <f>(Tabela2[[#This Row],[SMOKE]]+Tabela2[[#This Row],[CALC_bebe_alcool_frequentemente]])</f>
        <v>0</v>
      </c>
      <c r="W1385" s="8">
        <f>(Tabela2[[#This Row],[Weight]]/(Tabela2[[#This Row],[Height]] ^2))</f>
        <v>31.66867179480991</v>
      </c>
    </row>
    <row r="1386" spans="1:23" x14ac:dyDescent="0.25">
      <c r="A1386" t="s">
        <v>13</v>
      </c>
      <c r="B1386" s="7">
        <v>24.565628</v>
      </c>
      <c r="C1386" s="4">
        <v>1.62093</v>
      </c>
      <c r="D1386" s="7">
        <v>81.718232</v>
      </c>
      <c r="E1386">
        <v>1</v>
      </c>
      <c r="F1386">
        <v>1</v>
      </c>
      <c r="G1386" s="2">
        <v>2.2605430000000002</v>
      </c>
      <c r="H1386" s="2">
        <v>1.3747910000000001</v>
      </c>
      <c r="I1386">
        <v>1</v>
      </c>
      <c r="J1386">
        <v>0</v>
      </c>
      <c r="K1386" s="2">
        <v>1.947935</v>
      </c>
      <c r="L1386">
        <v>0</v>
      </c>
      <c r="M1386" s="7">
        <v>0</v>
      </c>
      <c r="N1386" s="7">
        <v>7.8606999999999996E-2</v>
      </c>
      <c r="O1386">
        <v>0</v>
      </c>
      <c r="P1386" t="s">
        <v>14</v>
      </c>
      <c r="Q1386">
        <v>4</v>
      </c>
      <c r="R1386" s="8">
        <f>(Tabela2[[#This Row],[FAF_atividade_fisica_frequente_em_horas]]+ 0.1)</f>
        <v>0.1</v>
      </c>
      <c r="S1386" s="1">
        <f>(Tabela2[[#This Row],[TUE_tempo_uso_aparelhos_em_horas]]/Tabela2[[#This Row],[FAF_Var]])</f>
        <v>0.78606999999999994</v>
      </c>
      <c r="T1386">
        <f>(Tabela2[[#This Row],[CAEC_lanche_entre_refeicoes]]*Tabela2[[#This Row],[FAVC_consumo_frequente_de_alimentos_mt_caloricos]])</f>
        <v>1</v>
      </c>
      <c r="U1386" s="1">
        <f>IF(OR(Tabela2[[#This Row],[MTRANS]]="Walking",Tabela2[[#This Row],[MTRANS]]="Bike"),Tabela2[[#This Row],[FAF_atividade_fisica_frequente_em_horas]]+1,M1386)</f>
        <v>0</v>
      </c>
      <c r="V1386">
        <f>(Tabela2[[#This Row],[SMOKE]]+Tabela2[[#This Row],[CALC_bebe_alcool_frequentemente]])</f>
        <v>0</v>
      </c>
      <c r="W1386" s="8">
        <f>(Tabela2[[#This Row],[Weight]]/(Tabela2[[#This Row],[Height]] ^2))</f>
        <v>31.102152147118925</v>
      </c>
    </row>
    <row r="1387" spans="1:23" x14ac:dyDescent="0.25">
      <c r="A1387" t="s">
        <v>13</v>
      </c>
      <c r="B1387" s="7">
        <v>42.586284999999997</v>
      </c>
      <c r="C1387" s="4">
        <v>1.5714170000000001</v>
      </c>
      <c r="D1387" s="7">
        <v>81.918808999999996</v>
      </c>
      <c r="E1387">
        <v>1</v>
      </c>
      <c r="F1387">
        <v>1</v>
      </c>
      <c r="G1387" s="2">
        <v>2.5221830000000001</v>
      </c>
      <c r="H1387" s="2">
        <v>1.3269820000000001</v>
      </c>
      <c r="I1387">
        <v>1</v>
      </c>
      <c r="J1387">
        <v>0</v>
      </c>
      <c r="K1387" s="2">
        <v>1.872673</v>
      </c>
      <c r="L1387">
        <v>0</v>
      </c>
      <c r="M1387" s="7">
        <v>1.0485070000000001</v>
      </c>
      <c r="N1387" s="7">
        <v>0</v>
      </c>
      <c r="O1387">
        <v>0</v>
      </c>
      <c r="P1387" t="s">
        <v>17</v>
      </c>
      <c r="Q1387">
        <v>4</v>
      </c>
      <c r="R1387" s="8">
        <f>(Tabela2[[#This Row],[FAF_atividade_fisica_frequente_em_horas]]+ 0.1)</f>
        <v>1.1485070000000002</v>
      </c>
      <c r="S1387" s="1">
        <f>(Tabela2[[#This Row],[TUE_tempo_uso_aparelhos_em_horas]]/Tabela2[[#This Row],[FAF_Var]])</f>
        <v>0</v>
      </c>
      <c r="T1387">
        <f>(Tabela2[[#This Row],[CAEC_lanche_entre_refeicoes]]*Tabela2[[#This Row],[FAVC_consumo_frequente_de_alimentos_mt_caloricos]])</f>
        <v>1</v>
      </c>
      <c r="U1387" s="1">
        <f>IF(OR(Tabela2[[#This Row],[MTRANS]]="Walking",Tabela2[[#This Row],[MTRANS]]="Bike"),Tabela2[[#This Row],[FAF_atividade_fisica_frequente_em_horas]]+1,M1387)</f>
        <v>1.0485070000000001</v>
      </c>
      <c r="V1387">
        <f>(Tabela2[[#This Row],[SMOKE]]+Tabela2[[#This Row],[CALC_bebe_alcool_frequentemente]])</f>
        <v>0</v>
      </c>
      <c r="W1387" s="8">
        <f>(Tabela2[[#This Row],[Weight]]/(Tabela2[[#This Row],[Height]] ^2))</f>
        <v>33.174221134251276</v>
      </c>
    </row>
    <row r="1388" spans="1:23" x14ac:dyDescent="0.25">
      <c r="A1388" t="s">
        <v>13</v>
      </c>
      <c r="B1388" s="7">
        <v>43.719394999999999</v>
      </c>
      <c r="C1388" s="4">
        <v>1.584322</v>
      </c>
      <c r="D1388" s="7">
        <v>80.986496000000002</v>
      </c>
      <c r="E1388">
        <v>1</v>
      </c>
      <c r="F1388">
        <v>1</v>
      </c>
      <c r="G1388" s="2">
        <v>2.1863220000000001</v>
      </c>
      <c r="H1388" s="2">
        <v>2.9009149999999999</v>
      </c>
      <c r="I1388">
        <v>1</v>
      </c>
      <c r="J1388">
        <v>0</v>
      </c>
      <c r="K1388" s="2">
        <v>2.4710329999999998</v>
      </c>
      <c r="L1388">
        <v>0</v>
      </c>
      <c r="M1388" s="7">
        <v>0.25611299999999998</v>
      </c>
      <c r="N1388" s="7">
        <v>0</v>
      </c>
      <c r="O1388">
        <v>0</v>
      </c>
      <c r="P1388" t="s">
        <v>17</v>
      </c>
      <c r="Q1388">
        <v>4</v>
      </c>
      <c r="R1388" s="8">
        <f>(Tabela2[[#This Row],[FAF_atividade_fisica_frequente_em_horas]]+ 0.1)</f>
        <v>0.35611300000000001</v>
      </c>
      <c r="S1388" s="1">
        <f>(Tabela2[[#This Row],[TUE_tempo_uso_aparelhos_em_horas]]/Tabela2[[#This Row],[FAF_Var]])</f>
        <v>0</v>
      </c>
      <c r="T1388">
        <f>(Tabela2[[#This Row],[CAEC_lanche_entre_refeicoes]]*Tabela2[[#This Row],[FAVC_consumo_frequente_de_alimentos_mt_caloricos]])</f>
        <v>1</v>
      </c>
      <c r="U1388" s="1">
        <f>IF(OR(Tabela2[[#This Row],[MTRANS]]="Walking",Tabela2[[#This Row],[MTRANS]]="Bike"),Tabela2[[#This Row],[FAF_atividade_fisica_frequente_em_horas]]+1,M1388)</f>
        <v>0.25611299999999998</v>
      </c>
      <c r="V1388">
        <f>(Tabela2[[#This Row],[SMOKE]]+Tabela2[[#This Row],[CALC_bebe_alcool_frequentemente]])</f>
        <v>0</v>
      </c>
      <c r="W1388" s="8">
        <f>(Tabela2[[#This Row],[Weight]]/(Tabela2[[#This Row],[Height]] ^2))</f>
        <v>32.264556753374897</v>
      </c>
    </row>
    <row r="1389" spans="1:23" x14ac:dyDescent="0.25">
      <c r="A1389" t="s">
        <v>13</v>
      </c>
      <c r="B1389" s="7">
        <v>43.376339999999999</v>
      </c>
      <c r="C1389" s="4">
        <v>1.5825229999999999</v>
      </c>
      <c r="D1389" s="7">
        <v>81.919454000000002</v>
      </c>
      <c r="E1389">
        <v>1</v>
      </c>
      <c r="F1389">
        <v>1</v>
      </c>
      <c r="G1389" s="2">
        <v>2.7663199999999999</v>
      </c>
      <c r="H1389" s="2">
        <v>1.3178840000000001</v>
      </c>
      <c r="I1389">
        <v>1</v>
      </c>
      <c r="J1389">
        <v>0</v>
      </c>
      <c r="K1389" s="2">
        <v>1.8893409999999999</v>
      </c>
      <c r="L1389">
        <v>0</v>
      </c>
      <c r="M1389" s="7">
        <v>0.99064200000000002</v>
      </c>
      <c r="N1389" s="7">
        <v>0</v>
      </c>
      <c r="O1389">
        <v>0</v>
      </c>
      <c r="P1389" t="s">
        <v>17</v>
      </c>
      <c r="Q1389">
        <v>4</v>
      </c>
      <c r="R1389" s="8">
        <f>(Tabela2[[#This Row],[FAF_atividade_fisica_frequente_em_horas]]+ 0.1)</f>
        <v>1.0906420000000001</v>
      </c>
      <c r="S1389" s="1">
        <f>(Tabela2[[#This Row],[TUE_tempo_uso_aparelhos_em_horas]]/Tabela2[[#This Row],[FAF_Var]])</f>
        <v>0</v>
      </c>
      <c r="T1389">
        <f>(Tabela2[[#This Row],[CAEC_lanche_entre_refeicoes]]*Tabela2[[#This Row],[FAVC_consumo_frequente_de_alimentos_mt_caloricos]])</f>
        <v>1</v>
      </c>
      <c r="U1389" s="1">
        <f>IF(OR(Tabela2[[#This Row],[MTRANS]]="Walking",Tabela2[[#This Row],[MTRANS]]="Bike"),Tabela2[[#This Row],[FAF_atividade_fisica_frequente_em_horas]]+1,M1389)</f>
        <v>0.99064200000000002</v>
      </c>
      <c r="V1389">
        <f>(Tabela2[[#This Row],[SMOKE]]+Tabela2[[#This Row],[CALC_bebe_alcool_frequentemente]])</f>
        <v>0</v>
      </c>
      <c r="W1389" s="8">
        <f>(Tabela2[[#This Row],[Weight]]/(Tabela2[[#This Row],[Height]] ^2))</f>
        <v>32.710485318206359</v>
      </c>
    </row>
    <row r="1390" spans="1:23" x14ac:dyDescent="0.25">
      <c r="A1390" t="s">
        <v>13</v>
      </c>
      <c r="B1390" s="7">
        <v>39.648946000000002</v>
      </c>
      <c r="C1390" s="4">
        <v>1.5727910000000001</v>
      </c>
      <c r="D1390" s="7">
        <v>80.086523999999997</v>
      </c>
      <c r="E1390">
        <v>1</v>
      </c>
      <c r="F1390">
        <v>1</v>
      </c>
      <c r="G1390" s="2">
        <v>2.0716220000000001</v>
      </c>
      <c r="H1390" s="2">
        <v>2.9779089999999999</v>
      </c>
      <c r="I1390">
        <v>1</v>
      </c>
      <c r="J1390">
        <v>0</v>
      </c>
      <c r="K1390" s="2">
        <v>1.468297</v>
      </c>
      <c r="L1390">
        <v>0</v>
      </c>
      <c r="M1390" s="7">
        <v>0</v>
      </c>
      <c r="N1390" s="7">
        <v>0</v>
      </c>
      <c r="O1390">
        <v>0</v>
      </c>
      <c r="P1390" t="s">
        <v>17</v>
      </c>
      <c r="Q1390">
        <v>4</v>
      </c>
      <c r="R1390" s="8">
        <f>(Tabela2[[#This Row],[FAF_atividade_fisica_frequente_em_horas]]+ 0.1)</f>
        <v>0.1</v>
      </c>
      <c r="S1390" s="1">
        <f>(Tabela2[[#This Row],[TUE_tempo_uso_aparelhos_em_horas]]/Tabela2[[#This Row],[FAF_Var]])</f>
        <v>0</v>
      </c>
      <c r="T1390">
        <f>(Tabela2[[#This Row],[CAEC_lanche_entre_refeicoes]]*Tabela2[[#This Row],[FAVC_consumo_frequente_de_alimentos_mt_caloricos]])</f>
        <v>1</v>
      </c>
      <c r="U1390" s="1">
        <f>IF(OR(Tabela2[[#This Row],[MTRANS]]="Walking",Tabela2[[#This Row],[MTRANS]]="Bike"),Tabela2[[#This Row],[FAF_atividade_fisica_frequente_em_horas]]+1,M1390)</f>
        <v>0</v>
      </c>
      <c r="V1390">
        <f>(Tabela2[[#This Row],[SMOKE]]+Tabela2[[#This Row],[CALC_bebe_alcool_frequentemente]])</f>
        <v>0</v>
      </c>
      <c r="W1390" s="8">
        <f>(Tabela2[[#This Row],[Weight]]/(Tabela2[[#This Row],[Height]] ^2))</f>
        <v>32.375569286002893</v>
      </c>
    </row>
    <row r="1391" spans="1:23" x14ac:dyDescent="0.25">
      <c r="A1391" t="s">
        <v>13</v>
      </c>
      <c r="B1391" s="7">
        <v>22.693988999999998</v>
      </c>
      <c r="C1391" s="4">
        <v>1.6279079999999999</v>
      </c>
      <c r="D1391" s="7">
        <v>82</v>
      </c>
      <c r="E1391">
        <v>1</v>
      </c>
      <c r="F1391">
        <v>1</v>
      </c>
      <c r="G1391" s="2">
        <v>1.9182509999999999</v>
      </c>
      <c r="H1391" s="2">
        <v>1.3557520000000001</v>
      </c>
      <c r="I1391">
        <v>1</v>
      </c>
      <c r="J1391">
        <v>0</v>
      </c>
      <c r="K1391" s="2">
        <v>1.998108</v>
      </c>
      <c r="L1391">
        <v>0</v>
      </c>
      <c r="M1391" s="7">
        <v>0</v>
      </c>
      <c r="N1391" s="7">
        <v>1.382906</v>
      </c>
      <c r="O1391">
        <v>1</v>
      </c>
      <c r="P1391" t="s">
        <v>14</v>
      </c>
      <c r="Q1391">
        <v>4</v>
      </c>
      <c r="R1391" s="8">
        <f>(Tabela2[[#This Row],[FAF_atividade_fisica_frequente_em_horas]]+ 0.1)</f>
        <v>0.1</v>
      </c>
      <c r="S1391" s="1">
        <f>(Tabela2[[#This Row],[TUE_tempo_uso_aparelhos_em_horas]]/Tabela2[[#This Row],[FAF_Var]])</f>
        <v>13.829059999999998</v>
      </c>
      <c r="T1391">
        <f>(Tabela2[[#This Row],[CAEC_lanche_entre_refeicoes]]*Tabela2[[#This Row],[FAVC_consumo_frequente_de_alimentos_mt_caloricos]])</f>
        <v>1</v>
      </c>
      <c r="U1391" s="1">
        <f>IF(OR(Tabela2[[#This Row],[MTRANS]]="Walking",Tabela2[[#This Row],[MTRANS]]="Bike"),Tabela2[[#This Row],[FAF_atividade_fisica_frequente_em_horas]]+1,M1391)</f>
        <v>0</v>
      </c>
      <c r="V1391">
        <f>(Tabela2[[#This Row],[SMOKE]]+Tabela2[[#This Row],[CALC_bebe_alcool_frequentemente]])</f>
        <v>1</v>
      </c>
      <c r="W1391" s="8">
        <f>(Tabela2[[#This Row],[Weight]]/(Tabela2[[#This Row],[Height]] ^2))</f>
        <v>30.942410080549802</v>
      </c>
    </row>
    <row r="1392" spans="1:23" x14ac:dyDescent="0.25">
      <c r="A1392" t="s">
        <v>13</v>
      </c>
      <c r="B1392" s="7">
        <v>22.676242999999999</v>
      </c>
      <c r="C1392" s="4">
        <v>1.620938</v>
      </c>
      <c r="D1392" s="7">
        <v>82.283185000000003</v>
      </c>
      <c r="E1392">
        <v>1</v>
      </c>
      <c r="F1392">
        <v>1</v>
      </c>
      <c r="G1392" s="2">
        <v>1.9670609999999999</v>
      </c>
      <c r="H1392" s="2">
        <v>1</v>
      </c>
      <c r="I1392">
        <v>1</v>
      </c>
      <c r="J1392">
        <v>0</v>
      </c>
      <c r="K1392" s="2">
        <v>2.548651</v>
      </c>
      <c r="L1392">
        <v>0</v>
      </c>
      <c r="M1392" s="7">
        <v>0.24926400000000001</v>
      </c>
      <c r="N1392" s="7">
        <v>1.5167310000000001</v>
      </c>
      <c r="O1392">
        <v>1</v>
      </c>
      <c r="P1392" t="s">
        <v>14</v>
      </c>
      <c r="Q1392">
        <v>4</v>
      </c>
      <c r="R1392" s="8">
        <f>(Tabela2[[#This Row],[FAF_atividade_fisica_frequente_em_horas]]+ 0.1)</f>
        <v>0.34926400000000002</v>
      </c>
      <c r="S1392" s="1">
        <f>(Tabela2[[#This Row],[TUE_tempo_uso_aparelhos_em_horas]]/Tabela2[[#This Row],[FAF_Var]])</f>
        <v>4.3426491135645238</v>
      </c>
      <c r="T1392">
        <f>(Tabela2[[#This Row],[CAEC_lanche_entre_refeicoes]]*Tabela2[[#This Row],[FAVC_consumo_frequente_de_alimentos_mt_caloricos]])</f>
        <v>1</v>
      </c>
      <c r="U1392" s="1">
        <f>IF(OR(Tabela2[[#This Row],[MTRANS]]="Walking",Tabela2[[#This Row],[MTRANS]]="Bike"),Tabela2[[#This Row],[FAF_atividade_fisica_frequente_em_horas]]+1,M1392)</f>
        <v>0.24926400000000001</v>
      </c>
      <c r="V1392">
        <f>(Tabela2[[#This Row],[SMOKE]]+Tabela2[[#This Row],[CALC_bebe_alcool_frequentemente]])</f>
        <v>1</v>
      </c>
      <c r="W1392" s="8">
        <f>(Tabela2[[#This Row],[Weight]]/(Tabela2[[#This Row],[Height]] ^2))</f>
        <v>31.316865467864321</v>
      </c>
    </row>
    <row r="1393" spans="1:23" x14ac:dyDescent="0.25">
      <c r="A1393" t="s">
        <v>13</v>
      </c>
      <c r="B1393" s="7">
        <v>22.804818000000001</v>
      </c>
      <c r="C1393" s="4">
        <v>1.613119</v>
      </c>
      <c r="D1393" s="7">
        <v>82.636161999999999</v>
      </c>
      <c r="E1393">
        <v>1</v>
      </c>
      <c r="F1393">
        <v>1</v>
      </c>
      <c r="G1393" s="2">
        <v>2.9644189999999999</v>
      </c>
      <c r="H1393" s="2">
        <v>1</v>
      </c>
      <c r="I1393">
        <v>1</v>
      </c>
      <c r="J1393">
        <v>0</v>
      </c>
      <c r="K1393" s="2">
        <v>2.9775160000000001</v>
      </c>
      <c r="L1393">
        <v>0</v>
      </c>
      <c r="M1393" s="7">
        <v>0.74211300000000002</v>
      </c>
      <c r="N1393" s="7">
        <v>2</v>
      </c>
      <c r="O1393">
        <v>1</v>
      </c>
      <c r="P1393" t="s">
        <v>14</v>
      </c>
      <c r="Q1393">
        <v>4</v>
      </c>
      <c r="R1393" s="8">
        <f>(Tabela2[[#This Row],[FAF_atividade_fisica_frequente_em_horas]]+ 0.1)</f>
        <v>0.842113</v>
      </c>
      <c r="S1393" s="1">
        <f>(Tabela2[[#This Row],[TUE_tempo_uso_aparelhos_em_horas]]/Tabela2[[#This Row],[FAF_Var]])</f>
        <v>2.3749781798879721</v>
      </c>
      <c r="T1393">
        <f>(Tabela2[[#This Row],[CAEC_lanche_entre_refeicoes]]*Tabela2[[#This Row],[FAVC_consumo_frequente_de_alimentos_mt_caloricos]])</f>
        <v>1</v>
      </c>
      <c r="U1393" s="1">
        <f>IF(OR(Tabela2[[#This Row],[MTRANS]]="Walking",Tabela2[[#This Row],[MTRANS]]="Bike"),Tabela2[[#This Row],[FAF_atividade_fisica_frequente_em_horas]]+1,M1393)</f>
        <v>0.74211300000000002</v>
      </c>
      <c r="V1393">
        <f>(Tabela2[[#This Row],[SMOKE]]+Tabela2[[#This Row],[CALC_bebe_alcool_frequentemente]])</f>
        <v>1</v>
      </c>
      <c r="W1393" s="8">
        <f>(Tabela2[[#This Row],[Weight]]/(Tabela2[[#This Row],[Height]] ^2))</f>
        <v>31.756843243466747</v>
      </c>
    </row>
    <row r="1394" spans="1:23" x14ac:dyDescent="0.25">
      <c r="A1394" t="s">
        <v>13</v>
      </c>
      <c r="B1394" s="7">
        <v>22.857123000000001</v>
      </c>
      <c r="C1394" s="4">
        <v>1.62686</v>
      </c>
      <c r="D1394" s="7">
        <v>82.410189000000003</v>
      </c>
      <c r="E1394">
        <v>1</v>
      </c>
      <c r="F1394">
        <v>1</v>
      </c>
      <c r="G1394" s="2">
        <v>2.6408010000000002</v>
      </c>
      <c r="H1394" s="2">
        <v>1.0154879999999999</v>
      </c>
      <c r="I1394">
        <v>1</v>
      </c>
      <c r="J1394">
        <v>0</v>
      </c>
      <c r="K1394" s="2">
        <v>2.0223550000000001</v>
      </c>
      <c r="L1394">
        <v>0</v>
      </c>
      <c r="M1394" s="7">
        <v>0.24474899999999999</v>
      </c>
      <c r="N1394" s="7">
        <v>0.28921799999999998</v>
      </c>
      <c r="O1394">
        <v>1</v>
      </c>
      <c r="P1394" t="s">
        <v>14</v>
      </c>
      <c r="Q1394">
        <v>4</v>
      </c>
      <c r="R1394" s="8">
        <f>(Tabela2[[#This Row],[FAF_atividade_fisica_frequente_em_horas]]+ 0.1)</f>
        <v>0.34474899999999997</v>
      </c>
      <c r="S1394" s="1">
        <f>(Tabela2[[#This Row],[TUE_tempo_uso_aparelhos_em_horas]]/Tabela2[[#This Row],[FAF_Var]])</f>
        <v>0.83892339064072696</v>
      </c>
      <c r="T1394">
        <f>(Tabela2[[#This Row],[CAEC_lanche_entre_refeicoes]]*Tabela2[[#This Row],[FAVC_consumo_frequente_de_alimentos_mt_caloricos]])</f>
        <v>1</v>
      </c>
      <c r="U1394" s="1">
        <f>IF(OR(Tabela2[[#This Row],[MTRANS]]="Walking",Tabela2[[#This Row],[MTRANS]]="Bike"),Tabela2[[#This Row],[FAF_atividade_fisica_frequente_em_horas]]+1,M1394)</f>
        <v>0.24474899999999999</v>
      </c>
      <c r="V1394">
        <f>(Tabela2[[#This Row],[SMOKE]]+Tabela2[[#This Row],[CALC_bebe_alcool_frequentemente]])</f>
        <v>1</v>
      </c>
      <c r="W1394" s="8">
        <f>(Tabela2[[#This Row],[Weight]]/(Tabela2[[#This Row],[Height]] ^2))</f>
        <v>31.13727109065238</v>
      </c>
    </row>
    <row r="1395" spans="1:23" x14ac:dyDescent="0.25">
      <c r="A1395" t="s">
        <v>15</v>
      </c>
      <c r="B1395" s="7">
        <v>23.096353000000001</v>
      </c>
      <c r="C1395" s="4">
        <v>1.728183</v>
      </c>
      <c r="D1395" s="7">
        <v>97.959898999999993</v>
      </c>
      <c r="E1395">
        <v>1</v>
      </c>
      <c r="F1395">
        <v>1</v>
      </c>
      <c r="G1395" s="2">
        <v>2</v>
      </c>
      <c r="H1395" s="2">
        <v>2.9861719999999998</v>
      </c>
      <c r="I1395">
        <v>1</v>
      </c>
      <c r="J1395">
        <v>0</v>
      </c>
      <c r="K1395" s="2">
        <v>2.3642080000000001</v>
      </c>
      <c r="L1395">
        <v>0</v>
      </c>
      <c r="M1395" s="7">
        <v>2.4924019999999998</v>
      </c>
      <c r="N1395" s="7">
        <v>1.632506</v>
      </c>
      <c r="O1395">
        <v>0</v>
      </c>
      <c r="P1395" t="s">
        <v>14</v>
      </c>
      <c r="Q1395">
        <v>4</v>
      </c>
      <c r="R1395" s="8">
        <f>(Tabela2[[#This Row],[FAF_atividade_fisica_frequente_em_horas]]+ 0.1)</f>
        <v>2.5924019999999999</v>
      </c>
      <c r="S1395" s="1">
        <f>(Tabela2[[#This Row],[TUE_tempo_uso_aparelhos_em_horas]]/Tabela2[[#This Row],[FAF_Var]])</f>
        <v>0.62972717965809322</v>
      </c>
      <c r="T1395">
        <f>(Tabela2[[#This Row],[CAEC_lanche_entre_refeicoes]]*Tabela2[[#This Row],[FAVC_consumo_frequente_de_alimentos_mt_caloricos]])</f>
        <v>1</v>
      </c>
      <c r="U1395" s="1">
        <f>IF(OR(Tabela2[[#This Row],[MTRANS]]="Walking",Tabela2[[#This Row],[MTRANS]]="Bike"),Tabela2[[#This Row],[FAF_atividade_fisica_frequente_em_horas]]+1,M1395)</f>
        <v>2.4924019999999998</v>
      </c>
      <c r="V1395">
        <f>(Tabela2[[#This Row],[SMOKE]]+Tabela2[[#This Row],[CALC_bebe_alcool_frequentemente]])</f>
        <v>0</v>
      </c>
      <c r="W1395" s="8">
        <f>(Tabela2[[#This Row],[Weight]]/(Tabela2[[#This Row],[Height]] ^2))</f>
        <v>32.799624460373082</v>
      </c>
    </row>
    <row r="1396" spans="1:23" x14ac:dyDescent="0.25">
      <c r="A1396" t="s">
        <v>15</v>
      </c>
      <c r="B1396" s="7">
        <v>22.815415999999999</v>
      </c>
      <c r="C1396" s="4">
        <v>1.732694</v>
      </c>
      <c r="D1396" s="7">
        <v>98.441130000000001</v>
      </c>
      <c r="E1396">
        <v>1</v>
      </c>
      <c r="F1396">
        <v>1</v>
      </c>
      <c r="G1396" s="2">
        <v>2</v>
      </c>
      <c r="H1396" s="2">
        <v>2.9936229999999999</v>
      </c>
      <c r="I1396">
        <v>1</v>
      </c>
      <c r="J1396">
        <v>0</v>
      </c>
      <c r="K1396" s="2">
        <v>2.326635</v>
      </c>
      <c r="L1396">
        <v>0</v>
      </c>
      <c r="M1396" s="7">
        <v>2.236586</v>
      </c>
      <c r="N1396" s="7">
        <v>1.529423</v>
      </c>
      <c r="O1396">
        <v>0</v>
      </c>
      <c r="P1396" t="s">
        <v>14</v>
      </c>
      <c r="Q1396">
        <v>4</v>
      </c>
      <c r="R1396" s="8">
        <f>(Tabela2[[#This Row],[FAF_atividade_fisica_frequente_em_horas]]+ 0.1)</f>
        <v>2.3365860000000001</v>
      </c>
      <c r="S1396" s="1">
        <f>(Tabela2[[#This Row],[TUE_tempo_uso_aparelhos_em_horas]]/Tabela2[[#This Row],[FAF_Var]])</f>
        <v>0.65455455095596737</v>
      </c>
      <c r="T1396">
        <f>(Tabela2[[#This Row],[CAEC_lanche_entre_refeicoes]]*Tabela2[[#This Row],[FAVC_consumo_frequente_de_alimentos_mt_caloricos]])</f>
        <v>1</v>
      </c>
      <c r="U1396" s="1">
        <f>IF(OR(Tabela2[[#This Row],[MTRANS]]="Walking",Tabela2[[#This Row],[MTRANS]]="Bike"),Tabela2[[#This Row],[FAF_atividade_fisica_frequente_em_horas]]+1,M1396)</f>
        <v>2.236586</v>
      </c>
      <c r="V1396">
        <f>(Tabela2[[#This Row],[SMOKE]]+Tabela2[[#This Row],[CALC_bebe_alcool_frequentemente]])</f>
        <v>0</v>
      </c>
      <c r="W1396" s="8">
        <f>(Tabela2[[#This Row],[Weight]]/(Tabela2[[#This Row],[Height]] ^2))</f>
        <v>32.789353001450102</v>
      </c>
    </row>
    <row r="1397" spans="1:23" x14ac:dyDescent="0.25">
      <c r="A1397" t="s">
        <v>13</v>
      </c>
      <c r="B1397" s="7">
        <v>21.02064</v>
      </c>
      <c r="C1397" s="4">
        <v>1.65</v>
      </c>
      <c r="D1397" s="7">
        <v>88.129436999999996</v>
      </c>
      <c r="E1397">
        <v>1</v>
      </c>
      <c r="F1397">
        <v>1</v>
      </c>
      <c r="G1397" s="2">
        <v>2.870152</v>
      </c>
      <c r="H1397" s="2">
        <v>1.0013829999999999</v>
      </c>
      <c r="I1397">
        <v>1</v>
      </c>
      <c r="J1397">
        <v>0</v>
      </c>
      <c r="K1397" s="2">
        <v>3</v>
      </c>
      <c r="L1397">
        <v>0</v>
      </c>
      <c r="M1397" s="7">
        <v>1.3225579999999999</v>
      </c>
      <c r="N1397" s="7">
        <v>1</v>
      </c>
      <c r="O1397">
        <v>0</v>
      </c>
      <c r="P1397" t="s">
        <v>14</v>
      </c>
      <c r="Q1397">
        <v>4</v>
      </c>
      <c r="R1397" s="8">
        <f>(Tabela2[[#This Row],[FAF_atividade_fisica_frequente_em_horas]]+ 0.1)</f>
        <v>1.422558</v>
      </c>
      <c r="S1397" s="1">
        <f>(Tabela2[[#This Row],[TUE_tempo_uso_aparelhos_em_horas]]/Tabela2[[#This Row],[FAF_Var]])</f>
        <v>0.70295903576514984</v>
      </c>
      <c r="T1397">
        <f>(Tabela2[[#This Row],[CAEC_lanche_entre_refeicoes]]*Tabela2[[#This Row],[FAVC_consumo_frequente_de_alimentos_mt_caloricos]])</f>
        <v>1</v>
      </c>
      <c r="U1397" s="1">
        <f>IF(OR(Tabela2[[#This Row],[MTRANS]]="Walking",Tabela2[[#This Row],[MTRANS]]="Bike"),Tabela2[[#This Row],[FAF_atividade_fisica_frequente_em_horas]]+1,M1397)</f>
        <v>1.3225579999999999</v>
      </c>
      <c r="V1397">
        <f>(Tabela2[[#This Row],[SMOKE]]+Tabela2[[#This Row],[CALC_bebe_alcool_frequentemente]])</f>
        <v>0</v>
      </c>
      <c r="W1397" s="8">
        <f>(Tabela2[[#This Row],[Weight]]/(Tabela2[[#This Row],[Height]] ^2))</f>
        <v>32.370775757575757</v>
      </c>
    </row>
    <row r="1398" spans="1:23" x14ac:dyDescent="0.25">
      <c r="A1398" t="s">
        <v>13</v>
      </c>
      <c r="B1398" s="7">
        <v>21.001458</v>
      </c>
      <c r="C1398" s="4">
        <v>1.65</v>
      </c>
      <c r="D1398" s="7">
        <v>88.026943000000003</v>
      </c>
      <c r="E1398">
        <v>1</v>
      </c>
      <c r="F1398">
        <v>1</v>
      </c>
      <c r="G1398" s="2">
        <v>2.4825750000000002</v>
      </c>
      <c r="H1398" s="2">
        <v>1.0015419999999999</v>
      </c>
      <c r="I1398">
        <v>1</v>
      </c>
      <c r="J1398">
        <v>0</v>
      </c>
      <c r="K1398" s="2">
        <v>3</v>
      </c>
      <c r="L1398">
        <v>0</v>
      </c>
      <c r="M1398" s="7">
        <v>1.7516560000000001</v>
      </c>
      <c r="N1398" s="7">
        <v>1</v>
      </c>
      <c r="O1398">
        <v>0</v>
      </c>
      <c r="P1398" t="s">
        <v>14</v>
      </c>
      <c r="Q1398">
        <v>4</v>
      </c>
      <c r="R1398" s="8">
        <f>(Tabela2[[#This Row],[FAF_atividade_fisica_frequente_em_horas]]+ 0.1)</f>
        <v>1.8516560000000002</v>
      </c>
      <c r="S1398" s="1">
        <f>(Tabela2[[#This Row],[TUE_tempo_uso_aparelhos_em_horas]]/Tabela2[[#This Row],[FAF_Var]])</f>
        <v>0.5400571164406347</v>
      </c>
      <c r="T1398">
        <f>(Tabela2[[#This Row],[CAEC_lanche_entre_refeicoes]]*Tabela2[[#This Row],[FAVC_consumo_frequente_de_alimentos_mt_caloricos]])</f>
        <v>1</v>
      </c>
      <c r="U1398" s="1">
        <f>IF(OR(Tabela2[[#This Row],[MTRANS]]="Walking",Tabela2[[#This Row],[MTRANS]]="Bike"),Tabela2[[#This Row],[FAF_atividade_fisica_frequente_em_horas]]+1,M1398)</f>
        <v>1.7516560000000001</v>
      </c>
      <c r="V1398">
        <f>(Tabela2[[#This Row],[SMOKE]]+Tabela2[[#This Row],[CALC_bebe_alcool_frequentemente]])</f>
        <v>0</v>
      </c>
      <c r="W1398" s="8">
        <f>(Tabela2[[#This Row],[Weight]]/(Tabela2[[#This Row],[Height]] ^2))</f>
        <v>32.333128741965112</v>
      </c>
    </row>
    <row r="1399" spans="1:23" x14ac:dyDescent="0.25">
      <c r="A1399" t="s">
        <v>13</v>
      </c>
      <c r="B1399" s="7">
        <v>22.877949999999998</v>
      </c>
      <c r="C1399" s="4">
        <v>1.66913</v>
      </c>
      <c r="D1399" s="7">
        <v>86.002735999999999</v>
      </c>
      <c r="E1399">
        <v>1</v>
      </c>
      <c r="F1399">
        <v>1</v>
      </c>
      <c r="G1399" s="2">
        <v>2.290095</v>
      </c>
      <c r="H1399" s="2">
        <v>2.5902829999999999</v>
      </c>
      <c r="I1399">
        <v>1</v>
      </c>
      <c r="J1399">
        <v>0</v>
      </c>
      <c r="K1399" s="2">
        <v>2.5062959999999999</v>
      </c>
      <c r="L1399">
        <v>0</v>
      </c>
      <c r="M1399" s="7">
        <v>0.31225399999999998</v>
      </c>
      <c r="N1399" s="7">
        <v>1</v>
      </c>
      <c r="O1399">
        <v>0</v>
      </c>
      <c r="P1399" t="s">
        <v>14</v>
      </c>
      <c r="Q1399">
        <v>4</v>
      </c>
      <c r="R1399" s="8">
        <f>(Tabela2[[#This Row],[FAF_atividade_fisica_frequente_em_horas]]+ 0.1)</f>
        <v>0.41225400000000001</v>
      </c>
      <c r="S1399" s="1">
        <f>(Tabela2[[#This Row],[TUE_tempo_uso_aparelhos_em_horas]]/Tabela2[[#This Row],[FAF_Var]])</f>
        <v>2.425689016965269</v>
      </c>
      <c r="T1399">
        <f>(Tabela2[[#This Row],[CAEC_lanche_entre_refeicoes]]*Tabela2[[#This Row],[FAVC_consumo_frequente_de_alimentos_mt_caloricos]])</f>
        <v>1</v>
      </c>
      <c r="U1399" s="1">
        <f>IF(OR(Tabela2[[#This Row],[MTRANS]]="Walking",Tabela2[[#This Row],[MTRANS]]="Bike"),Tabela2[[#This Row],[FAF_atividade_fisica_frequente_em_horas]]+1,M1399)</f>
        <v>0.31225399999999998</v>
      </c>
      <c r="V1399">
        <f>(Tabela2[[#This Row],[SMOKE]]+Tabela2[[#This Row],[CALC_bebe_alcool_frequentemente]])</f>
        <v>0</v>
      </c>
      <c r="W1399" s="8">
        <f>(Tabela2[[#This Row],[Weight]]/(Tabela2[[#This Row],[Height]] ^2))</f>
        <v>30.869666790673577</v>
      </c>
    </row>
    <row r="1400" spans="1:23" x14ac:dyDescent="0.25">
      <c r="A1400" t="s">
        <v>13</v>
      </c>
      <c r="B1400" s="7">
        <v>22.847618000000001</v>
      </c>
      <c r="C1400" s="4">
        <v>1.669136</v>
      </c>
      <c r="D1400" s="7">
        <v>85.568385000000006</v>
      </c>
      <c r="E1400">
        <v>1</v>
      </c>
      <c r="F1400">
        <v>1</v>
      </c>
      <c r="G1400" s="2">
        <v>2.074843</v>
      </c>
      <c r="H1400" s="2">
        <v>1.773916</v>
      </c>
      <c r="I1400">
        <v>1</v>
      </c>
      <c r="J1400">
        <v>0</v>
      </c>
      <c r="K1400" s="2">
        <v>2.4282710000000001</v>
      </c>
      <c r="L1400">
        <v>0</v>
      </c>
      <c r="M1400" s="7">
        <v>3.5090999999999997E-2</v>
      </c>
      <c r="N1400" s="7">
        <v>1</v>
      </c>
      <c r="O1400">
        <v>0</v>
      </c>
      <c r="P1400" t="s">
        <v>14</v>
      </c>
      <c r="Q1400">
        <v>4</v>
      </c>
      <c r="R1400" s="8">
        <f>(Tabela2[[#This Row],[FAF_atividade_fisica_frequente_em_horas]]+ 0.1)</f>
        <v>0.13509100000000002</v>
      </c>
      <c r="S1400" s="1">
        <f>(Tabela2[[#This Row],[TUE_tempo_uso_aparelhos_em_horas]]/Tabela2[[#This Row],[FAF_Var]])</f>
        <v>7.4024176295978261</v>
      </c>
      <c r="T1400">
        <f>(Tabela2[[#This Row],[CAEC_lanche_entre_refeicoes]]*Tabela2[[#This Row],[FAVC_consumo_frequente_de_alimentos_mt_caloricos]])</f>
        <v>1</v>
      </c>
      <c r="U1400" s="1">
        <f>IF(OR(Tabela2[[#This Row],[MTRANS]]="Walking",Tabela2[[#This Row],[MTRANS]]="Bike"),Tabela2[[#This Row],[FAF_atividade_fisica_frequente_em_horas]]+1,M1400)</f>
        <v>3.5090999999999997E-2</v>
      </c>
      <c r="V1400">
        <f>(Tabela2[[#This Row],[SMOKE]]+Tabela2[[#This Row],[CALC_bebe_alcool_frequentemente]])</f>
        <v>0</v>
      </c>
      <c r="W1400" s="8">
        <f>(Tabela2[[#This Row],[Weight]]/(Tabela2[[#This Row],[Height]] ^2))</f>
        <v>30.713540815378117</v>
      </c>
    </row>
    <row r="1401" spans="1:23" x14ac:dyDescent="0.25">
      <c r="A1401" t="s">
        <v>13</v>
      </c>
      <c r="B1401" s="7">
        <v>23</v>
      </c>
      <c r="C1401" s="4">
        <v>1.6110580000000001</v>
      </c>
      <c r="D1401" s="7">
        <v>84.191125</v>
      </c>
      <c r="E1401">
        <v>1</v>
      </c>
      <c r="F1401">
        <v>1</v>
      </c>
      <c r="G1401" s="2">
        <v>2.1412800000000001</v>
      </c>
      <c r="H1401" s="2">
        <v>2.989112</v>
      </c>
      <c r="I1401">
        <v>1</v>
      </c>
      <c r="J1401">
        <v>0</v>
      </c>
      <c r="K1401" s="2">
        <v>2.519841</v>
      </c>
      <c r="L1401">
        <v>0</v>
      </c>
      <c r="M1401" s="7">
        <v>2.11137</v>
      </c>
      <c r="N1401" s="7">
        <v>1.3483E-2</v>
      </c>
      <c r="O1401">
        <v>0</v>
      </c>
      <c r="P1401" t="s">
        <v>14</v>
      </c>
      <c r="Q1401">
        <v>4</v>
      </c>
      <c r="R1401" s="8">
        <f>(Tabela2[[#This Row],[FAF_atividade_fisica_frequente_em_horas]]+ 0.1)</f>
        <v>2.2113700000000001</v>
      </c>
      <c r="S1401" s="1">
        <f>(Tabela2[[#This Row],[TUE_tempo_uso_aparelhos_em_horas]]/Tabela2[[#This Row],[FAF_Var]])</f>
        <v>6.0971253114585075E-3</v>
      </c>
      <c r="T1401">
        <f>(Tabela2[[#This Row],[CAEC_lanche_entre_refeicoes]]*Tabela2[[#This Row],[FAVC_consumo_frequente_de_alimentos_mt_caloricos]])</f>
        <v>1</v>
      </c>
      <c r="U1401" s="1">
        <f>IF(OR(Tabela2[[#This Row],[MTRANS]]="Walking",Tabela2[[#This Row],[MTRANS]]="Bike"),Tabela2[[#This Row],[FAF_atividade_fisica_frequente_em_horas]]+1,M1401)</f>
        <v>2.11137</v>
      </c>
      <c r="V1401">
        <f>(Tabela2[[#This Row],[SMOKE]]+Tabela2[[#This Row],[CALC_bebe_alcool_frequentemente]])</f>
        <v>0</v>
      </c>
      <c r="W1401" s="8">
        <f>(Tabela2[[#This Row],[Weight]]/(Tabela2[[#This Row],[Height]] ^2))</f>
        <v>32.437245006796154</v>
      </c>
    </row>
    <row r="1402" spans="1:23" x14ac:dyDescent="0.25">
      <c r="A1402" t="s">
        <v>13</v>
      </c>
      <c r="B1402" s="7">
        <v>23</v>
      </c>
      <c r="C1402" s="4">
        <v>1.6497360000000001</v>
      </c>
      <c r="D1402" s="7">
        <v>84.134711999999993</v>
      </c>
      <c r="E1402">
        <v>1</v>
      </c>
      <c r="F1402">
        <v>1</v>
      </c>
      <c r="G1402" s="2">
        <v>2.3344740000000002</v>
      </c>
      <c r="H1402" s="2">
        <v>1.4967760000000001</v>
      </c>
      <c r="I1402">
        <v>1</v>
      </c>
      <c r="J1402">
        <v>0</v>
      </c>
      <c r="K1402" s="2">
        <v>2.7767240000000002</v>
      </c>
      <c r="L1402">
        <v>0</v>
      </c>
      <c r="M1402" s="7">
        <v>0.782416</v>
      </c>
      <c r="N1402" s="7">
        <v>0.16772799999999999</v>
      </c>
      <c r="O1402">
        <v>0</v>
      </c>
      <c r="P1402" t="s">
        <v>14</v>
      </c>
      <c r="Q1402">
        <v>4</v>
      </c>
      <c r="R1402" s="8">
        <f>(Tabela2[[#This Row],[FAF_atividade_fisica_frequente_em_horas]]+ 0.1)</f>
        <v>0.88241599999999998</v>
      </c>
      <c r="S1402" s="1">
        <f>(Tabela2[[#This Row],[TUE_tempo_uso_aparelhos_em_horas]]/Tabela2[[#This Row],[FAF_Var]])</f>
        <v>0.1900781490816123</v>
      </c>
      <c r="T1402">
        <f>(Tabela2[[#This Row],[CAEC_lanche_entre_refeicoes]]*Tabela2[[#This Row],[FAVC_consumo_frequente_de_alimentos_mt_caloricos]])</f>
        <v>1</v>
      </c>
      <c r="U1402" s="1">
        <f>IF(OR(Tabela2[[#This Row],[MTRANS]]="Walking",Tabela2[[#This Row],[MTRANS]]="Bike"),Tabela2[[#This Row],[FAF_atividade_fisica_frequente_em_horas]]+1,M1402)</f>
        <v>0.782416</v>
      </c>
      <c r="V1402">
        <f>(Tabela2[[#This Row],[SMOKE]]+Tabela2[[#This Row],[CALC_bebe_alcool_frequentemente]])</f>
        <v>0</v>
      </c>
      <c r="W1402" s="8">
        <f>(Tabela2[[#This Row],[Weight]]/(Tabela2[[#This Row],[Height]] ^2))</f>
        <v>30.913366968141268</v>
      </c>
    </row>
    <row r="1403" spans="1:23" x14ac:dyDescent="0.25">
      <c r="A1403" t="s">
        <v>13</v>
      </c>
      <c r="B1403" s="7">
        <v>39.129291000000002</v>
      </c>
      <c r="C1403" s="4">
        <v>1.532643</v>
      </c>
      <c r="D1403" s="7">
        <v>77.550344999999993</v>
      </c>
      <c r="E1403">
        <v>1</v>
      </c>
      <c r="F1403">
        <v>1</v>
      </c>
      <c r="G1403" s="2">
        <v>2</v>
      </c>
      <c r="H1403" s="2">
        <v>3</v>
      </c>
      <c r="I1403">
        <v>1</v>
      </c>
      <c r="J1403">
        <v>0</v>
      </c>
      <c r="K1403" s="2">
        <v>1.1869959999999999</v>
      </c>
      <c r="L1403">
        <v>0</v>
      </c>
      <c r="M1403" s="7">
        <v>0</v>
      </c>
      <c r="N1403" s="7">
        <v>0</v>
      </c>
      <c r="O1403">
        <v>1</v>
      </c>
      <c r="P1403" t="s">
        <v>17</v>
      </c>
      <c r="Q1403">
        <v>4</v>
      </c>
      <c r="R1403" s="8">
        <f>(Tabela2[[#This Row],[FAF_atividade_fisica_frequente_em_horas]]+ 0.1)</f>
        <v>0.1</v>
      </c>
      <c r="S1403" s="1">
        <f>(Tabela2[[#This Row],[TUE_tempo_uso_aparelhos_em_horas]]/Tabela2[[#This Row],[FAF_Var]])</f>
        <v>0</v>
      </c>
      <c r="T1403">
        <f>(Tabela2[[#This Row],[CAEC_lanche_entre_refeicoes]]*Tabela2[[#This Row],[FAVC_consumo_frequente_de_alimentos_mt_caloricos]])</f>
        <v>1</v>
      </c>
      <c r="U1403" s="1">
        <f>IF(OR(Tabela2[[#This Row],[MTRANS]]="Walking",Tabela2[[#This Row],[MTRANS]]="Bike"),Tabela2[[#This Row],[FAF_atividade_fisica_frequente_em_horas]]+1,M1403)</f>
        <v>0</v>
      </c>
      <c r="V1403">
        <f>(Tabela2[[#This Row],[SMOKE]]+Tabela2[[#This Row],[CALC_bebe_alcool_frequentemente]])</f>
        <v>1</v>
      </c>
      <c r="W1403" s="8">
        <f>(Tabela2[[#This Row],[Weight]]/(Tabela2[[#This Row],[Height]] ^2))</f>
        <v>33.014271782777236</v>
      </c>
    </row>
    <row r="1404" spans="1:23" x14ac:dyDescent="0.25">
      <c r="A1404" t="s">
        <v>13</v>
      </c>
      <c r="B1404" s="7">
        <v>37.441043999999998</v>
      </c>
      <c r="C1404" s="4">
        <v>1.5242929999999999</v>
      </c>
      <c r="D1404" s="7">
        <v>76.202760999999995</v>
      </c>
      <c r="E1404">
        <v>1</v>
      </c>
      <c r="F1404">
        <v>1</v>
      </c>
      <c r="G1404" s="2">
        <v>2</v>
      </c>
      <c r="H1404" s="2">
        <v>2.994046</v>
      </c>
      <c r="I1404">
        <v>1</v>
      </c>
      <c r="J1404">
        <v>0</v>
      </c>
      <c r="K1404" s="2">
        <v>1.6035489999999999</v>
      </c>
      <c r="L1404">
        <v>0</v>
      </c>
      <c r="M1404" s="7">
        <v>1.3358570000000001</v>
      </c>
      <c r="N1404" s="7">
        <v>0</v>
      </c>
      <c r="O1404">
        <v>1</v>
      </c>
      <c r="P1404" t="s">
        <v>17</v>
      </c>
      <c r="Q1404">
        <v>4</v>
      </c>
      <c r="R1404" s="8">
        <f>(Tabela2[[#This Row],[FAF_atividade_fisica_frequente_em_horas]]+ 0.1)</f>
        <v>1.4358570000000002</v>
      </c>
      <c r="S1404" s="1">
        <f>(Tabela2[[#This Row],[TUE_tempo_uso_aparelhos_em_horas]]/Tabela2[[#This Row],[FAF_Var]])</f>
        <v>0</v>
      </c>
      <c r="T1404">
        <f>(Tabela2[[#This Row],[CAEC_lanche_entre_refeicoes]]*Tabela2[[#This Row],[FAVC_consumo_frequente_de_alimentos_mt_caloricos]])</f>
        <v>1</v>
      </c>
      <c r="U1404" s="1">
        <f>IF(OR(Tabela2[[#This Row],[MTRANS]]="Walking",Tabela2[[#This Row],[MTRANS]]="Bike"),Tabela2[[#This Row],[FAF_atividade_fisica_frequente_em_horas]]+1,M1404)</f>
        <v>1.3358570000000001</v>
      </c>
      <c r="V1404">
        <f>(Tabela2[[#This Row],[SMOKE]]+Tabela2[[#This Row],[CALC_bebe_alcool_frequentemente]])</f>
        <v>1</v>
      </c>
      <c r="W1404" s="8">
        <f>(Tabela2[[#This Row],[Weight]]/(Tabela2[[#This Row],[Height]] ^2))</f>
        <v>32.796975593565485</v>
      </c>
    </row>
    <row r="1405" spans="1:23" x14ac:dyDescent="0.25">
      <c r="A1405" t="s">
        <v>15</v>
      </c>
      <c r="B1405" s="7">
        <v>22.969366000000001</v>
      </c>
      <c r="C1405" s="4">
        <v>1.7016340000000001</v>
      </c>
      <c r="D1405" s="7">
        <v>95</v>
      </c>
      <c r="E1405">
        <v>1</v>
      </c>
      <c r="F1405">
        <v>1</v>
      </c>
      <c r="G1405" s="2">
        <v>2</v>
      </c>
      <c r="H1405" s="2">
        <v>3</v>
      </c>
      <c r="I1405">
        <v>1</v>
      </c>
      <c r="J1405">
        <v>0</v>
      </c>
      <c r="K1405" s="2">
        <v>2.1334689999999998</v>
      </c>
      <c r="L1405">
        <v>0</v>
      </c>
      <c r="M1405" s="7">
        <v>1.0301990000000001</v>
      </c>
      <c r="N1405" s="7">
        <v>1.082838</v>
      </c>
      <c r="O1405">
        <v>0</v>
      </c>
      <c r="P1405" t="s">
        <v>14</v>
      </c>
      <c r="Q1405">
        <v>4</v>
      </c>
      <c r="R1405" s="8">
        <f>(Tabela2[[#This Row],[FAF_atividade_fisica_frequente_em_horas]]+ 0.1)</f>
        <v>1.1301990000000002</v>
      </c>
      <c r="S1405" s="1">
        <f>(Tabela2[[#This Row],[TUE_tempo_uso_aparelhos_em_horas]]/Tabela2[[#This Row],[FAF_Var]])</f>
        <v>0.95809499035125656</v>
      </c>
      <c r="T1405">
        <f>(Tabela2[[#This Row],[CAEC_lanche_entre_refeicoes]]*Tabela2[[#This Row],[FAVC_consumo_frequente_de_alimentos_mt_caloricos]])</f>
        <v>1</v>
      </c>
      <c r="U1405" s="1">
        <f>IF(OR(Tabela2[[#This Row],[MTRANS]]="Walking",Tabela2[[#This Row],[MTRANS]]="Bike"),Tabela2[[#This Row],[FAF_atividade_fisica_frequente_em_horas]]+1,M1405)</f>
        <v>1.0301990000000001</v>
      </c>
      <c r="V1405">
        <f>(Tabela2[[#This Row],[SMOKE]]+Tabela2[[#This Row],[CALC_bebe_alcool_frequentemente]])</f>
        <v>0</v>
      </c>
      <c r="W1405" s="8">
        <f>(Tabela2[[#This Row],[Weight]]/(Tabela2[[#This Row],[Height]] ^2))</f>
        <v>32.808871776372015</v>
      </c>
    </row>
    <row r="1406" spans="1:23" x14ac:dyDescent="0.25">
      <c r="A1406" t="s">
        <v>15</v>
      </c>
      <c r="B1406" s="7">
        <v>22.735327999999999</v>
      </c>
      <c r="C1406" s="4">
        <v>1.723921</v>
      </c>
      <c r="D1406" s="7">
        <v>94.743892000000002</v>
      </c>
      <c r="E1406">
        <v>1</v>
      </c>
      <c r="F1406">
        <v>1</v>
      </c>
      <c r="G1406" s="2">
        <v>2</v>
      </c>
      <c r="H1406" s="2">
        <v>3</v>
      </c>
      <c r="I1406">
        <v>1</v>
      </c>
      <c r="J1406">
        <v>0</v>
      </c>
      <c r="K1406" s="2">
        <v>2.1831489999999998</v>
      </c>
      <c r="L1406">
        <v>0</v>
      </c>
      <c r="M1406" s="7">
        <v>1.9323859999999999</v>
      </c>
      <c r="N1406" s="7">
        <v>0.21276700000000001</v>
      </c>
      <c r="O1406">
        <v>0</v>
      </c>
      <c r="P1406" t="s">
        <v>14</v>
      </c>
      <c r="Q1406">
        <v>4</v>
      </c>
      <c r="R1406" s="8">
        <f>(Tabela2[[#This Row],[FAF_atividade_fisica_frequente_em_horas]]+ 0.1)</f>
        <v>2.0323859999999998</v>
      </c>
      <c r="S1406" s="1">
        <f>(Tabela2[[#This Row],[TUE_tempo_uso_aparelhos_em_horas]]/Tabela2[[#This Row],[FAF_Var]])</f>
        <v>0.10468828263922307</v>
      </c>
      <c r="T1406">
        <f>(Tabela2[[#This Row],[CAEC_lanche_entre_refeicoes]]*Tabela2[[#This Row],[FAVC_consumo_frequente_de_alimentos_mt_caloricos]])</f>
        <v>1</v>
      </c>
      <c r="U1406" s="1">
        <f>IF(OR(Tabela2[[#This Row],[MTRANS]]="Walking",Tabela2[[#This Row],[MTRANS]]="Bike"),Tabela2[[#This Row],[FAF_atividade_fisica_frequente_em_horas]]+1,M1406)</f>
        <v>1.9323859999999999</v>
      </c>
      <c r="V1406">
        <f>(Tabela2[[#This Row],[SMOKE]]+Tabela2[[#This Row],[CALC_bebe_alcool_frequentemente]])</f>
        <v>0</v>
      </c>
      <c r="W1406" s="8">
        <f>(Tabela2[[#This Row],[Weight]]/(Tabela2[[#This Row],[Height]] ^2))</f>
        <v>31.879867013855637</v>
      </c>
    </row>
    <row r="1407" spans="1:23" x14ac:dyDescent="0.25">
      <c r="A1407" t="s">
        <v>15</v>
      </c>
      <c r="B1407" s="7">
        <v>23.32471</v>
      </c>
      <c r="C1407" s="4">
        <v>1.7694840000000001</v>
      </c>
      <c r="D1407" s="7">
        <v>96.078462000000002</v>
      </c>
      <c r="E1407">
        <v>1</v>
      </c>
      <c r="F1407">
        <v>1</v>
      </c>
      <c r="G1407" s="2">
        <v>2</v>
      </c>
      <c r="H1407" s="2">
        <v>3</v>
      </c>
      <c r="I1407">
        <v>1</v>
      </c>
      <c r="J1407">
        <v>0</v>
      </c>
      <c r="K1407" s="2">
        <v>3</v>
      </c>
      <c r="L1407">
        <v>0</v>
      </c>
      <c r="M1407" s="7">
        <v>3</v>
      </c>
      <c r="N1407" s="7">
        <v>2</v>
      </c>
      <c r="O1407">
        <v>0</v>
      </c>
      <c r="P1407" t="s">
        <v>14</v>
      </c>
      <c r="Q1407">
        <v>4</v>
      </c>
      <c r="R1407" s="8">
        <f>(Tabela2[[#This Row],[FAF_atividade_fisica_frequente_em_horas]]+ 0.1)</f>
        <v>3.1</v>
      </c>
      <c r="S1407" s="1">
        <f>(Tabela2[[#This Row],[TUE_tempo_uso_aparelhos_em_horas]]/Tabela2[[#This Row],[FAF_Var]])</f>
        <v>0.64516129032258063</v>
      </c>
      <c r="T1407">
        <f>(Tabela2[[#This Row],[CAEC_lanche_entre_refeicoes]]*Tabela2[[#This Row],[FAVC_consumo_frequente_de_alimentos_mt_caloricos]])</f>
        <v>1</v>
      </c>
      <c r="U1407" s="1">
        <f>IF(OR(Tabela2[[#This Row],[MTRANS]]="Walking",Tabela2[[#This Row],[MTRANS]]="Bike"),Tabela2[[#This Row],[FAF_atividade_fisica_frequente_em_horas]]+1,M1407)</f>
        <v>3</v>
      </c>
      <c r="V1407">
        <f>(Tabela2[[#This Row],[SMOKE]]+Tabela2[[#This Row],[CALC_bebe_alcool_frequentemente]])</f>
        <v>0</v>
      </c>
      <c r="W1407" s="8">
        <f>(Tabela2[[#This Row],[Weight]]/(Tabela2[[#This Row],[Height]] ^2))</f>
        <v>30.685468777968786</v>
      </c>
    </row>
    <row r="1408" spans="1:23" x14ac:dyDescent="0.25">
      <c r="A1408" t="s">
        <v>15</v>
      </c>
      <c r="B1408" s="7">
        <v>23.668137000000002</v>
      </c>
      <c r="C1408" s="4">
        <v>1.7774160000000001</v>
      </c>
      <c r="D1408" s="7">
        <v>97.842405999999997</v>
      </c>
      <c r="E1408">
        <v>1</v>
      </c>
      <c r="F1408">
        <v>1</v>
      </c>
      <c r="G1408" s="2">
        <v>2</v>
      </c>
      <c r="H1408" s="2">
        <v>3</v>
      </c>
      <c r="I1408">
        <v>1</v>
      </c>
      <c r="J1408">
        <v>0</v>
      </c>
      <c r="K1408" s="2">
        <v>3</v>
      </c>
      <c r="L1408">
        <v>0</v>
      </c>
      <c r="M1408" s="7">
        <v>3</v>
      </c>
      <c r="N1408" s="7">
        <v>2</v>
      </c>
      <c r="O1408">
        <v>0</v>
      </c>
      <c r="P1408" t="s">
        <v>14</v>
      </c>
      <c r="Q1408">
        <v>4</v>
      </c>
      <c r="R1408" s="8">
        <f>(Tabela2[[#This Row],[FAF_atividade_fisica_frequente_em_horas]]+ 0.1)</f>
        <v>3.1</v>
      </c>
      <c r="S1408" s="1">
        <f>(Tabela2[[#This Row],[TUE_tempo_uso_aparelhos_em_horas]]/Tabela2[[#This Row],[FAF_Var]])</f>
        <v>0.64516129032258063</v>
      </c>
      <c r="T1408">
        <f>(Tabela2[[#This Row],[CAEC_lanche_entre_refeicoes]]*Tabela2[[#This Row],[FAVC_consumo_frequente_de_alimentos_mt_caloricos]])</f>
        <v>1</v>
      </c>
      <c r="U1408" s="1">
        <f>IF(OR(Tabela2[[#This Row],[MTRANS]]="Walking",Tabela2[[#This Row],[MTRANS]]="Bike"),Tabela2[[#This Row],[FAF_atividade_fisica_frequente_em_horas]]+1,M1408)</f>
        <v>3</v>
      </c>
      <c r="V1408">
        <f>(Tabela2[[#This Row],[SMOKE]]+Tabela2[[#This Row],[CALC_bebe_alcool_frequentemente]])</f>
        <v>0</v>
      </c>
      <c r="W1408" s="8">
        <f>(Tabela2[[#This Row],[Weight]]/(Tabela2[[#This Row],[Height]] ^2))</f>
        <v>30.970552505747072</v>
      </c>
    </row>
    <row r="1409" spans="1:23" x14ac:dyDescent="0.25">
      <c r="A1409" t="s">
        <v>13</v>
      </c>
      <c r="B1409" s="7">
        <v>21.895468000000001</v>
      </c>
      <c r="C1409" s="4">
        <v>1.64456</v>
      </c>
      <c r="D1409" s="7">
        <v>88.119139000000004</v>
      </c>
      <c r="E1409">
        <v>1</v>
      </c>
      <c r="F1409">
        <v>1</v>
      </c>
      <c r="G1409" s="2">
        <v>2.6938589999999998</v>
      </c>
      <c r="H1409" s="2">
        <v>1.000283</v>
      </c>
      <c r="I1409">
        <v>1</v>
      </c>
      <c r="J1409">
        <v>0</v>
      </c>
      <c r="K1409" s="2">
        <v>3</v>
      </c>
      <c r="L1409">
        <v>0</v>
      </c>
      <c r="M1409" s="7">
        <v>1.201403</v>
      </c>
      <c r="N1409" s="7">
        <v>1.6124320000000001</v>
      </c>
      <c r="O1409">
        <v>0</v>
      </c>
      <c r="P1409" t="s">
        <v>14</v>
      </c>
      <c r="Q1409">
        <v>4</v>
      </c>
      <c r="R1409" s="8">
        <f>(Tabela2[[#This Row],[FAF_atividade_fisica_frequente_em_horas]]+ 0.1)</f>
        <v>1.3014030000000001</v>
      </c>
      <c r="S1409" s="1">
        <f>(Tabela2[[#This Row],[TUE_tempo_uso_aparelhos_em_horas]]/Tabela2[[#This Row],[FAF_Var]])</f>
        <v>1.2389951460078086</v>
      </c>
      <c r="T1409">
        <f>(Tabela2[[#This Row],[CAEC_lanche_entre_refeicoes]]*Tabela2[[#This Row],[FAVC_consumo_frequente_de_alimentos_mt_caloricos]])</f>
        <v>1</v>
      </c>
      <c r="U1409" s="1">
        <f>IF(OR(Tabela2[[#This Row],[MTRANS]]="Walking",Tabela2[[#This Row],[MTRANS]]="Bike"),Tabela2[[#This Row],[FAF_atividade_fisica_frequente_em_horas]]+1,M1409)</f>
        <v>1.201403</v>
      </c>
      <c r="V1409">
        <f>(Tabela2[[#This Row],[SMOKE]]+Tabela2[[#This Row],[CALC_bebe_alcool_frequentemente]])</f>
        <v>0</v>
      </c>
      <c r="W1409" s="8">
        <f>(Tabela2[[#This Row],[Weight]]/(Tabela2[[#This Row],[Height]] ^2))</f>
        <v>32.581479343954285</v>
      </c>
    </row>
    <row r="1410" spans="1:23" x14ac:dyDescent="0.25">
      <c r="A1410" t="s">
        <v>13</v>
      </c>
      <c r="B1410" s="7">
        <v>21.392800000000001</v>
      </c>
      <c r="C1410" s="4">
        <v>1.641149</v>
      </c>
      <c r="D1410" s="7">
        <v>88.079177000000001</v>
      </c>
      <c r="E1410">
        <v>1</v>
      </c>
      <c r="F1410">
        <v>1</v>
      </c>
      <c r="G1410" s="2">
        <v>2.6077469999999998</v>
      </c>
      <c r="H1410" s="2">
        <v>1.0004139999999999</v>
      </c>
      <c r="I1410">
        <v>1</v>
      </c>
      <c r="J1410">
        <v>0</v>
      </c>
      <c r="K1410" s="2">
        <v>3</v>
      </c>
      <c r="L1410">
        <v>0</v>
      </c>
      <c r="M1410" s="7">
        <v>1.269169</v>
      </c>
      <c r="N1410" s="7">
        <v>1.460564</v>
      </c>
      <c r="O1410">
        <v>0</v>
      </c>
      <c r="P1410" t="s">
        <v>14</v>
      </c>
      <c r="Q1410">
        <v>4</v>
      </c>
      <c r="R1410" s="8">
        <f>(Tabela2[[#This Row],[FAF_atividade_fisica_frequente_em_horas]]+ 0.1)</f>
        <v>1.3691690000000001</v>
      </c>
      <c r="S1410" s="1">
        <f>(Tabela2[[#This Row],[TUE_tempo_uso_aparelhos_em_horas]]/Tabela2[[#This Row],[FAF_Var]])</f>
        <v>1.0667521686512036</v>
      </c>
      <c r="T1410">
        <f>(Tabela2[[#This Row],[CAEC_lanche_entre_refeicoes]]*Tabela2[[#This Row],[FAVC_consumo_frequente_de_alimentos_mt_caloricos]])</f>
        <v>1</v>
      </c>
      <c r="U1410" s="1">
        <f>IF(OR(Tabela2[[#This Row],[MTRANS]]="Walking",Tabela2[[#This Row],[MTRANS]]="Bike"),Tabela2[[#This Row],[FAF_atividade_fisica_frequente_em_horas]]+1,M1410)</f>
        <v>1.269169</v>
      </c>
      <c r="V1410">
        <f>(Tabela2[[#This Row],[SMOKE]]+Tabela2[[#This Row],[CALC_bebe_alcool_frequentemente]])</f>
        <v>0</v>
      </c>
      <c r="W1410" s="8">
        <f>(Tabela2[[#This Row],[Weight]]/(Tabela2[[#This Row],[Height]] ^2))</f>
        <v>32.702219036128753</v>
      </c>
    </row>
    <row r="1411" spans="1:23" x14ac:dyDescent="0.25">
      <c r="A1411" t="s">
        <v>13</v>
      </c>
      <c r="B1411" s="7">
        <v>18.178076000000001</v>
      </c>
      <c r="C1411" s="4">
        <v>1.642892</v>
      </c>
      <c r="D1411" s="7">
        <v>82.144405000000006</v>
      </c>
      <c r="E1411">
        <v>1</v>
      </c>
      <c r="F1411">
        <v>1</v>
      </c>
      <c r="G1411" s="2">
        <v>2.6688900000000002</v>
      </c>
      <c r="H1411" s="2">
        <v>3</v>
      </c>
      <c r="I1411">
        <v>1</v>
      </c>
      <c r="J1411">
        <v>0</v>
      </c>
      <c r="K1411" s="2">
        <v>1.172593</v>
      </c>
      <c r="L1411">
        <v>0</v>
      </c>
      <c r="M1411" s="7">
        <v>0.88644800000000001</v>
      </c>
      <c r="N1411" s="7">
        <v>1.252677</v>
      </c>
      <c r="O1411">
        <v>0</v>
      </c>
      <c r="P1411" t="s">
        <v>14</v>
      </c>
      <c r="Q1411">
        <v>4</v>
      </c>
      <c r="R1411" s="8">
        <f>(Tabela2[[#This Row],[FAF_atividade_fisica_frequente_em_horas]]+ 0.1)</f>
        <v>0.98644799999999999</v>
      </c>
      <c r="S1411" s="1">
        <f>(Tabela2[[#This Row],[TUE_tempo_uso_aparelhos_em_horas]]/Tabela2[[#This Row],[FAF_Var]])</f>
        <v>1.2698865018733883</v>
      </c>
      <c r="T1411">
        <f>(Tabela2[[#This Row],[CAEC_lanche_entre_refeicoes]]*Tabela2[[#This Row],[FAVC_consumo_frequente_de_alimentos_mt_caloricos]])</f>
        <v>1</v>
      </c>
      <c r="U1411" s="1">
        <f>IF(OR(Tabela2[[#This Row],[MTRANS]]="Walking",Tabela2[[#This Row],[MTRANS]]="Bike"),Tabela2[[#This Row],[FAF_atividade_fisica_frequente_em_horas]]+1,M1411)</f>
        <v>0.88644800000000001</v>
      </c>
      <c r="V1411">
        <f>(Tabela2[[#This Row],[SMOKE]]+Tabela2[[#This Row],[CALC_bebe_alcool_frequentemente]])</f>
        <v>0</v>
      </c>
      <c r="W1411" s="8">
        <f>(Tabela2[[#This Row],[Weight]]/(Tabela2[[#This Row],[Height]] ^2))</f>
        <v>30.434064629242936</v>
      </c>
    </row>
    <row r="1412" spans="1:23" x14ac:dyDescent="0.25">
      <c r="A1412" t="s">
        <v>13</v>
      </c>
      <c r="B1412" s="7">
        <v>18.907513999999999</v>
      </c>
      <c r="C1412" s="4">
        <v>1.65</v>
      </c>
      <c r="D1412" s="7">
        <v>82.01831</v>
      </c>
      <c r="E1412">
        <v>1</v>
      </c>
      <c r="F1412">
        <v>1</v>
      </c>
      <c r="G1412" s="2">
        <v>3</v>
      </c>
      <c r="H1412" s="2">
        <v>3</v>
      </c>
      <c r="I1412">
        <v>1</v>
      </c>
      <c r="J1412">
        <v>0</v>
      </c>
      <c r="K1412" s="2">
        <v>1</v>
      </c>
      <c r="L1412">
        <v>0</v>
      </c>
      <c r="M1412" s="7">
        <v>0.21518699999999999</v>
      </c>
      <c r="N1412" s="7">
        <v>1.195929</v>
      </c>
      <c r="O1412">
        <v>0</v>
      </c>
      <c r="P1412" t="s">
        <v>14</v>
      </c>
      <c r="Q1412">
        <v>4</v>
      </c>
      <c r="R1412" s="8">
        <f>(Tabela2[[#This Row],[FAF_atividade_fisica_frequente_em_horas]]+ 0.1)</f>
        <v>0.31518699999999999</v>
      </c>
      <c r="S1412" s="1">
        <f>(Tabela2[[#This Row],[TUE_tempo_uso_aparelhos_em_horas]]/Tabela2[[#This Row],[FAF_Var]])</f>
        <v>3.7943474826055645</v>
      </c>
      <c r="T1412">
        <f>(Tabela2[[#This Row],[CAEC_lanche_entre_refeicoes]]*Tabela2[[#This Row],[FAVC_consumo_frequente_de_alimentos_mt_caloricos]])</f>
        <v>1</v>
      </c>
      <c r="U1412" s="1">
        <f>IF(OR(Tabela2[[#This Row],[MTRANS]]="Walking",Tabela2[[#This Row],[MTRANS]]="Bike"),Tabela2[[#This Row],[FAF_atividade_fisica_frequente_em_horas]]+1,M1412)</f>
        <v>0.21518699999999999</v>
      </c>
      <c r="V1412">
        <f>(Tabela2[[#This Row],[SMOKE]]+Tabela2[[#This Row],[CALC_bebe_alcool_frequentemente]])</f>
        <v>0</v>
      </c>
      <c r="W1412" s="8">
        <f>(Tabela2[[#This Row],[Weight]]/(Tabela2[[#This Row],[Height]] ^2))</f>
        <v>30.126101010101014</v>
      </c>
    </row>
    <row r="1413" spans="1:23" x14ac:dyDescent="0.25">
      <c r="A1413" t="s">
        <v>15</v>
      </c>
      <c r="B1413" s="7">
        <v>26.011928000000001</v>
      </c>
      <c r="C1413" s="4">
        <v>1.7772509999999999</v>
      </c>
      <c r="D1413" s="7">
        <v>106.452367</v>
      </c>
      <c r="E1413">
        <v>1</v>
      </c>
      <c r="F1413">
        <v>1</v>
      </c>
      <c r="G1413" s="2">
        <v>3</v>
      </c>
      <c r="H1413" s="2">
        <v>3</v>
      </c>
      <c r="I1413">
        <v>1</v>
      </c>
      <c r="J1413">
        <v>0</v>
      </c>
      <c r="K1413" s="2">
        <v>1.9113789999999999</v>
      </c>
      <c r="L1413">
        <v>0</v>
      </c>
      <c r="M1413" s="7">
        <v>1.9110959999999999</v>
      </c>
      <c r="N1413" s="7">
        <v>1.032392</v>
      </c>
      <c r="O1413">
        <v>1</v>
      </c>
      <c r="P1413" t="s">
        <v>14</v>
      </c>
      <c r="Q1413">
        <v>4</v>
      </c>
      <c r="R1413" s="8">
        <f>(Tabela2[[#This Row],[FAF_atividade_fisica_frequente_em_horas]]+ 0.1)</f>
        <v>2.0110959999999998</v>
      </c>
      <c r="S1413" s="1">
        <f>(Tabela2[[#This Row],[TUE_tempo_uso_aparelhos_em_horas]]/Tabela2[[#This Row],[FAF_Var]])</f>
        <v>0.51334794559782337</v>
      </c>
      <c r="T1413">
        <f>(Tabela2[[#This Row],[CAEC_lanche_entre_refeicoes]]*Tabela2[[#This Row],[FAVC_consumo_frequente_de_alimentos_mt_caloricos]])</f>
        <v>1</v>
      </c>
      <c r="U1413" s="1">
        <f>IF(OR(Tabela2[[#This Row],[MTRANS]]="Walking",Tabela2[[#This Row],[MTRANS]]="Bike"),Tabela2[[#This Row],[FAF_atividade_fisica_frequente_em_horas]]+1,M1413)</f>
        <v>1.9110959999999999</v>
      </c>
      <c r="V1413">
        <f>(Tabela2[[#This Row],[SMOKE]]+Tabela2[[#This Row],[CALC_bebe_alcool_frequentemente]])</f>
        <v>1</v>
      </c>
      <c r="W1413" s="8">
        <f>(Tabela2[[#This Row],[Weight]]/(Tabela2[[#This Row],[Height]] ^2))</f>
        <v>33.702164031966198</v>
      </c>
    </row>
    <row r="1414" spans="1:23" x14ac:dyDescent="0.25">
      <c r="A1414" t="s">
        <v>15</v>
      </c>
      <c r="B1414" s="7">
        <v>25.696736000000001</v>
      </c>
      <c r="C1414" s="4">
        <v>1.8146960000000001</v>
      </c>
      <c r="D1414" s="7">
        <v>107.55963</v>
      </c>
      <c r="E1414">
        <v>1</v>
      </c>
      <c r="F1414">
        <v>1</v>
      </c>
      <c r="G1414" s="2">
        <v>2.9212250000000002</v>
      </c>
      <c r="H1414" s="2">
        <v>3</v>
      </c>
      <c r="I1414">
        <v>1</v>
      </c>
      <c r="J1414">
        <v>0</v>
      </c>
      <c r="K1414" s="2">
        <v>2.8694389999999999</v>
      </c>
      <c r="L1414">
        <v>0</v>
      </c>
      <c r="M1414" s="7">
        <v>0.181753</v>
      </c>
      <c r="N1414" s="7">
        <v>0.133523</v>
      </c>
      <c r="O1414">
        <v>1</v>
      </c>
      <c r="P1414" t="s">
        <v>14</v>
      </c>
      <c r="Q1414">
        <v>4</v>
      </c>
      <c r="R1414" s="8">
        <f>(Tabela2[[#This Row],[FAF_atividade_fisica_frequente_em_horas]]+ 0.1)</f>
        <v>0.28175300000000003</v>
      </c>
      <c r="S1414" s="1">
        <f>(Tabela2[[#This Row],[TUE_tempo_uso_aparelhos_em_horas]]/Tabela2[[#This Row],[FAF_Var]])</f>
        <v>0.47390089901438492</v>
      </c>
      <c r="T1414">
        <f>(Tabela2[[#This Row],[CAEC_lanche_entre_refeicoes]]*Tabela2[[#This Row],[FAVC_consumo_frequente_de_alimentos_mt_caloricos]])</f>
        <v>1</v>
      </c>
      <c r="U1414" s="1">
        <f>IF(OR(Tabela2[[#This Row],[MTRANS]]="Walking",Tabela2[[#This Row],[MTRANS]]="Bike"),Tabela2[[#This Row],[FAF_atividade_fisica_frequente_em_horas]]+1,M1414)</f>
        <v>0.181753</v>
      </c>
      <c r="V1414">
        <f>(Tabela2[[#This Row],[SMOKE]]+Tabela2[[#This Row],[CALC_bebe_alcool_frequentemente]])</f>
        <v>1</v>
      </c>
      <c r="W1414" s="8">
        <f>(Tabela2[[#This Row],[Weight]]/(Tabela2[[#This Row],[Height]] ^2))</f>
        <v>32.661906836645827</v>
      </c>
    </row>
    <row r="1415" spans="1:23" x14ac:dyDescent="0.25">
      <c r="A1415" t="s">
        <v>13</v>
      </c>
      <c r="B1415" s="7">
        <v>40.466313</v>
      </c>
      <c r="C1415" s="4">
        <v>1.559005</v>
      </c>
      <c r="D1415" s="7">
        <v>77.601483000000002</v>
      </c>
      <c r="E1415">
        <v>1</v>
      </c>
      <c r="F1415">
        <v>1</v>
      </c>
      <c r="G1415" s="2">
        <v>2</v>
      </c>
      <c r="H1415" s="2">
        <v>3</v>
      </c>
      <c r="I1415">
        <v>1</v>
      </c>
      <c r="J1415">
        <v>0</v>
      </c>
      <c r="K1415" s="2">
        <v>1.572371</v>
      </c>
      <c r="L1415">
        <v>0</v>
      </c>
      <c r="M1415" s="7">
        <v>0</v>
      </c>
      <c r="N1415" s="7">
        <v>0</v>
      </c>
      <c r="O1415">
        <v>1</v>
      </c>
      <c r="P1415" t="s">
        <v>17</v>
      </c>
      <c r="Q1415">
        <v>4</v>
      </c>
      <c r="R1415" s="8">
        <f>(Tabela2[[#This Row],[FAF_atividade_fisica_frequente_em_horas]]+ 0.1)</f>
        <v>0.1</v>
      </c>
      <c r="S1415" s="1">
        <f>(Tabela2[[#This Row],[TUE_tempo_uso_aparelhos_em_horas]]/Tabela2[[#This Row],[FAF_Var]])</f>
        <v>0</v>
      </c>
      <c r="T1415">
        <f>(Tabela2[[#This Row],[CAEC_lanche_entre_refeicoes]]*Tabela2[[#This Row],[FAVC_consumo_frequente_de_alimentos_mt_caloricos]])</f>
        <v>1</v>
      </c>
      <c r="U1415" s="1">
        <f>IF(OR(Tabela2[[#This Row],[MTRANS]]="Walking",Tabela2[[#This Row],[MTRANS]]="Bike"),Tabela2[[#This Row],[FAF_atividade_fisica_frequente_em_horas]]+1,M1415)</f>
        <v>0</v>
      </c>
      <c r="V1415">
        <f>(Tabela2[[#This Row],[SMOKE]]+Tabela2[[#This Row],[CALC_bebe_alcool_frequentemente]])</f>
        <v>1</v>
      </c>
      <c r="W1415" s="8">
        <f>(Tabela2[[#This Row],[Weight]]/(Tabela2[[#This Row],[Height]] ^2))</f>
        <v>31.928241873896972</v>
      </c>
    </row>
    <row r="1416" spans="1:23" x14ac:dyDescent="0.25">
      <c r="A1416" t="s">
        <v>13</v>
      </c>
      <c r="B1416" s="7">
        <v>38.445148000000003</v>
      </c>
      <c r="C1416" s="4">
        <v>1.556028</v>
      </c>
      <c r="D1416" s="7">
        <v>77.684229000000002</v>
      </c>
      <c r="E1416">
        <v>1</v>
      </c>
      <c r="F1416">
        <v>1</v>
      </c>
      <c r="G1416" s="2">
        <v>2</v>
      </c>
      <c r="H1416" s="2">
        <v>3</v>
      </c>
      <c r="I1416">
        <v>1</v>
      </c>
      <c r="J1416">
        <v>0</v>
      </c>
      <c r="K1416" s="2">
        <v>1.4406289999999999</v>
      </c>
      <c r="L1416">
        <v>0</v>
      </c>
      <c r="M1416" s="7">
        <v>0</v>
      </c>
      <c r="N1416" s="7">
        <v>0</v>
      </c>
      <c r="O1416">
        <v>1</v>
      </c>
      <c r="P1416" t="s">
        <v>17</v>
      </c>
      <c r="Q1416">
        <v>4</v>
      </c>
      <c r="R1416" s="8">
        <f>(Tabela2[[#This Row],[FAF_atividade_fisica_frequente_em_horas]]+ 0.1)</f>
        <v>0.1</v>
      </c>
      <c r="S1416" s="1">
        <f>(Tabela2[[#This Row],[TUE_tempo_uso_aparelhos_em_horas]]/Tabela2[[#This Row],[FAF_Var]])</f>
        <v>0</v>
      </c>
      <c r="T1416">
        <f>(Tabela2[[#This Row],[CAEC_lanche_entre_refeicoes]]*Tabela2[[#This Row],[FAVC_consumo_frequente_de_alimentos_mt_caloricos]])</f>
        <v>1</v>
      </c>
      <c r="U1416" s="1">
        <f>IF(OR(Tabela2[[#This Row],[MTRANS]]="Walking",Tabela2[[#This Row],[MTRANS]]="Bike"),Tabela2[[#This Row],[FAF_atividade_fisica_frequente_em_horas]]+1,M1416)</f>
        <v>0</v>
      </c>
      <c r="V1416">
        <f>(Tabela2[[#This Row],[SMOKE]]+Tabela2[[#This Row],[CALC_bebe_alcool_frequentemente]])</f>
        <v>1</v>
      </c>
      <c r="W1416" s="8">
        <f>(Tabela2[[#This Row],[Weight]]/(Tabela2[[#This Row],[Height]] ^2))</f>
        <v>32.084704552751141</v>
      </c>
    </row>
    <row r="1417" spans="1:23" x14ac:dyDescent="0.25">
      <c r="A1417" t="s">
        <v>15</v>
      </c>
      <c r="B1417" s="7">
        <v>24.473061999999999</v>
      </c>
      <c r="C1417" s="4">
        <v>1.653751</v>
      </c>
      <c r="D1417" s="7">
        <v>91.204752999999997</v>
      </c>
      <c r="E1417">
        <v>1</v>
      </c>
      <c r="F1417">
        <v>1</v>
      </c>
      <c r="G1417" s="2">
        <v>1.492834</v>
      </c>
      <c r="H1417" s="2">
        <v>3</v>
      </c>
      <c r="I1417">
        <v>1</v>
      </c>
      <c r="J1417">
        <v>0</v>
      </c>
      <c r="K1417" s="2">
        <v>1.0053669999999999</v>
      </c>
      <c r="L1417">
        <v>0</v>
      </c>
      <c r="M1417" s="7">
        <v>0.92273899999999998</v>
      </c>
      <c r="N1417" s="7">
        <v>0.73322100000000001</v>
      </c>
      <c r="O1417">
        <v>0</v>
      </c>
      <c r="P1417" t="s">
        <v>17</v>
      </c>
      <c r="Q1417">
        <v>4</v>
      </c>
      <c r="R1417" s="8">
        <f>(Tabela2[[#This Row],[FAF_atividade_fisica_frequente_em_horas]]+ 0.1)</f>
        <v>1.0227390000000001</v>
      </c>
      <c r="S1417" s="1">
        <f>(Tabela2[[#This Row],[TUE_tempo_uso_aparelhos_em_horas]]/Tabela2[[#This Row],[FAF_Var]])</f>
        <v>0.71691897932903703</v>
      </c>
      <c r="T1417">
        <f>(Tabela2[[#This Row],[CAEC_lanche_entre_refeicoes]]*Tabela2[[#This Row],[FAVC_consumo_frequente_de_alimentos_mt_caloricos]])</f>
        <v>1</v>
      </c>
      <c r="U1417" s="1">
        <f>IF(OR(Tabela2[[#This Row],[MTRANS]]="Walking",Tabela2[[#This Row],[MTRANS]]="Bike"),Tabela2[[#This Row],[FAF_atividade_fisica_frequente_em_horas]]+1,M1417)</f>
        <v>0.92273899999999998</v>
      </c>
      <c r="V1417">
        <f>(Tabela2[[#This Row],[SMOKE]]+Tabela2[[#This Row],[CALC_bebe_alcool_frequentemente]])</f>
        <v>0</v>
      </c>
      <c r="W1417" s="8">
        <f>(Tabela2[[#This Row],[Weight]]/(Tabela2[[#This Row],[Height]] ^2))</f>
        <v>33.34857122730817</v>
      </c>
    </row>
    <row r="1418" spans="1:23" x14ac:dyDescent="0.25">
      <c r="A1418" t="s">
        <v>15</v>
      </c>
      <c r="B1418" s="7">
        <v>23.479181000000001</v>
      </c>
      <c r="C1418" s="4">
        <v>1.6801710000000001</v>
      </c>
      <c r="D1418" s="7">
        <v>91.068054000000004</v>
      </c>
      <c r="E1418">
        <v>1</v>
      </c>
      <c r="F1418">
        <v>1</v>
      </c>
      <c r="G1418" s="2">
        <v>1.220024</v>
      </c>
      <c r="H1418" s="2">
        <v>3</v>
      </c>
      <c r="I1418">
        <v>1</v>
      </c>
      <c r="J1418">
        <v>0</v>
      </c>
      <c r="K1418" s="2">
        <v>1.046254</v>
      </c>
      <c r="L1418">
        <v>0</v>
      </c>
      <c r="M1418" s="7">
        <v>0.52098900000000004</v>
      </c>
      <c r="N1418" s="7">
        <v>0.61599000000000004</v>
      </c>
      <c r="O1418">
        <v>0</v>
      </c>
      <c r="P1418" t="s">
        <v>17</v>
      </c>
      <c r="Q1418">
        <v>4</v>
      </c>
      <c r="R1418" s="8">
        <f>(Tabela2[[#This Row],[FAF_atividade_fisica_frequente_em_horas]]+ 0.1)</f>
        <v>0.62098900000000001</v>
      </c>
      <c r="S1418" s="1">
        <f>(Tabela2[[#This Row],[TUE_tempo_uso_aparelhos_em_horas]]/Tabela2[[#This Row],[FAF_Var]])</f>
        <v>0.99194993792160568</v>
      </c>
      <c r="T1418">
        <f>(Tabela2[[#This Row],[CAEC_lanche_entre_refeicoes]]*Tabela2[[#This Row],[FAVC_consumo_frequente_de_alimentos_mt_caloricos]])</f>
        <v>1</v>
      </c>
      <c r="U1418" s="1">
        <f>IF(OR(Tabela2[[#This Row],[MTRANS]]="Walking",Tabela2[[#This Row],[MTRANS]]="Bike"),Tabela2[[#This Row],[FAF_atividade_fisica_frequente_em_horas]]+1,M1418)</f>
        <v>0.52098900000000004</v>
      </c>
      <c r="V1418">
        <f>(Tabela2[[#This Row],[SMOKE]]+Tabela2[[#This Row],[CALC_bebe_alcool_frequentemente]])</f>
        <v>0</v>
      </c>
      <c r="W1418" s="8">
        <f>(Tabela2[[#This Row],[Weight]]/(Tabela2[[#This Row],[Height]] ^2))</f>
        <v>32.259608126506386</v>
      </c>
    </row>
    <row r="1419" spans="1:23" x14ac:dyDescent="0.25">
      <c r="A1419" t="s">
        <v>13</v>
      </c>
      <c r="B1419" s="7">
        <v>38.397463000000002</v>
      </c>
      <c r="C1419" s="4">
        <v>1.552648</v>
      </c>
      <c r="D1419" s="7">
        <v>80</v>
      </c>
      <c r="E1419">
        <v>1</v>
      </c>
      <c r="F1419">
        <v>1</v>
      </c>
      <c r="G1419" s="2">
        <v>2.6676760000000002</v>
      </c>
      <c r="H1419" s="2">
        <v>1.135278</v>
      </c>
      <c r="I1419">
        <v>1</v>
      </c>
      <c r="J1419">
        <v>0</v>
      </c>
      <c r="K1419" s="2">
        <v>1.399629</v>
      </c>
      <c r="L1419">
        <v>0</v>
      </c>
      <c r="M1419" s="7">
        <v>1.6488830000000001</v>
      </c>
      <c r="N1419" s="7">
        <v>0</v>
      </c>
      <c r="O1419">
        <v>1</v>
      </c>
      <c r="P1419" t="s">
        <v>17</v>
      </c>
      <c r="Q1419">
        <v>4</v>
      </c>
      <c r="R1419" s="8">
        <f>(Tabela2[[#This Row],[FAF_atividade_fisica_frequente_em_horas]]+ 0.1)</f>
        <v>1.7488830000000002</v>
      </c>
      <c r="S1419" s="1">
        <f>(Tabela2[[#This Row],[TUE_tempo_uso_aparelhos_em_horas]]/Tabela2[[#This Row],[FAF_Var]])</f>
        <v>0</v>
      </c>
      <c r="T1419">
        <f>(Tabela2[[#This Row],[CAEC_lanche_entre_refeicoes]]*Tabela2[[#This Row],[FAVC_consumo_frequente_de_alimentos_mt_caloricos]])</f>
        <v>1</v>
      </c>
      <c r="U1419" s="1">
        <f>IF(OR(Tabela2[[#This Row],[MTRANS]]="Walking",Tabela2[[#This Row],[MTRANS]]="Bike"),Tabela2[[#This Row],[FAF_atividade_fisica_frequente_em_horas]]+1,M1419)</f>
        <v>1.6488830000000001</v>
      </c>
      <c r="V1419">
        <f>(Tabela2[[#This Row],[SMOKE]]+Tabela2[[#This Row],[CALC_bebe_alcool_frequentemente]])</f>
        <v>1</v>
      </c>
      <c r="W1419" s="8">
        <f>(Tabela2[[#This Row],[Weight]]/(Tabela2[[#This Row],[Height]] ^2))</f>
        <v>33.185164176118896</v>
      </c>
    </row>
    <row r="1420" spans="1:23" x14ac:dyDescent="0.25">
      <c r="A1420" t="s">
        <v>13</v>
      </c>
      <c r="B1420" s="7">
        <v>37.974482999999999</v>
      </c>
      <c r="C1420" s="4">
        <v>1.5602149999999999</v>
      </c>
      <c r="D1420" s="7">
        <v>80</v>
      </c>
      <c r="E1420">
        <v>1</v>
      </c>
      <c r="F1420">
        <v>1</v>
      </c>
      <c r="G1420" s="2">
        <v>2.5690750000000002</v>
      </c>
      <c r="H1420" s="2">
        <v>2.4631129999999999</v>
      </c>
      <c r="I1420">
        <v>1</v>
      </c>
      <c r="J1420">
        <v>0</v>
      </c>
      <c r="K1420" s="2">
        <v>1.567366</v>
      </c>
      <c r="L1420">
        <v>0</v>
      </c>
      <c r="M1420" s="7">
        <v>0.35913400000000001</v>
      </c>
      <c r="N1420" s="7">
        <v>0</v>
      </c>
      <c r="O1420">
        <v>1</v>
      </c>
      <c r="P1420" t="s">
        <v>17</v>
      </c>
      <c r="Q1420">
        <v>4</v>
      </c>
      <c r="R1420" s="8">
        <f>(Tabela2[[#This Row],[FAF_atividade_fisica_frequente_em_horas]]+ 0.1)</f>
        <v>0.45913400000000004</v>
      </c>
      <c r="S1420" s="1">
        <f>(Tabela2[[#This Row],[TUE_tempo_uso_aparelhos_em_horas]]/Tabela2[[#This Row],[FAF_Var]])</f>
        <v>0</v>
      </c>
      <c r="T1420">
        <f>(Tabela2[[#This Row],[CAEC_lanche_entre_refeicoes]]*Tabela2[[#This Row],[FAVC_consumo_frequente_de_alimentos_mt_caloricos]])</f>
        <v>1</v>
      </c>
      <c r="U1420" s="1">
        <f>IF(OR(Tabela2[[#This Row],[MTRANS]]="Walking",Tabela2[[#This Row],[MTRANS]]="Bike"),Tabela2[[#This Row],[FAF_atividade_fisica_frequente_em_horas]]+1,M1420)</f>
        <v>0.35913400000000001</v>
      </c>
      <c r="V1420">
        <f>(Tabela2[[#This Row],[SMOKE]]+Tabela2[[#This Row],[CALC_bebe_alcool_frequentemente]])</f>
        <v>1</v>
      </c>
      <c r="W1420" s="8">
        <f>(Tabela2[[#This Row],[Weight]]/(Tabela2[[#This Row],[Height]] ^2))</f>
        <v>32.864050491366562</v>
      </c>
    </row>
    <row r="1421" spans="1:23" x14ac:dyDescent="0.25">
      <c r="A1421" t="s">
        <v>15</v>
      </c>
      <c r="B1421" s="7">
        <v>31.783524</v>
      </c>
      <c r="C1421" s="4">
        <v>1.6729590000000001</v>
      </c>
      <c r="D1421" s="7">
        <v>90</v>
      </c>
      <c r="E1421">
        <v>1</v>
      </c>
      <c r="F1421">
        <v>1</v>
      </c>
      <c r="G1421" s="2">
        <v>2.9492419999999999</v>
      </c>
      <c r="H1421" s="2">
        <v>1.7821089999999999</v>
      </c>
      <c r="I1421">
        <v>1</v>
      </c>
      <c r="J1421">
        <v>0</v>
      </c>
      <c r="K1421" s="2">
        <v>2.2109969999999999</v>
      </c>
      <c r="L1421">
        <v>0</v>
      </c>
      <c r="M1421" s="7">
        <v>1.9927189999999999</v>
      </c>
      <c r="N1421" s="7">
        <v>0</v>
      </c>
      <c r="O1421">
        <v>1</v>
      </c>
      <c r="P1421" t="s">
        <v>17</v>
      </c>
      <c r="Q1421">
        <v>4</v>
      </c>
      <c r="R1421" s="8">
        <f>(Tabela2[[#This Row],[FAF_atividade_fisica_frequente_em_horas]]+ 0.1)</f>
        <v>2.0927189999999998</v>
      </c>
      <c r="S1421" s="1">
        <f>(Tabela2[[#This Row],[TUE_tempo_uso_aparelhos_em_horas]]/Tabela2[[#This Row],[FAF_Var]])</f>
        <v>0</v>
      </c>
      <c r="T1421">
        <f>(Tabela2[[#This Row],[CAEC_lanche_entre_refeicoes]]*Tabela2[[#This Row],[FAVC_consumo_frequente_de_alimentos_mt_caloricos]])</f>
        <v>1</v>
      </c>
      <c r="U1421" s="1">
        <f>IF(OR(Tabela2[[#This Row],[MTRANS]]="Walking",Tabela2[[#This Row],[MTRANS]]="Bike"),Tabela2[[#This Row],[FAF_atividade_fisica_frequente_em_horas]]+1,M1421)</f>
        <v>1.9927189999999999</v>
      </c>
      <c r="V1421">
        <f>(Tabela2[[#This Row],[SMOKE]]+Tabela2[[#This Row],[CALC_bebe_alcool_frequentemente]])</f>
        <v>1</v>
      </c>
      <c r="W1421" s="8">
        <f>(Tabela2[[#This Row],[Weight]]/(Tabela2[[#This Row],[Height]] ^2))</f>
        <v>32.156732592881781</v>
      </c>
    </row>
    <row r="1422" spans="1:23" x14ac:dyDescent="0.25">
      <c r="A1422" t="s">
        <v>15</v>
      </c>
      <c r="B1422" s="7">
        <v>29.681308000000001</v>
      </c>
      <c r="C1422" s="4">
        <v>1.6800580000000001</v>
      </c>
      <c r="D1422" s="7">
        <v>89.994350999999995</v>
      </c>
      <c r="E1422">
        <v>1</v>
      </c>
      <c r="F1422">
        <v>1</v>
      </c>
      <c r="G1422" s="2">
        <v>2.1047720000000001</v>
      </c>
      <c r="H1422" s="2">
        <v>2.3763740000000002</v>
      </c>
      <c r="I1422">
        <v>1</v>
      </c>
      <c r="J1422">
        <v>0</v>
      </c>
      <c r="K1422" s="2">
        <v>2.2186910000000002</v>
      </c>
      <c r="L1422">
        <v>0</v>
      </c>
      <c r="M1422" s="7">
        <v>1.5218400000000001</v>
      </c>
      <c r="N1422" s="7">
        <v>0</v>
      </c>
      <c r="O1422">
        <v>1</v>
      </c>
      <c r="P1422" t="s">
        <v>17</v>
      </c>
      <c r="Q1422">
        <v>4</v>
      </c>
      <c r="R1422" s="8">
        <f>(Tabela2[[#This Row],[FAF_atividade_fisica_frequente_em_horas]]+ 0.1)</f>
        <v>1.6218400000000002</v>
      </c>
      <c r="S1422" s="1">
        <f>(Tabela2[[#This Row],[TUE_tempo_uso_aparelhos_em_horas]]/Tabela2[[#This Row],[FAF_Var]])</f>
        <v>0</v>
      </c>
      <c r="T1422">
        <f>(Tabela2[[#This Row],[CAEC_lanche_entre_refeicoes]]*Tabela2[[#This Row],[FAVC_consumo_frequente_de_alimentos_mt_caloricos]])</f>
        <v>1</v>
      </c>
      <c r="U1422" s="1">
        <f>IF(OR(Tabela2[[#This Row],[MTRANS]]="Walking",Tabela2[[#This Row],[MTRANS]]="Bike"),Tabela2[[#This Row],[FAF_atividade_fisica_frequente_em_horas]]+1,M1422)</f>
        <v>1.5218400000000001</v>
      </c>
      <c r="V1422">
        <f>(Tabela2[[#This Row],[SMOKE]]+Tabela2[[#This Row],[CALC_bebe_alcool_frequentemente]])</f>
        <v>1</v>
      </c>
      <c r="W1422" s="8">
        <f>(Tabela2[[#This Row],[Weight]]/(Tabela2[[#This Row],[Height]] ^2))</f>
        <v>31.883552092585003</v>
      </c>
    </row>
    <row r="1423" spans="1:23" x14ac:dyDescent="0.25">
      <c r="A1423" t="s">
        <v>15</v>
      </c>
      <c r="B1423" s="7">
        <v>21.587743</v>
      </c>
      <c r="C1423" s="4">
        <v>1.664752</v>
      </c>
      <c r="D1423" s="7">
        <v>94.256546999999998</v>
      </c>
      <c r="E1423">
        <v>1</v>
      </c>
      <c r="F1423">
        <v>1</v>
      </c>
      <c r="G1423" s="2">
        <v>2</v>
      </c>
      <c r="H1423" s="2">
        <v>2.9760979999999999</v>
      </c>
      <c r="I1423">
        <v>1</v>
      </c>
      <c r="J1423">
        <v>0</v>
      </c>
      <c r="K1423" s="2">
        <v>2</v>
      </c>
      <c r="L1423">
        <v>0</v>
      </c>
      <c r="M1423" s="7">
        <v>0</v>
      </c>
      <c r="N1423" s="7">
        <v>1.3932199999999999</v>
      </c>
      <c r="O1423">
        <v>0</v>
      </c>
      <c r="P1423" t="s">
        <v>14</v>
      </c>
      <c r="Q1423">
        <v>4</v>
      </c>
      <c r="R1423" s="8">
        <f>(Tabela2[[#This Row],[FAF_atividade_fisica_frequente_em_horas]]+ 0.1)</f>
        <v>0.1</v>
      </c>
      <c r="S1423" s="1">
        <f>(Tabela2[[#This Row],[TUE_tempo_uso_aparelhos_em_horas]]/Tabela2[[#This Row],[FAF_Var]])</f>
        <v>13.932199999999998</v>
      </c>
      <c r="T1423">
        <f>(Tabela2[[#This Row],[CAEC_lanche_entre_refeicoes]]*Tabela2[[#This Row],[FAVC_consumo_frequente_de_alimentos_mt_caloricos]])</f>
        <v>1</v>
      </c>
      <c r="U1423" s="1">
        <f>IF(OR(Tabela2[[#This Row],[MTRANS]]="Walking",Tabela2[[#This Row],[MTRANS]]="Bike"),Tabela2[[#This Row],[FAF_atividade_fisica_frequente_em_horas]]+1,M1423)</f>
        <v>0</v>
      </c>
      <c r="V1423">
        <f>(Tabela2[[#This Row],[SMOKE]]+Tabela2[[#This Row],[CALC_bebe_alcool_frequentemente]])</f>
        <v>0</v>
      </c>
      <c r="W1423" s="8">
        <f>(Tabela2[[#This Row],[Weight]]/(Tabela2[[#This Row],[Height]] ^2))</f>
        <v>34.010454455150011</v>
      </c>
    </row>
    <row r="1424" spans="1:23" x14ac:dyDescent="0.25">
      <c r="A1424" t="s">
        <v>15</v>
      </c>
      <c r="B1424" s="7">
        <v>21.746113000000001</v>
      </c>
      <c r="C1424" s="4">
        <v>1.668553</v>
      </c>
      <c r="D1424" s="7">
        <v>94.454393999999994</v>
      </c>
      <c r="E1424">
        <v>1</v>
      </c>
      <c r="F1424">
        <v>1</v>
      </c>
      <c r="G1424" s="2">
        <v>2</v>
      </c>
      <c r="H1424" s="2">
        <v>2.9680979999999999</v>
      </c>
      <c r="I1424">
        <v>1</v>
      </c>
      <c r="J1424">
        <v>0</v>
      </c>
      <c r="K1424" s="2">
        <v>2</v>
      </c>
      <c r="L1424">
        <v>0</v>
      </c>
      <c r="M1424" s="7">
        <v>0</v>
      </c>
      <c r="N1424" s="7">
        <v>1.292476</v>
      </c>
      <c r="O1424">
        <v>0</v>
      </c>
      <c r="P1424" t="s">
        <v>14</v>
      </c>
      <c r="Q1424">
        <v>4</v>
      </c>
      <c r="R1424" s="8">
        <f>(Tabela2[[#This Row],[FAF_atividade_fisica_frequente_em_horas]]+ 0.1)</f>
        <v>0.1</v>
      </c>
      <c r="S1424" s="1">
        <f>(Tabela2[[#This Row],[TUE_tempo_uso_aparelhos_em_horas]]/Tabela2[[#This Row],[FAF_Var]])</f>
        <v>12.924759999999999</v>
      </c>
      <c r="T1424">
        <f>(Tabela2[[#This Row],[CAEC_lanche_entre_refeicoes]]*Tabela2[[#This Row],[FAVC_consumo_frequente_de_alimentos_mt_caloricos]])</f>
        <v>1</v>
      </c>
      <c r="U1424" s="1">
        <f>IF(OR(Tabela2[[#This Row],[MTRANS]]="Walking",Tabela2[[#This Row],[MTRANS]]="Bike"),Tabela2[[#This Row],[FAF_atividade_fisica_frequente_em_horas]]+1,M1424)</f>
        <v>0</v>
      </c>
      <c r="V1424">
        <f>(Tabela2[[#This Row],[SMOKE]]+Tabela2[[#This Row],[CALC_bebe_alcool_frequentemente]])</f>
        <v>0</v>
      </c>
      <c r="W1424" s="8">
        <f>(Tabela2[[#This Row],[Weight]]/(Tabela2[[#This Row],[Height]] ^2))</f>
        <v>33.926741808062751</v>
      </c>
    </row>
    <row r="1425" spans="1:23" x14ac:dyDescent="0.25">
      <c r="A1425" t="s">
        <v>15</v>
      </c>
      <c r="B1425" s="7">
        <v>39.569004</v>
      </c>
      <c r="C1425" s="4">
        <v>1.7852859999999999</v>
      </c>
      <c r="D1425" s="7">
        <v>100.431625</v>
      </c>
      <c r="E1425">
        <v>1</v>
      </c>
      <c r="F1425">
        <v>1</v>
      </c>
      <c r="G1425" s="2">
        <v>2.8717679999999999</v>
      </c>
      <c r="H1425" s="2">
        <v>1.7926949999999999</v>
      </c>
      <c r="I1425">
        <v>1</v>
      </c>
      <c r="J1425">
        <v>0</v>
      </c>
      <c r="K1425" s="2">
        <v>2.691322</v>
      </c>
      <c r="L1425">
        <v>0</v>
      </c>
      <c r="M1425" s="7">
        <v>2.5457070000000002</v>
      </c>
      <c r="N1425" s="7">
        <v>0.90390300000000001</v>
      </c>
      <c r="O1425">
        <v>2</v>
      </c>
      <c r="P1425" t="s">
        <v>17</v>
      </c>
      <c r="Q1425">
        <v>4</v>
      </c>
      <c r="R1425" s="8">
        <f>(Tabela2[[#This Row],[FAF_atividade_fisica_frequente_em_horas]]+ 0.1)</f>
        <v>2.6457070000000003</v>
      </c>
      <c r="S1425" s="1">
        <f>(Tabela2[[#This Row],[TUE_tempo_uso_aparelhos_em_horas]]/Tabela2[[#This Row],[FAF_Var]])</f>
        <v>0.3416489429857501</v>
      </c>
      <c r="T1425">
        <f>(Tabela2[[#This Row],[CAEC_lanche_entre_refeicoes]]*Tabela2[[#This Row],[FAVC_consumo_frequente_de_alimentos_mt_caloricos]])</f>
        <v>1</v>
      </c>
      <c r="U1425" s="1">
        <f>IF(OR(Tabela2[[#This Row],[MTRANS]]="Walking",Tabela2[[#This Row],[MTRANS]]="Bike"),Tabela2[[#This Row],[FAF_atividade_fisica_frequente_em_horas]]+1,M1425)</f>
        <v>2.5457070000000002</v>
      </c>
      <c r="V1425">
        <f>(Tabela2[[#This Row],[SMOKE]]+Tabela2[[#This Row],[CALC_bebe_alcool_frequentemente]])</f>
        <v>2</v>
      </c>
      <c r="W1425" s="8">
        <f>(Tabela2[[#This Row],[Weight]]/(Tabela2[[#This Row],[Height]] ^2))</f>
        <v>31.510470730015861</v>
      </c>
    </row>
    <row r="1426" spans="1:23" x14ac:dyDescent="0.25">
      <c r="A1426" t="s">
        <v>15</v>
      </c>
      <c r="B1426" s="7">
        <v>36.67933</v>
      </c>
      <c r="C1426" s="4">
        <v>1.7807249999999999</v>
      </c>
      <c r="D1426" s="7">
        <v>98.790166999999997</v>
      </c>
      <c r="E1426">
        <v>1</v>
      </c>
      <c r="F1426">
        <v>1</v>
      </c>
      <c r="G1426" s="2">
        <v>2.5409489999999999</v>
      </c>
      <c r="H1426" s="2">
        <v>1.116401</v>
      </c>
      <c r="I1426">
        <v>1</v>
      </c>
      <c r="J1426">
        <v>0</v>
      </c>
      <c r="K1426" s="2">
        <v>2.9291230000000001</v>
      </c>
      <c r="L1426">
        <v>0</v>
      </c>
      <c r="M1426" s="7">
        <v>2.7873190000000001</v>
      </c>
      <c r="N1426" s="7">
        <v>0.732881</v>
      </c>
      <c r="O1426">
        <v>2</v>
      </c>
      <c r="P1426" t="s">
        <v>17</v>
      </c>
      <c r="Q1426">
        <v>4</v>
      </c>
      <c r="R1426" s="8">
        <f>(Tabela2[[#This Row],[FAF_atividade_fisica_frequente_em_horas]]+ 0.1)</f>
        <v>2.8873190000000002</v>
      </c>
      <c r="S1426" s="1">
        <f>(Tabela2[[#This Row],[TUE_tempo_uso_aparelhos_em_horas]]/Tabela2[[#This Row],[FAF_Var]])</f>
        <v>0.25382751265100945</v>
      </c>
      <c r="T1426">
        <f>(Tabela2[[#This Row],[CAEC_lanche_entre_refeicoes]]*Tabela2[[#This Row],[FAVC_consumo_frequente_de_alimentos_mt_caloricos]])</f>
        <v>1</v>
      </c>
      <c r="U1426" s="1">
        <f>IF(OR(Tabela2[[#This Row],[MTRANS]]="Walking",Tabela2[[#This Row],[MTRANS]]="Bike"),Tabela2[[#This Row],[FAF_atividade_fisica_frequente_em_horas]]+1,M1426)</f>
        <v>2.7873190000000001</v>
      </c>
      <c r="V1426">
        <f>(Tabela2[[#This Row],[SMOKE]]+Tabela2[[#This Row],[CALC_bebe_alcool_frequentemente]])</f>
        <v>2</v>
      </c>
      <c r="W1426" s="8">
        <f>(Tabela2[[#This Row],[Weight]]/(Tabela2[[#This Row],[Height]] ^2))</f>
        <v>31.154444200216044</v>
      </c>
    </row>
    <row r="1427" spans="1:23" x14ac:dyDescent="0.25">
      <c r="A1427" t="s">
        <v>15</v>
      </c>
      <c r="B1427" s="7">
        <v>22.927011</v>
      </c>
      <c r="C1427" s="4">
        <v>1.7510460000000001</v>
      </c>
      <c r="D1427" s="7">
        <v>95.285898000000003</v>
      </c>
      <c r="E1427">
        <v>1</v>
      </c>
      <c r="F1427">
        <v>1</v>
      </c>
      <c r="G1427" s="2">
        <v>2</v>
      </c>
      <c r="H1427" s="2">
        <v>3</v>
      </c>
      <c r="I1427">
        <v>1</v>
      </c>
      <c r="J1427">
        <v>0</v>
      </c>
      <c r="K1427" s="2">
        <v>2.5303010000000001</v>
      </c>
      <c r="L1427">
        <v>0</v>
      </c>
      <c r="M1427" s="7">
        <v>2.8911799999999999</v>
      </c>
      <c r="N1427" s="7">
        <v>1.2871170000000001</v>
      </c>
      <c r="O1427">
        <v>0</v>
      </c>
      <c r="P1427" t="s">
        <v>14</v>
      </c>
      <c r="Q1427">
        <v>4</v>
      </c>
      <c r="R1427" s="8">
        <f>(Tabela2[[#This Row],[FAF_atividade_fisica_frequente_em_horas]]+ 0.1)</f>
        <v>2.9911799999999999</v>
      </c>
      <c r="S1427" s="1">
        <f>(Tabela2[[#This Row],[TUE_tempo_uso_aparelhos_em_horas]]/Tabela2[[#This Row],[FAF_Var]])</f>
        <v>0.43030409403646724</v>
      </c>
      <c r="T1427">
        <f>(Tabela2[[#This Row],[CAEC_lanche_entre_refeicoes]]*Tabela2[[#This Row],[FAVC_consumo_frequente_de_alimentos_mt_caloricos]])</f>
        <v>1</v>
      </c>
      <c r="U1427" s="1">
        <f>IF(OR(Tabela2[[#This Row],[MTRANS]]="Walking",Tabela2[[#This Row],[MTRANS]]="Bike"),Tabela2[[#This Row],[FAF_atividade_fisica_frequente_em_horas]]+1,M1427)</f>
        <v>2.8911799999999999</v>
      </c>
      <c r="V1427">
        <f>(Tabela2[[#This Row],[SMOKE]]+Tabela2[[#This Row],[CALC_bebe_alcool_frequentemente]])</f>
        <v>0</v>
      </c>
      <c r="W1427" s="8">
        <f>(Tabela2[[#This Row],[Weight]]/(Tabela2[[#This Row],[Height]] ^2))</f>
        <v>31.076601652226646</v>
      </c>
    </row>
    <row r="1428" spans="1:23" x14ac:dyDescent="0.25">
      <c r="A1428" t="s">
        <v>15</v>
      </c>
      <c r="B1428" s="7">
        <v>23.329343999999999</v>
      </c>
      <c r="C1428" s="4">
        <v>1.7513650000000001</v>
      </c>
      <c r="D1428" s="7">
        <v>95.290429000000003</v>
      </c>
      <c r="E1428">
        <v>1</v>
      </c>
      <c r="F1428">
        <v>1</v>
      </c>
      <c r="G1428" s="2">
        <v>2</v>
      </c>
      <c r="H1428" s="2">
        <v>3</v>
      </c>
      <c r="I1428">
        <v>1</v>
      </c>
      <c r="J1428">
        <v>0</v>
      </c>
      <c r="K1428" s="2">
        <v>3</v>
      </c>
      <c r="L1428">
        <v>0</v>
      </c>
      <c r="M1428" s="7">
        <v>3</v>
      </c>
      <c r="N1428" s="7">
        <v>2</v>
      </c>
      <c r="O1428">
        <v>0</v>
      </c>
      <c r="P1428" t="s">
        <v>14</v>
      </c>
      <c r="Q1428">
        <v>4</v>
      </c>
      <c r="R1428" s="8">
        <f>(Tabela2[[#This Row],[FAF_atividade_fisica_frequente_em_horas]]+ 0.1)</f>
        <v>3.1</v>
      </c>
      <c r="S1428" s="1">
        <f>(Tabela2[[#This Row],[TUE_tempo_uso_aparelhos_em_horas]]/Tabela2[[#This Row],[FAF_Var]])</f>
        <v>0.64516129032258063</v>
      </c>
      <c r="T1428">
        <f>(Tabela2[[#This Row],[CAEC_lanche_entre_refeicoes]]*Tabela2[[#This Row],[FAVC_consumo_frequente_de_alimentos_mt_caloricos]])</f>
        <v>1</v>
      </c>
      <c r="U1428" s="1">
        <f>IF(OR(Tabela2[[#This Row],[MTRANS]]="Walking",Tabela2[[#This Row],[MTRANS]]="Bike"),Tabela2[[#This Row],[FAF_atividade_fisica_frequente_em_horas]]+1,M1428)</f>
        <v>3</v>
      </c>
      <c r="V1428">
        <f>(Tabela2[[#This Row],[SMOKE]]+Tabela2[[#This Row],[CALC_bebe_alcool_frequentemente]])</f>
        <v>0</v>
      </c>
      <c r="W1428" s="8">
        <f>(Tabela2[[#This Row],[Weight]]/(Tabela2[[#This Row],[Height]] ^2))</f>
        <v>31.066759077272209</v>
      </c>
    </row>
    <row r="1429" spans="1:23" x14ac:dyDescent="0.25">
      <c r="A1429" t="s">
        <v>15</v>
      </c>
      <c r="B1429" s="7">
        <v>22.126325000000001</v>
      </c>
      <c r="C1429" s="4">
        <v>1.7172620000000001</v>
      </c>
      <c r="D1429" s="7">
        <v>98.579155999999998</v>
      </c>
      <c r="E1429">
        <v>1</v>
      </c>
      <c r="F1429">
        <v>1</v>
      </c>
      <c r="G1429" s="2">
        <v>2</v>
      </c>
      <c r="H1429" s="2">
        <v>2.9845229999999998</v>
      </c>
      <c r="I1429">
        <v>1</v>
      </c>
      <c r="J1429">
        <v>0</v>
      </c>
      <c r="K1429" s="2">
        <v>2.2635510000000001</v>
      </c>
      <c r="L1429">
        <v>0</v>
      </c>
      <c r="M1429" s="7">
        <v>2.819661</v>
      </c>
      <c r="N1429" s="7">
        <v>2</v>
      </c>
      <c r="O1429">
        <v>0</v>
      </c>
      <c r="P1429" t="s">
        <v>14</v>
      </c>
      <c r="Q1429">
        <v>4</v>
      </c>
      <c r="R1429" s="8">
        <f>(Tabela2[[#This Row],[FAF_atividade_fisica_frequente_em_horas]]+ 0.1)</f>
        <v>2.9196610000000001</v>
      </c>
      <c r="S1429" s="1">
        <f>(Tabela2[[#This Row],[TUE_tempo_uso_aparelhos_em_horas]]/Tabela2[[#This Row],[FAF_Var]])</f>
        <v>0.68501103381522721</v>
      </c>
      <c r="T1429">
        <f>(Tabela2[[#This Row],[CAEC_lanche_entre_refeicoes]]*Tabela2[[#This Row],[FAVC_consumo_frequente_de_alimentos_mt_caloricos]])</f>
        <v>1</v>
      </c>
      <c r="U1429" s="1">
        <f>IF(OR(Tabela2[[#This Row],[MTRANS]]="Walking",Tabela2[[#This Row],[MTRANS]]="Bike"),Tabela2[[#This Row],[FAF_atividade_fisica_frequente_em_horas]]+1,M1429)</f>
        <v>2.819661</v>
      </c>
      <c r="V1429">
        <f>(Tabela2[[#This Row],[SMOKE]]+Tabela2[[#This Row],[CALC_bebe_alcool_frequentemente]])</f>
        <v>0</v>
      </c>
      <c r="W1429" s="8">
        <f>(Tabela2[[#This Row],[Weight]]/(Tabela2[[#This Row],[Height]] ^2))</f>
        <v>33.428121795765115</v>
      </c>
    </row>
    <row r="1430" spans="1:23" x14ac:dyDescent="0.25">
      <c r="A1430" t="s">
        <v>15</v>
      </c>
      <c r="B1430" s="7">
        <v>21.679158000000001</v>
      </c>
      <c r="C1430" s="4">
        <v>1.741393</v>
      </c>
      <c r="D1430" s="7">
        <v>98.182497999999995</v>
      </c>
      <c r="E1430">
        <v>1</v>
      </c>
      <c r="F1430">
        <v>1</v>
      </c>
      <c r="G1430" s="2">
        <v>2</v>
      </c>
      <c r="H1430" s="2">
        <v>2.9781029999999999</v>
      </c>
      <c r="I1430">
        <v>1</v>
      </c>
      <c r="J1430">
        <v>0</v>
      </c>
      <c r="K1430" s="2">
        <v>2.6682610000000002</v>
      </c>
      <c r="L1430">
        <v>0</v>
      </c>
      <c r="M1430" s="7">
        <v>2.462269</v>
      </c>
      <c r="N1430" s="7">
        <v>1.402414</v>
      </c>
      <c r="O1430">
        <v>0</v>
      </c>
      <c r="P1430" t="s">
        <v>14</v>
      </c>
      <c r="Q1430">
        <v>4</v>
      </c>
      <c r="R1430" s="8">
        <f>(Tabela2[[#This Row],[FAF_atividade_fisica_frequente_em_horas]]+ 0.1)</f>
        <v>2.5622690000000001</v>
      </c>
      <c r="S1430" s="1">
        <f>(Tabela2[[#This Row],[TUE_tempo_uso_aparelhos_em_horas]]/Tabela2[[#This Row],[FAF_Var]])</f>
        <v>0.54733285224931494</v>
      </c>
      <c r="T1430">
        <f>(Tabela2[[#This Row],[CAEC_lanche_entre_refeicoes]]*Tabela2[[#This Row],[FAVC_consumo_frequente_de_alimentos_mt_caloricos]])</f>
        <v>1</v>
      </c>
      <c r="U1430" s="1">
        <f>IF(OR(Tabela2[[#This Row],[MTRANS]]="Walking",Tabela2[[#This Row],[MTRANS]]="Bike"),Tabela2[[#This Row],[FAF_atividade_fisica_frequente_em_horas]]+1,M1430)</f>
        <v>2.462269</v>
      </c>
      <c r="V1430">
        <f>(Tabela2[[#This Row],[SMOKE]]+Tabela2[[#This Row],[CALC_bebe_alcool_frequentemente]])</f>
        <v>0</v>
      </c>
      <c r="W1430" s="8">
        <f>(Tabela2[[#This Row],[Weight]]/(Tabela2[[#This Row],[Height]] ^2))</f>
        <v>32.37728951307497</v>
      </c>
    </row>
    <row r="1431" spans="1:23" x14ac:dyDescent="0.25">
      <c r="A1431" t="s">
        <v>15</v>
      </c>
      <c r="B1431" s="7">
        <v>36.673881999999999</v>
      </c>
      <c r="C1431" s="4">
        <v>1.7921</v>
      </c>
      <c r="D1431" s="7">
        <v>101.285765</v>
      </c>
      <c r="E1431">
        <v>1</v>
      </c>
      <c r="F1431">
        <v>1</v>
      </c>
      <c r="G1431" s="2">
        <v>2.2222819999999999</v>
      </c>
      <c r="H1431" s="2">
        <v>1.578751</v>
      </c>
      <c r="I1431">
        <v>1</v>
      </c>
      <c r="J1431">
        <v>0</v>
      </c>
      <c r="K1431" s="2">
        <v>2.791604</v>
      </c>
      <c r="L1431">
        <v>0</v>
      </c>
      <c r="M1431" s="7">
        <v>2.3520910000000002</v>
      </c>
      <c r="N1431" s="7">
        <v>0.31784600000000002</v>
      </c>
      <c r="O1431">
        <v>1</v>
      </c>
      <c r="P1431" t="s">
        <v>17</v>
      </c>
      <c r="Q1431">
        <v>4</v>
      </c>
      <c r="R1431" s="8">
        <f>(Tabela2[[#This Row],[FAF_atividade_fisica_frequente_em_horas]]+ 0.1)</f>
        <v>2.4520910000000002</v>
      </c>
      <c r="S1431" s="1">
        <f>(Tabela2[[#This Row],[TUE_tempo_uso_aparelhos_em_horas]]/Tabela2[[#This Row],[FAF_Var]])</f>
        <v>0.1296224324464304</v>
      </c>
      <c r="T1431">
        <f>(Tabela2[[#This Row],[CAEC_lanche_entre_refeicoes]]*Tabela2[[#This Row],[FAVC_consumo_frequente_de_alimentos_mt_caloricos]])</f>
        <v>1</v>
      </c>
      <c r="U1431" s="1">
        <f>IF(OR(Tabela2[[#This Row],[MTRANS]]="Walking",Tabela2[[#This Row],[MTRANS]]="Bike"),Tabela2[[#This Row],[FAF_atividade_fisica_frequente_em_horas]]+1,M1431)</f>
        <v>2.3520910000000002</v>
      </c>
      <c r="V1431">
        <f>(Tabela2[[#This Row],[SMOKE]]+Tabela2[[#This Row],[CALC_bebe_alcool_frequentemente]])</f>
        <v>1</v>
      </c>
      <c r="W1431" s="8">
        <f>(Tabela2[[#This Row],[Weight]]/(Tabela2[[#This Row],[Height]] ^2))</f>
        <v>31.53725814237297</v>
      </c>
    </row>
    <row r="1432" spans="1:23" x14ac:dyDescent="0.25">
      <c r="A1432" t="s">
        <v>15</v>
      </c>
      <c r="B1432" s="7">
        <v>37.936044000000003</v>
      </c>
      <c r="C1432" s="4">
        <v>1.785957</v>
      </c>
      <c r="D1432" s="7">
        <v>99.199286999999998</v>
      </c>
      <c r="E1432">
        <v>1</v>
      </c>
      <c r="F1432">
        <v>1</v>
      </c>
      <c r="G1432" s="2">
        <v>2.0451600000000001</v>
      </c>
      <c r="H1432" s="2">
        <v>1.8745320000000001</v>
      </c>
      <c r="I1432">
        <v>1</v>
      </c>
      <c r="J1432">
        <v>0</v>
      </c>
      <c r="K1432" s="2">
        <v>2.8565209999999999</v>
      </c>
      <c r="L1432">
        <v>0</v>
      </c>
      <c r="M1432" s="7">
        <v>2.0052859999999999</v>
      </c>
      <c r="N1432" s="7">
        <v>0.105408</v>
      </c>
      <c r="O1432">
        <v>1</v>
      </c>
      <c r="P1432" t="s">
        <v>17</v>
      </c>
      <c r="Q1432">
        <v>4</v>
      </c>
      <c r="R1432" s="8">
        <f>(Tabela2[[#This Row],[FAF_atividade_fisica_frequente_em_horas]]+ 0.1)</f>
        <v>2.105286</v>
      </c>
      <c r="S1432" s="1">
        <f>(Tabela2[[#This Row],[TUE_tempo_uso_aparelhos_em_horas]]/Tabela2[[#This Row],[FAF_Var]])</f>
        <v>5.0068256759414162E-2</v>
      </c>
      <c r="T1432">
        <f>(Tabela2[[#This Row],[CAEC_lanche_entre_refeicoes]]*Tabela2[[#This Row],[FAVC_consumo_frequente_de_alimentos_mt_caloricos]])</f>
        <v>1</v>
      </c>
      <c r="U1432" s="1">
        <f>IF(OR(Tabela2[[#This Row],[MTRANS]]="Walking",Tabela2[[#This Row],[MTRANS]]="Bike"),Tabela2[[#This Row],[FAF_atividade_fisica_frequente_em_horas]]+1,M1432)</f>
        <v>2.0052859999999999</v>
      </c>
      <c r="V1432">
        <f>(Tabela2[[#This Row],[SMOKE]]+Tabela2[[#This Row],[CALC_bebe_alcool_frequentemente]])</f>
        <v>1</v>
      </c>
      <c r="W1432" s="8">
        <f>(Tabela2[[#This Row],[Weight]]/(Tabela2[[#This Row],[Height]] ^2))</f>
        <v>31.100441484629595</v>
      </c>
    </row>
    <row r="1433" spans="1:23" x14ac:dyDescent="0.25">
      <c r="A1433" t="s">
        <v>13</v>
      </c>
      <c r="B1433" s="7">
        <v>22.226814999999998</v>
      </c>
      <c r="C1433" s="4">
        <v>1.6090679999999999</v>
      </c>
      <c r="D1433" s="7">
        <v>83.785312000000005</v>
      </c>
      <c r="E1433">
        <v>1</v>
      </c>
      <c r="F1433">
        <v>1</v>
      </c>
      <c r="G1433" s="2">
        <v>2.0941839999999998</v>
      </c>
      <c r="H1433" s="2">
        <v>2.735706</v>
      </c>
      <c r="I1433">
        <v>1</v>
      </c>
      <c r="J1433">
        <v>0</v>
      </c>
      <c r="K1433" s="2">
        <v>2.2579220000000002</v>
      </c>
      <c r="L1433">
        <v>0</v>
      </c>
      <c r="M1433" s="7">
        <v>2.2305470000000001</v>
      </c>
      <c r="N1433" s="7">
        <v>0.19533900000000001</v>
      </c>
      <c r="O1433">
        <v>0</v>
      </c>
      <c r="P1433" t="s">
        <v>14</v>
      </c>
      <c r="Q1433">
        <v>4</v>
      </c>
      <c r="R1433" s="8">
        <f>(Tabela2[[#This Row],[FAF_atividade_fisica_frequente_em_horas]]+ 0.1)</f>
        <v>2.3305470000000001</v>
      </c>
      <c r="S1433" s="1">
        <f>(Tabela2[[#This Row],[TUE_tempo_uso_aparelhos_em_horas]]/Tabela2[[#This Row],[FAF_Var]])</f>
        <v>8.3816803522949762E-2</v>
      </c>
      <c r="T1433">
        <f>(Tabela2[[#This Row],[CAEC_lanche_entre_refeicoes]]*Tabela2[[#This Row],[FAVC_consumo_frequente_de_alimentos_mt_caloricos]])</f>
        <v>1</v>
      </c>
      <c r="U1433" s="1">
        <f>IF(OR(Tabela2[[#This Row],[MTRANS]]="Walking",Tabela2[[#This Row],[MTRANS]]="Bike"),Tabela2[[#This Row],[FAF_atividade_fisica_frequente_em_horas]]+1,M1433)</f>
        <v>2.2305470000000001</v>
      </c>
      <c r="V1433">
        <f>(Tabela2[[#This Row],[SMOKE]]+Tabela2[[#This Row],[CALC_bebe_alcool_frequentemente]])</f>
        <v>0</v>
      </c>
      <c r="W1433" s="8">
        <f>(Tabela2[[#This Row],[Weight]]/(Tabela2[[#This Row],[Height]] ^2))</f>
        <v>32.360788515647329</v>
      </c>
    </row>
    <row r="1434" spans="1:23" x14ac:dyDescent="0.25">
      <c r="A1434" t="s">
        <v>13</v>
      </c>
      <c r="B1434" s="7">
        <v>22.538931999999999</v>
      </c>
      <c r="C1434" s="4">
        <v>1.603963</v>
      </c>
      <c r="D1434" s="7">
        <v>82.012636999999998</v>
      </c>
      <c r="E1434">
        <v>1</v>
      </c>
      <c r="F1434">
        <v>1</v>
      </c>
      <c r="G1434" s="2">
        <v>1.123672</v>
      </c>
      <c r="H1434" s="2">
        <v>1.0149159999999999</v>
      </c>
      <c r="I1434">
        <v>1</v>
      </c>
      <c r="J1434">
        <v>0</v>
      </c>
      <c r="K1434" s="2">
        <v>2.0420780000000001</v>
      </c>
      <c r="L1434">
        <v>0</v>
      </c>
      <c r="M1434" s="7">
        <v>1.8466659999999999</v>
      </c>
      <c r="N1434" s="7">
        <v>1.4261029999999999</v>
      </c>
      <c r="O1434">
        <v>0</v>
      </c>
      <c r="P1434" t="s">
        <v>14</v>
      </c>
      <c r="Q1434">
        <v>4</v>
      </c>
      <c r="R1434" s="8">
        <f>(Tabela2[[#This Row],[FAF_atividade_fisica_frequente_em_horas]]+ 0.1)</f>
        <v>1.946666</v>
      </c>
      <c r="S1434" s="1">
        <f>(Tabela2[[#This Row],[TUE_tempo_uso_aparelhos_em_horas]]/Tabela2[[#This Row],[FAF_Var]])</f>
        <v>0.73258740842034531</v>
      </c>
      <c r="T1434">
        <f>(Tabela2[[#This Row],[CAEC_lanche_entre_refeicoes]]*Tabela2[[#This Row],[FAVC_consumo_frequente_de_alimentos_mt_caloricos]])</f>
        <v>1</v>
      </c>
      <c r="U1434" s="1">
        <f>IF(OR(Tabela2[[#This Row],[MTRANS]]="Walking",Tabela2[[#This Row],[MTRANS]]="Bike"),Tabela2[[#This Row],[FAF_atividade_fisica_frequente_em_horas]]+1,M1434)</f>
        <v>1.8466659999999999</v>
      </c>
      <c r="V1434">
        <f>(Tabela2[[#This Row],[SMOKE]]+Tabela2[[#This Row],[CALC_bebe_alcool_frequentemente]])</f>
        <v>0</v>
      </c>
      <c r="W1434" s="8">
        <f>(Tabela2[[#This Row],[Weight]]/(Tabela2[[#This Row],[Height]] ^2))</f>
        <v>31.878074746238749</v>
      </c>
    </row>
    <row r="1435" spans="1:23" x14ac:dyDescent="0.25">
      <c r="A1435" t="s">
        <v>13</v>
      </c>
      <c r="B1435" s="7">
        <v>22.307413</v>
      </c>
      <c r="C1435" s="4">
        <v>1.6054949999999999</v>
      </c>
      <c r="D1435" s="7">
        <v>82.528575000000004</v>
      </c>
      <c r="E1435">
        <v>1</v>
      </c>
      <c r="F1435">
        <v>1</v>
      </c>
      <c r="G1435" s="2">
        <v>2.049112</v>
      </c>
      <c r="H1435" s="2">
        <v>2.622055</v>
      </c>
      <c r="I1435">
        <v>1</v>
      </c>
      <c r="J1435">
        <v>0</v>
      </c>
      <c r="K1435" s="2">
        <v>2.2805550000000001</v>
      </c>
      <c r="L1435">
        <v>0</v>
      </c>
      <c r="M1435" s="7">
        <v>2.0528960000000001</v>
      </c>
      <c r="N1435" s="7">
        <v>0.89618500000000001</v>
      </c>
      <c r="O1435">
        <v>0</v>
      </c>
      <c r="P1435" t="s">
        <v>14</v>
      </c>
      <c r="Q1435">
        <v>4</v>
      </c>
      <c r="R1435" s="8">
        <f>(Tabela2[[#This Row],[FAF_atividade_fisica_frequente_em_horas]]+ 0.1)</f>
        <v>2.1528960000000001</v>
      </c>
      <c r="S1435" s="1">
        <f>(Tabela2[[#This Row],[TUE_tempo_uso_aparelhos_em_horas]]/Tabela2[[#This Row],[FAF_Var]])</f>
        <v>0.41626952718570703</v>
      </c>
      <c r="T1435">
        <f>(Tabela2[[#This Row],[CAEC_lanche_entre_refeicoes]]*Tabela2[[#This Row],[FAVC_consumo_frequente_de_alimentos_mt_caloricos]])</f>
        <v>1</v>
      </c>
      <c r="U1435" s="1">
        <f>IF(OR(Tabela2[[#This Row],[MTRANS]]="Walking",Tabela2[[#This Row],[MTRANS]]="Bike"),Tabela2[[#This Row],[FAF_atividade_fisica_frequente_em_horas]]+1,M1435)</f>
        <v>2.0528960000000001</v>
      </c>
      <c r="V1435">
        <f>(Tabela2[[#This Row],[SMOKE]]+Tabela2[[#This Row],[CALC_bebe_alcool_frequentemente]])</f>
        <v>0</v>
      </c>
      <c r="W1435" s="8">
        <f>(Tabela2[[#This Row],[Weight]]/(Tabela2[[#This Row],[Height]] ^2))</f>
        <v>32.017427262499837</v>
      </c>
    </row>
    <row r="1436" spans="1:23" x14ac:dyDescent="0.25">
      <c r="A1436" t="s">
        <v>13</v>
      </c>
      <c r="B1436" s="7">
        <v>22.362877000000001</v>
      </c>
      <c r="C1436" s="4">
        <v>1.6071820000000001</v>
      </c>
      <c r="D1436" s="7">
        <v>82.368441000000004</v>
      </c>
      <c r="E1436">
        <v>1</v>
      </c>
      <c r="F1436">
        <v>1</v>
      </c>
      <c r="G1436" s="2">
        <v>1.8805339999999999</v>
      </c>
      <c r="H1436" s="2">
        <v>2.8065660000000001</v>
      </c>
      <c r="I1436">
        <v>1</v>
      </c>
      <c r="J1436">
        <v>0</v>
      </c>
      <c r="K1436" s="2">
        <v>2.3132450000000002</v>
      </c>
      <c r="L1436">
        <v>0</v>
      </c>
      <c r="M1436" s="7">
        <v>2.1467779999999999</v>
      </c>
      <c r="N1436" s="7">
        <v>0.19608400000000001</v>
      </c>
      <c r="O1436">
        <v>0</v>
      </c>
      <c r="P1436" t="s">
        <v>14</v>
      </c>
      <c r="Q1436">
        <v>4</v>
      </c>
      <c r="R1436" s="8">
        <f>(Tabela2[[#This Row],[FAF_atividade_fisica_frequente_em_horas]]+ 0.1)</f>
        <v>2.2467779999999999</v>
      </c>
      <c r="S1436" s="1">
        <f>(Tabela2[[#This Row],[TUE_tempo_uso_aparelhos_em_horas]]/Tabela2[[#This Row],[FAF_Var]])</f>
        <v>8.7273419981858474E-2</v>
      </c>
      <c r="T1436">
        <f>(Tabela2[[#This Row],[CAEC_lanche_entre_refeicoes]]*Tabela2[[#This Row],[FAVC_consumo_frequente_de_alimentos_mt_caloricos]])</f>
        <v>1</v>
      </c>
      <c r="U1436" s="1">
        <f>IF(OR(Tabela2[[#This Row],[MTRANS]]="Walking",Tabela2[[#This Row],[MTRANS]]="Bike"),Tabela2[[#This Row],[FAF_atividade_fisica_frequente_em_horas]]+1,M1436)</f>
        <v>2.1467779999999999</v>
      </c>
      <c r="V1436">
        <f>(Tabela2[[#This Row],[SMOKE]]+Tabela2[[#This Row],[CALC_bebe_alcool_frequentemente]])</f>
        <v>0</v>
      </c>
      <c r="W1436" s="8">
        <f>(Tabela2[[#This Row],[Weight]]/(Tabela2[[#This Row],[Height]] ^2))</f>
        <v>31.888252962184261</v>
      </c>
    </row>
    <row r="1437" spans="1:23" x14ac:dyDescent="0.25">
      <c r="A1437" t="s">
        <v>13</v>
      </c>
      <c r="B1437" s="7">
        <v>22.899740000000001</v>
      </c>
      <c r="C1437" s="4">
        <v>1.6617150000000001</v>
      </c>
      <c r="D1437" s="7">
        <v>82.595793</v>
      </c>
      <c r="E1437">
        <v>1</v>
      </c>
      <c r="F1437">
        <v>1</v>
      </c>
      <c r="G1437" s="2">
        <v>1.203754</v>
      </c>
      <c r="H1437" s="2">
        <v>1.3553539999999999</v>
      </c>
      <c r="I1437">
        <v>1</v>
      </c>
      <c r="J1437">
        <v>0</v>
      </c>
      <c r="K1437" s="2">
        <v>2.765593</v>
      </c>
      <c r="L1437">
        <v>0</v>
      </c>
      <c r="M1437" s="7">
        <v>0.12834200000000001</v>
      </c>
      <c r="N1437" s="7">
        <v>1.659476</v>
      </c>
      <c r="O1437">
        <v>1</v>
      </c>
      <c r="P1437" t="s">
        <v>14</v>
      </c>
      <c r="Q1437">
        <v>4</v>
      </c>
      <c r="R1437" s="8">
        <f>(Tabela2[[#This Row],[FAF_atividade_fisica_frequente_em_horas]]+ 0.1)</f>
        <v>0.22834200000000002</v>
      </c>
      <c r="S1437" s="1">
        <f>(Tabela2[[#This Row],[TUE_tempo_uso_aparelhos_em_horas]]/Tabela2[[#This Row],[FAF_Var]])</f>
        <v>7.2675022553888455</v>
      </c>
      <c r="T1437">
        <f>(Tabela2[[#This Row],[CAEC_lanche_entre_refeicoes]]*Tabela2[[#This Row],[FAVC_consumo_frequente_de_alimentos_mt_caloricos]])</f>
        <v>1</v>
      </c>
      <c r="U1437" s="1">
        <f>IF(OR(Tabela2[[#This Row],[MTRANS]]="Walking",Tabela2[[#This Row],[MTRANS]]="Bike"),Tabela2[[#This Row],[FAF_atividade_fisica_frequente_em_horas]]+1,M1437)</f>
        <v>0.12834200000000001</v>
      </c>
      <c r="V1437">
        <f>(Tabela2[[#This Row],[SMOKE]]+Tabela2[[#This Row],[CALC_bebe_alcool_frequentemente]])</f>
        <v>1</v>
      </c>
      <c r="W1437" s="8">
        <f>(Tabela2[[#This Row],[Weight]]/(Tabela2[[#This Row],[Height]] ^2))</f>
        <v>29.911958308167144</v>
      </c>
    </row>
    <row r="1438" spans="1:23" x14ac:dyDescent="0.25">
      <c r="A1438" t="s">
        <v>13</v>
      </c>
      <c r="B1438" s="7">
        <v>22.997167999999999</v>
      </c>
      <c r="C1438" s="4">
        <v>1.655742</v>
      </c>
      <c r="D1438" s="7">
        <v>82.463759999999994</v>
      </c>
      <c r="E1438">
        <v>1</v>
      </c>
      <c r="F1438">
        <v>1</v>
      </c>
      <c r="G1438" s="2">
        <v>2.73691</v>
      </c>
      <c r="H1438" s="2">
        <v>1.478334</v>
      </c>
      <c r="I1438">
        <v>1</v>
      </c>
      <c r="J1438">
        <v>0</v>
      </c>
      <c r="K1438" s="2">
        <v>2.6774089999999999</v>
      </c>
      <c r="L1438">
        <v>0</v>
      </c>
      <c r="M1438" s="7">
        <v>6.5264000000000003E-2</v>
      </c>
      <c r="N1438" s="7">
        <v>0.40699000000000002</v>
      </c>
      <c r="O1438">
        <v>1</v>
      </c>
      <c r="P1438" t="s">
        <v>14</v>
      </c>
      <c r="Q1438">
        <v>4</v>
      </c>
      <c r="R1438" s="8">
        <f>(Tabela2[[#This Row],[FAF_atividade_fisica_frequente_em_horas]]+ 0.1)</f>
        <v>0.16526400000000002</v>
      </c>
      <c r="S1438" s="1">
        <f>(Tabela2[[#This Row],[TUE_tempo_uso_aparelhos_em_horas]]/Tabela2[[#This Row],[FAF_Var]])</f>
        <v>2.4626657953335269</v>
      </c>
      <c r="T1438">
        <f>(Tabela2[[#This Row],[CAEC_lanche_entre_refeicoes]]*Tabela2[[#This Row],[FAVC_consumo_frequente_de_alimentos_mt_caloricos]])</f>
        <v>1</v>
      </c>
      <c r="U1438" s="1">
        <f>IF(OR(Tabela2[[#This Row],[MTRANS]]="Walking",Tabela2[[#This Row],[MTRANS]]="Bike"),Tabela2[[#This Row],[FAF_atividade_fisica_frequente_em_horas]]+1,M1438)</f>
        <v>6.5264000000000003E-2</v>
      </c>
      <c r="V1438">
        <f>(Tabela2[[#This Row],[SMOKE]]+Tabela2[[#This Row],[CALC_bebe_alcool_frequentemente]])</f>
        <v>1</v>
      </c>
      <c r="W1438" s="8">
        <f>(Tabela2[[#This Row],[Weight]]/(Tabela2[[#This Row],[Height]] ^2))</f>
        <v>30.079997941782576</v>
      </c>
    </row>
    <row r="1439" spans="1:23" x14ac:dyDescent="0.25">
      <c r="A1439" t="s">
        <v>13</v>
      </c>
      <c r="B1439" s="7">
        <v>38.895068999999999</v>
      </c>
      <c r="C1439" s="4">
        <v>1.5492570000000001</v>
      </c>
      <c r="D1439" s="7">
        <v>80</v>
      </c>
      <c r="E1439">
        <v>1</v>
      </c>
      <c r="F1439">
        <v>1</v>
      </c>
      <c r="G1439" s="2">
        <v>2.7366280000000001</v>
      </c>
      <c r="H1439" s="2">
        <v>1.1307510000000001</v>
      </c>
      <c r="I1439">
        <v>1</v>
      </c>
      <c r="J1439">
        <v>0</v>
      </c>
      <c r="K1439" s="2">
        <v>1.385175</v>
      </c>
      <c r="L1439">
        <v>0</v>
      </c>
      <c r="M1439" s="7">
        <v>1.666965</v>
      </c>
      <c r="N1439" s="7">
        <v>0</v>
      </c>
      <c r="O1439">
        <v>1</v>
      </c>
      <c r="P1439" t="s">
        <v>17</v>
      </c>
      <c r="Q1439">
        <v>4</v>
      </c>
      <c r="R1439" s="8">
        <f>(Tabela2[[#This Row],[FAF_atividade_fisica_frequente_em_horas]]+ 0.1)</f>
        <v>1.7669650000000001</v>
      </c>
      <c r="S1439" s="1">
        <f>(Tabela2[[#This Row],[TUE_tempo_uso_aparelhos_em_horas]]/Tabela2[[#This Row],[FAF_Var]])</f>
        <v>0</v>
      </c>
      <c r="T1439">
        <f>(Tabela2[[#This Row],[CAEC_lanche_entre_refeicoes]]*Tabela2[[#This Row],[FAVC_consumo_frequente_de_alimentos_mt_caloricos]])</f>
        <v>1</v>
      </c>
      <c r="U1439" s="1">
        <f>IF(OR(Tabela2[[#This Row],[MTRANS]]="Walking",Tabela2[[#This Row],[MTRANS]]="Bike"),Tabela2[[#This Row],[FAF_atividade_fisica_frequente_em_horas]]+1,M1439)</f>
        <v>1.666965</v>
      </c>
      <c r="V1439">
        <f>(Tabela2[[#This Row],[SMOKE]]+Tabela2[[#This Row],[CALC_bebe_alcool_frequentemente]])</f>
        <v>1</v>
      </c>
      <c r="W1439" s="8">
        <f>(Tabela2[[#This Row],[Weight]]/(Tabela2[[#This Row],[Height]] ^2))</f>
        <v>33.330593946687344</v>
      </c>
    </row>
    <row r="1440" spans="1:23" x14ac:dyDescent="0.25">
      <c r="A1440" t="s">
        <v>13</v>
      </c>
      <c r="B1440" s="7">
        <v>40.789529000000002</v>
      </c>
      <c r="C1440" s="4">
        <v>1.5497479999999999</v>
      </c>
      <c r="D1440" s="7">
        <v>80</v>
      </c>
      <c r="E1440">
        <v>1</v>
      </c>
      <c r="F1440">
        <v>1</v>
      </c>
      <c r="G1440" s="2">
        <v>2</v>
      </c>
      <c r="H1440" s="2">
        <v>1.099151</v>
      </c>
      <c r="I1440">
        <v>1</v>
      </c>
      <c r="J1440">
        <v>0</v>
      </c>
      <c r="K1440" s="2">
        <v>1.687611</v>
      </c>
      <c r="L1440">
        <v>0</v>
      </c>
      <c r="M1440" s="7">
        <v>1.8746620000000001</v>
      </c>
      <c r="N1440" s="7">
        <v>0</v>
      </c>
      <c r="O1440">
        <v>1</v>
      </c>
      <c r="P1440" t="s">
        <v>17</v>
      </c>
      <c r="Q1440">
        <v>4</v>
      </c>
      <c r="R1440" s="8">
        <f>(Tabela2[[#This Row],[FAF_atividade_fisica_frequente_em_horas]]+ 0.1)</f>
        <v>1.9746620000000001</v>
      </c>
      <c r="S1440" s="1">
        <f>(Tabela2[[#This Row],[TUE_tempo_uso_aparelhos_em_horas]]/Tabela2[[#This Row],[FAF_Var]])</f>
        <v>0</v>
      </c>
      <c r="T1440">
        <f>(Tabela2[[#This Row],[CAEC_lanche_entre_refeicoes]]*Tabela2[[#This Row],[FAVC_consumo_frequente_de_alimentos_mt_caloricos]])</f>
        <v>1</v>
      </c>
      <c r="U1440" s="1">
        <f>IF(OR(Tabela2[[#This Row],[MTRANS]]="Walking",Tabela2[[#This Row],[MTRANS]]="Bike"),Tabela2[[#This Row],[FAF_atividade_fisica_frequente_em_horas]]+1,M1440)</f>
        <v>1.8746620000000001</v>
      </c>
      <c r="V1440">
        <f>(Tabela2[[#This Row],[SMOKE]]+Tabela2[[#This Row],[CALC_bebe_alcool_frequentemente]])</f>
        <v>1</v>
      </c>
      <c r="W1440" s="8">
        <f>(Tabela2[[#This Row],[Weight]]/(Tabela2[[#This Row],[Height]] ^2))</f>
        <v>33.309477314627742</v>
      </c>
    </row>
    <row r="1441" spans="1:23" x14ac:dyDescent="0.25">
      <c r="A1441" t="s">
        <v>13</v>
      </c>
      <c r="B1441" s="7">
        <v>40.654155000000003</v>
      </c>
      <c r="C1441" s="4">
        <v>1.5290600000000001</v>
      </c>
      <c r="D1441" s="7">
        <v>79.760921999999994</v>
      </c>
      <c r="E1441">
        <v>1</v>
      </c>
      <c r="F1441">
        <v>1</v>
      </c>
      <c r="G1441" s="2">
        <v>2</v>
      </c>
      <c r="H1441" s="2">
        <v>3</v>
      </c>
      <c r="I1441">
        <v>1</v>
      </c>
      <c r="J1441">
        <v>0</v>
      </c>
      <c r="K1441" s="2">
        <v>1</v>
      </c>
      <c r="L1441">
        <v>0</v>
      </c>
      <c r="M1441" s="7">
        <v>0</v>
      </c>
      <c r="N1441" s="7">
        <v>0</v>
      </c>
      <c r="O1441">
        <v>1</v>
      </c>
      <c r="P1441" t="s">
        <v>17</v>
      </c>
      <c r="Q1441">
        <v>4</v>
      </c>
      <c r="R1441" s="8">
        <f>(Tabela2[[#This Row],[FAF_atividade_fisica_frequente_em_horas]]+ 0.1)</f>
        <v>0.1</v>
      </c>
      <c r="S1441" s="1">
        <f>(Tabela2[[#This Row],[TUE_tempo_uso_aparelhos_em_horas]]/Tabela2[[#This Row],[FAF_Var]])</f>
        <v>0</v>
      </c>
      <c r="T1441">
        <f>(Tabela2[[#This Row],[CAEC_lanche_entre_refeicoes]]*Tabela2[[#This Row],[FAVC_consumo_frequente_de_alimentos_mt_caloricos]])</f>
        <v>1</v>
      </c>
      <c r="U1441" s="1">
        <f>IF(OR(Tabela2[[#This Row],[MTRANS]]="Walking",Tabela2[[#This Row],[MTRANS]]="Bike"),Tabela2[[#This Row],[FAF_atividade_fisica_frequente_em_horas]]+1,M1441)</f>
        <v>0</v>
      </c>
      <c r="V1441">
        <f>(Tabela2[[#This Row],[SMOKE]]+Tabela2[[#This Row],[CALC_bebe_alcool_frequentemente]])</f>
        <v>1</v>
      </c>
      <c r="W1441" s="8">
        <f>(Tabela2[[#This Row],[Weight]]/(Tabela2[[#This Row],[Height]] ^2))</f>
        <v>34.114664991526176</v>
      </c>
    </row>
    <row r="1442" spans="1:23" x14ac:dyDescent="0.25">
      <c r="A1442" t="s">
        <v>13</v>
      </c>
      <c r="B1442" s="7">
        <v>38.542937000000002</v>
      </c>
      <c r="C1442" s="4">
        <v>1.5172479999999999</v>
      </c>
      <c r="D1442" s="7">
        <v>79.843221</v>
      </c>
      <c r="E1442">
        <v>1</v>
      </c>
      <c r="F1442">
        <v>1</v>
      </c>
      <c r="G1442" s="2">
        <v>2</v>
      </c>
      <c r="H1442" s="2">
        <v>3</v>
      </c>
      <c r="I1442">
        <v>1</v>
      </c>
      <c r="J1442">
        <v>0</v>
      </c>
      <c r="K1442" s="2">
        <v>1.0951340000000001</v>
      </c>
      <c r="L1442">
        <v>0</v>
      </c>
      <c r="M1442" s="7">
        <v>0</v>
      </c>
      <c r="N1442" s="7">
        <v>0</v>
      </c>
      <c r="O1442">
        <v>1</v>
      </c>
      <c r="P1442" t="s">
        <v>17</v>
      </c>
      <c r="Q1442">
        <v>4</v>
      </c>
      <c r="R1442" s="8">
        <f>(Tabela2[[#This Row],[FAF_atividade_fisica_frequente_em_horas]]+ 0.1)</f>
        <v>0.1</v>
      </c>
      <c r="S1442" s="1">
        <f>(Tabela2[[#This Row],[TUE_tempo_uso_aparelhos_em_horas]]/Tabela2[[#This Row],[FAF_Var]])</f>
        <v>0</v>
      </c>
      <c r="T1442">
        <f>(Tabela2[[#This Row],[CAEC_lanche_entre_refeicoes]]*Tabela2[[#This Row],[FAVC_consumo_frequente_de_alimentos_mt_caloricos]])</f>
        <v>1</v>
      </c>
      <c r="U1442" s="1">
        <f>IF(OR(Tabela2[[#This Row],[MTRANS]]="Walking",Tabela2[[#This Row],[MTRANS]]="Bike"),Tabela2[[#This Row],[FAF_atividade_fisica_frequente_em_horas]]+1,M1442)</f>
        <v>0</v>
      </c>
      <c r="V1442">
        <f>(Tabela2[[#This Row],[SMOKE]]+Tabela2[[#This Row],[CALC_bebe_alcool_frequentemente]])</f>
        <v>1</v>
      </c>
      <c r="W1442" s="8">
        <f>(Tabela2[[#This Row],[Weight]]/(Tabela2[[#This Row],[Height]] ^2))</f>
        <v>34.68365849412578</v>
      </c>
    </row>
    <row r="1443" spans="1:23" x14ac:dyDescent="0.25">
      <c r="A1443" t="s">
        <v>15</v>
      </c>
      <c r="B1443" s="7">
        <v>25.95383</v>
      </c>
      <c r="C1443" s="4">
        <v>1.6573100000000001</v>
      </c>
      <c r="D1443" s="7">
        <v>90</v>
      </c>
      <c r="E1443">
        <v>1</v>
      </c>
      <c r="F1443">
        <v>1</v>
      </c>
      <c r="G1443" s="2">
        <v>2</v>
      </c>
      <c r="H1443" s="2">
        <v>3</v>
      </c>
      <c r="I1443">
        <v>1</v>
      </c>
      <c r="J1443">
        <v>0</v>
      </c>
      <c r="K1443" s="2">
        <v>3</v>
      </c>
      <c r="L1443">
        <v>0</v>
      </c>
      <c r="M1443" s="7">
        <v>0.41364299999999998</v>
      </c>
      <c r="N1443" s="7">
        <v>0.92085799999999995</v>
      </c>
      <c r="O1443">
        <v>1</v>
      </c>
      <c r="P1443" t="s">
        <v>17</v>
      </c>
      <c r="Q1443">
        <v>4</v>
      </c>
      <c r="R1443" s="8">
        <f>(Tabela2[[#This Row],[FAF_atividade_fisica_frequente_em_horas]]+ 0.1)</f>
        <v>0.51364299999999996</v>
      </c>
      <c r="S1443" s="1">
        <f>(Tabela2[[#This Row],[TUE_tempo_uso_aparelhos_em_horas]]/Tabela2[[#This Row],[FAF_Var]])</f>
        <v>1.7927977213745734</v>
      </c>
      <c r="T1443">
        <f>(Tabela2[[#This Row],[CAEC_lanche_entre_refeicoes]]*Tabela2[[#This Row],[FAVC_consumo_frequente_de_alimentos_mt_caloricos]])</f>
        <v>1</v>
      </c>
      <c r="U1443" s="1">
        <f>IF(OR(Tabela2[[#This Row],[MTRANS]]="Walking",Tabela2[[#This Row],[MTRANS]]="Bike"),Tabela2[[#This Row],[FAF_atividade_fisica_frequente_em_horas]]+1,M1443)</f>
        <v>0.41364299999999998</v>
      </c>
      <c r="V1443">
        <f>(Tabela2[[#This Row],[SMOKE]]+Tabela2[[#This Row],[CALC_bebe_alcool_frequentemente]])</f>
        <v>1</v>
      </c>
      <c r="W1443" s="8">
        <f>(Tabela2[[#This Row],[Weight]]/(Tabela2[[#This Row],[Height]] ^2))</f>
        <v>32.766873744979883</v>
      </c>
    </row>
    <row r="1444" spans="1:23" x14ac:dyDescent="0.25">
      <c r="A1444" t="s">
        <v>15</v>
      </c>
      <c r="B1444" s="7">
        <v>26.826961000000001</v>
      </c>
      <c r="C1444" s="4">
        <v>1.673287</v>
      </c>
      <c r="D1444" s="7">
        <v>90</v>
      </c>
      <c r="E1444">
        <v>1</v>
      </c>
      <c r="F1444">
        <v>1</v>
      </c>
      <c r="G1444" s="2">
        <v>2</v>
      </c>
      <c r="H1444" s="2">
        <v>3</v>
      </c>
      <c r="I1444">
        <v>1</v>
      </c>
      <c r="J1444">
        <v>0</v>
      </c>
      <c r="K1444" s="2">
        <v>3</v>
      </c>
      <c r="L1444">
        <v>0</v>
      </c>
      <c r="M1444" s="7">
        <v>0.88493500000000003</v>
      </c>
      <c r="N1444" s="7">
        <v>0.12228</v>
      </c>
      <c r="O1444">
        <v>1</v>
      </c>
      <c r="P1444" t="s">
        <v>17</v>
      </c>
      <c r="Q1444">
        <v>4</v>
      </c>
      <c r="R1444" s="8">
        <f>(Tabela2[[#This Row],[FAF_atividade_fisica_frequente_em_horas]]+ 0.1)</f>
        <v>0.984935</v>
      </c>
      <c r="S1444" s="1">
        <f>(Tabela2[[#This Row],[TUE_tempo_uso_aparelhos_em_horas]]/Tabela2[[#This Row],[FAF_Var]])</f>
        <v>0.12415032464071234</v>
      </c>
      <c r="T1444">
        <f>(Tabela2[[#This Row],[CAEC_lanche_entre_refeicoes]]*Tabela2[[#This Row],[FAVC_consumo_frequente_de_alimentos_mt_caloricos]])</f>
        <v>1</v>
      </c>
      <c r="U1444" s="1">
        <f>IF(OR(Tabela2[[#This Row],[MTRANS]]="Walking",Tabela2[[#This Row],[MTRANS]]="Bike"),Tabela2[[#This Row],[FAF_atividade_fisica_frequente_em_horas]]+1,M1444)</f>
        <v>0.88493500000000003</v>
      </c>
      <c r="V1444">
        <f>(Tabela2[[#This Row],[SMOKE]]+Tabela2[[#This Row],[CALC_bebe_alcool_frequentemente]])</f>
        <v>1</v>
      </c>
      <c r="W1444" s="8">
        <f>(Tabela2[[#This Row],[Weight]]/(Tabela2[[#This Row],[Height]] ^2))</f>
        <v>32.144127015318837</v>
      </c>
    </row>
    <row r="1445" spans="1:23" x14ac:dyDescent="0.25">
      <c r="A1445" t="s">
        <v>13</v>
      </c>
      <c r="B1445" s="7">
        <v>23.803903999999999</v>
      </c>
      <c r="C1445" s="4">
        <v>1.5815269999999999</v>
      </c>
      <c r="D1445" s="7">
        <v>78.089574999999996</v>
      </c>
      <c r="E1445">
        <v>1</v>
      </c>
      <c r="F1445">
        <v>1</v>
      </c>
      <c r="G1445" s="2">
        <v>2</v>
      </c>
      <c r="H1445" s="2">
        <v>1</v>
      </c>
      <c r="I1445">
        <v>1</v>
      </c>
      <c r="J1445">
        <v>0</v>
      </c>
      <c r="K1445" s="2">
        <v>2</v>
      </c>
      <c r="L1445">
        <v>0</v>
      </c>
      <c r="M1445" s="7">
        <v>5.7757999999999997E-2</v>
      </c>
      <c r="N1445" s="7">
        <v>0</v>
      </c>
      <c r="O1445">
        <v>0</v>
      </c>
      <c r="P1445" t="s">
        <v>14</v>
      </c>
      <c r="Q1445">
        <v>4</v>
      </c>
      <c r="R1445" s="8">
        <f>(Tabela2[[#This Row],[FAF_atividade_fisica_frequente_em_horas]]+ 0.1)</f>
        <v>0.15775800000000001</v>
      </c>
      <c r="S1445" s="1">
        <f>(Tabela2[[#This Row],[TUE_tempo_uso_aparelhos_em_horas]]/Tabela2[[#This Row],[FAF_Var]])</f>
        <v>0</v>
      </c>
      <c r="T1445">
        <f>(Tabela2[[#This Row],[CAEC_lanche_entre_refeicoes]]*Tabela2[[#This Row],[FAVC_consumo_frequente_de_alimentos_mt_caloricos]])</f>
        <v>1</v>
      </c>
      <c r="U1445" s="1">
        <f>IF(OR(Tabela2[[#This Row],[MTRANS]]="Walking",Tabela2[[#This Row],[MTRANS]]="Bike"),Tabela2[[#This Row],[FAF_atividade_fisica_frequente_em_horas]]+1,M1445)</f>
        <v>5.7757999999999997E-2</v>
      </c>
      <c r="V1445">
        <f>(Tabela2[[#This Row],[SMOKE]]+Tabela2[[#This Row],[CALC_bebe_alcool_frequentemente]])</f>
        <v>0</v>
      </c>
      <c r="W1445" s="8">
        <f>(Tabela2[[#This Row],[Weight]]/(Tabela2[[#This Row],[Height]] ^2))</f>
        <v>31.220498840247412</v>
      </c>
    </row>
    <row r="1446" spans="1:23" x14ac:dyDescent="0.25">
      <c r="A1446" t="s">
        <v>13</v>
      </c>
      <c r="B1446" s="7">
        <v>23.652435000000001</v>
      </c>
      <c r="C1446" s="4">
        <v>1.562724</v>
      </c>
      <c r="D1446" s="7">
        <v>80.535697999999996</v>
      </c>
      <c r="E1446">
        <v>1</v>
      </c>
      <c r="F1446">
        <v>1</v>
      </c>
      <c r="G1446" s="2">
        <v>2</v>
      </c>
      <c r="H1446" s="2">
        <v>1</v>
      </c>
      <c r="I1446">
        <v>1</v>
      </c>
      <c r="J1446">
        <v>0</v>
      </c>
      <c r="K1446" s="2">
        <v>2</v>
      </c>
      <c r="L1446">
        <v>0</v>
      </c>
      <c r="M1446" s="7">
        <v>0.38971699999999998</v>
      </c>
      <c r="N1446" s="7">
        <v>0</v>
      </c>
      <c r="O1446">
        <v>0</v>
      </c>
      <c r="P1446" t="s">
        <v>14</v>
      </c>
      <c r="Q1446">
        <v>4</v>
      </c>
      <c r="R1446" s="8">
        <f>(Tabela2[[#This Row],[FAF_atividade_fisica_frequente_em_horas]]+ 0.1)</f>
        <v>0.48971699999999996</v>
      </c>
      <c r="S1446" s="1">
        <f>(Tabela2[[#This Row],[TUE_tempo_uso_aparelhos_em_horas]]/Tabela2[[#This Row],[FAF_Var]])</f>
        <v>0</v>
      </c>
      <c r="T1446">
        <f>(Tabela2[[#This Row],[CAEC_lanche_entre_refeicoes]]*Tabela2[[#This Row],[FAVC_consumo_frequente_de_alimentos_mt_caloricos]])</f>
        <v>1</v>
      </c>
      <c r="U1446" s="1">
        <f>IF(OR(Tabela2[[#This Row],[MTRANS]]="Walking",Tabela2[[#This Row],[MTRANS]]="Bike"),Tabela2[[#This Row],[FAF_atividade_fisica_frequente_em_horas]]+1,M1446)</f>
        <v>0.38971699999999998</v>
      </c>
      <c r="V1446">
        <f>(Tabela2[[#This Row],[SMOKE]]+Tabela2[[#This Row],[CALC_bebe_alcool_frequentemente]])</f>
        <v>0</v>
      </c>
      <c r="W1446" s="8">
        <f>(Tabela2[[#This Row],[Weight]]/(Tabela2[[#This Row],[Height]] ^2))</f>
        <v>32.977965780685253</v>
      </c>
    </row>
    <row r="1447" spans="1:23" x14ac:dyDescent="0.25">
      <c r="A1447" t="s">
        <v>15</v>
      </c>
      <c r="B1447" s="7">
        <v>20.677105000000001</v>
      </c>
      <c r="C1447" s="4">
        <v>1.7812509999999999</v>
      </c>
      <c r="D1447" s="7">
        <v>102.950929</v>
      </c>
      <c r="E1447">
        <v>1</v>
      </c>
      <c r="F1447">
        <v>1</v>
      </c>
      <c r="G1447" s="2">
        <v>2</v>
      </c>
      <c r="H1447" s="2">
        <v>3</v>
      </c>
      <c r="I1447">
        <v>1</v>
      </c>
      <c r="J1447">
        <v>0</v>
      </c>
      <c r="K1447" s="2">
        <v>1.6181890000000001</v>
      </c>
      <c r="L1447">
        <v>0</v>
      </c>
      <c r="M1447" s="7">
        <v>0.57164800000000004</v>
      </c>
      <c r="N1447" s="7">
        <v>0</v>
      </c>
      <c r="O1447">
        <v>0</v>
      </c>
      <c r="P1447" t="s">
        <v>14</v>
      </c>
      <c r="Q1447">
        <v>4</v>
      </c>
      <c r="R1447" s="8">
        <f>(Tabela2[[#This Row],[FAF_atividade_fisica_frequente_em_horas]]+ 0.1)</f>
        <v>0.67164800000000002</v>
      </c>
      <c r="S1447" s="1">
        <f>(Tabela2[[#This Row],[TUE_tempo_uso_aparelhos_em_horas]]/Tabela2[[#This Row],[FAF_Var]])</f>
        <v>0</v>
      </c>
      <c r="T1447">
        <f>(Tabela2[[#This Row],[CAEC_lanche_entre_refeicoes]]*Tabela2[[#This Row],[FAVC_consumo_frequente_de_alimentos_mt_caloricos]])</f>
        <v>1</v>
      </c>
      <c r="U1447" s="1">
        <f>IF(OR(Tabela2[[#This Row],[MTRANS]]="Walking",Tabela2[[#This Row],[MTRANS]]="Bike"),Tabela2[[#This Row],[FAF_atividade_fisica_frequente_em_horas]]+1,M1447)</f>
        <v>0.57164800000000004</v>
      </c>
      <c r="V1447">
        <f>(Tabela2[[#This Row],[SMOKE]]+Tabela2[[#This Row],[CALC_bebe_alcool_frequentemente]])</f>
        <v>0</v>
      </c>
      <c r="W1447" s="8">
        <f>(Tabela2[[#This Row],[Weight]]/(Tabela2[[#This Row],[Height]] ^2))</f>
        <v>32.447409334508322</v>
      </c>
    </row>
    <row r="1448" spans="1:23" x14ac:dyDescent="0.25">
      <c r="A1448" t="s">
        <v>15</v>
      </c>
      <c r="B1448" s="7">
        <v>21.797388000000002</v>
      </c>
      <c r="C1448" s="4">
        <v>1.7755840000000001</v>
      </c>
      <c r="D1448" s="7">
        <v>103.605896</v>
      </c>
      <c r="E1448">
        <v>1</v>
      </c>
      <c r="F1448">
        <v>1</v>
      </c>
      <c r="G1448" s="2">
        <v>2.121909</v>
      </c>
      <c r="H1448" s="2">
        <v>3</v>
      </c>
      <c r="I1448">
        <v>1</v>
      </c>
      <c r="J1448">
        <v>0</v>
      </c>
      <c r="K1448" s="2">
        <v>2.500556</v>
      </c>
      <c r="L1448">
        <v>0</v>
      </c>
      <c r="M1448" s="7">
        <v>1.2075800000000001</v>
      </c>
      <c r="N1448" s="7">
        <v>0</v>
      </c>
      <c r="O1448">
        <v>0</v>
      </c>
      <c r="P1448" t="s">
        <v>14</v>
      </c>
      <c r="Q1448">
        <v>4</v>
      </c>
      <c r="R1448" s="8">
        <f>(Tabela2[[#This Row],[FAF_atividade_fisica_frequente_em_horas]]+ 0.1)</f>
        <v>1.3075800000000002</v>
      </c>
      <c r="S1448" s="1">
        <f>(Tabela2[[#This Row],[TUE_tempo_uso_aparelhos_em_horas]]/Tabela2[[#This Row],[FAF_Var]])</f>
        <v>0</v>
      </c>
      <c r="T1448">
        <f>(Tabela2[[#This Row],[CAEC_lanche_entre_refeicoes]]*Tabela2[[#This Row],[FAVC_consumo_frequente_de_alimentos_mt_caloricos]])</f>
        <v>1</v>
      </c>
      <c r="U1448" s="1">
        <f>IF(OR(Tabela2[[#This Row],[MTRANS]]="Walking",Tabela2[[#This Row],[MTRANS]]="Bike"),Tabela2[[#This Row],[FAF_atividade_fisica_frequente_em_horas]]+1,M1448)</f>
        <v>1.2075800000000001</v>
      </c>
      <c r="V1448">
        <f>(Tabela2[[#This Row],[SMOKE]]+Tabela2[[#This Row],[CALC_bebe_alcool_frequentemente]])</f>
        <v>0</v>
      </c>
      <c r="W1448" s="8">
        <f>(Tabela2[[#This Row],[Weight]]/(Tabela2[[#This Row],[Height]] ^2))</f>
        <v>32.86260790582822</v>
      </c>
    </row>
    <row r="1449" spans="1:23" x14ac:dyDescent="0.25">
      <c r="A1449" t="s">
        <v>15</v>
      </c>
      <c r="B1449" s="7">
        <v>22.719384999999999</v>
      </c>
      <c r="C1449" s="4">
        <v>1.746645</v>
      </c>
      <c r="D1449" s="7">
        <v>96.875501999999997</v>
      </c>
      <c r="E1449">
        <v>1</v>
      </c>
      <c r="F1449">
        <v>1</v>
      </c>
      <c r="G1449" s="2">
        <v>2</v>
      </c>
      <c r="H1449" s="2">
        <v>3</v>
      </c>
      <c r="I1449">
        <v>1</v>
      </c>
      <c r="J1449">
        <v>0</v>
      </c>
      <c r="K1449" s="2">
        <v>2.7140909999999998</v>
      </c>
      <c r="L1449">
        <v>0</v>
      </c>
      <c r="M1449" s="7">
        <v>2.6410200000000001</v>
      </c>
      <c r="N1449" s="7">
        <v>1.224737</v>
      </c>
      <c r="O1449">
        <v>0</v>
      </c>
      <c r="P1449" t="s">
        <v>14</v>
      </c>
      <c r="Q1449">
        <v>4</v>
      </c>
      <c r="R1449" s="8">
        <f>(Tabela2[[#This Row],[FAF_atividade_fisica_frequente_em_horas]]+ 0.1)</f>
        <v>2.7410200000000002</v>
      </c>
      <c r="S1449" s="1">
        <f>(Tabela2[[#This Row],[TUE_tempo_uso_aparelhos_em_horas]]/Tabela2[[#This Row],[FAF_Var]])</f>
        <v>0.44681797287141278</v>
      </c>
      <c r="T1449">
        <f>(Tabela2[[#This Row],[CAEC_lanche_entre_refeicoes]]*Tabela2[[#This Row],[FAVC_consumo_frequente_de_alimentos_mt_caloricos]])</f>
        <v>1</v>
      </c>
      <c r="U1449" s="1">
        <f>IF(OR(Tabela2[[#This Row],[MTRANS]]="Walking",Tabela2[[#This Row],[MTRANS]]="Bike"),Tabela2[[#This Row],[FAF_atividade_fisica_frequente_em_horas]]+1,M1449)</f>
        <v>2.6410200000000001</v>
      </c>
      <c r="V1449">
        <f>(Tabela2[[#This Row],[SMOKE]]+Tabela2[[#This Row],[CALC_bebe_alcool_frequentemente]])</f>
        <v>0</v>
      </c>
      <c r="W1449" s="8">
        <f>(Tabela2[[#This Row],[Weight]]/(Tabela2[[#This Row],[Height]] ^2))</f>
        <v>31.754455924815474</v>
      </c>
    </row>
    <row r="1450" spans="1:23" x14ac:dyDescent="0.25">
      <c r="A1450" t="s">
        <v>15</v>
      </c>
      <c r="B1450" s="7">
        <v>22.177098999999998</v>
      </c>
      <c r="C1450" s="4">
        <v>1.7413529999999999</v>
      </c>
      <c r="D1450" s="7">
        <v>96.738014000000007</v>
      </c>
      <c r="E1450">
        <v>1</v>
      </c>
      <c r="F1450">
        <v>1</v>
      </c>
      <c r="G1450" s="2">
        <v>2</v>
      </c>
      <c r="H1450" s="2">
        <v>3</v>
      </c>
      <c r="I1450">
        <v>1</v>
      </c>
      <c r="J1450">
        <v>0</v>
      </c>
      <c r="K1450" s="2">
        <v>2.6976610000000001</v>
      </c>
      <c r="L1450">
        <v>0</v>
      </c>
      <c r="M1450" s="7">
        <v>2.6149089999999999</v>
      </c>
      <c r="N1450" s="7">
        <v>1.229474</v>
      </c>
      <c r="O1450">
        <v>0</v>
      </c>
      <c r="P1450" t="s">
        <v>14</v>
      </c>
      <c r="Q1450">
        <v>4</v>
      </c>
      <c r="R1450" s="8">
        <f>(Tabela2[[#This Row],[FAF_atividade_fisica_frequente_em_horas]]+ 0.1)</f>
        <v>2.714909</v>
      </c>
      <c r="S1450" s="1">
        <f>(Tabela2[[#This Row],[TUE_tempo_uso_aparelhos_em_horas]]/Tabela2[[#This Row],[FAF_Var]])</f>
        <v>0.45286011428007344</v>
      </c>
      <c r="T1450">
        <f>(Tabela2[[#This Row],[CAEC_lanche_entre_refeicoes]]*Tabela2[[#This Row],[FAVC_consumo_frequente_de_alimentos_mt_caloricos]])</f>
        <v>1</v>
      </c>
      <c r="U1450" s="1">
        <f>IF(OR(Tabela2[[#This Row],[MTRANS]]="Walking",Tabela2[[#This Row],[MTRANS]]="Bike"),Tabela2[[#This Row],[FAF_atividade_fisica_frequente_em_horas]]+1,M1450)</f>
        <v>2.6149089999999999</v>
      </c>
      <c r="V1450">
        <f>(Tabela2[[#This Row],[SMOKE]]+Tabela2[[#This Row],[CALC_bebe_alcool_frequentemente]])</f>
        <v>0</v>
      </c>
      <c r="W1450" s="8">
        <f>(Tabela2[[#This Row],[Weight]]/(Tabela2[[#This Row],[Height]] ^2))</f>
        <v>31.902412803084111</v>
      </c>
    </row>
    <row r="1451" spans="1:23" x14ac:dyDescent="0.25">
      <c r="A1451" t="s">
        <v>13</v>
      </c>
      <c r="B1451" s="7">
        <v>23.099906000000001</v>
      </c>
      <c r="C1451" s="4">
        <v>1.571812</v>
      </c>
      <c r="D1451" s="7">
        <v>78.997166000000007</v>
      </c>
      <c r="E1451">
        <v>1</v>
      </c>
      <c r="F1451">
        <v>1</v>
      </c>
      <c r="G1451" s="2">
        <v>2</v>
      </c>
      <c r="H1451" s="2">
        <v>1</v>
      </c>
      <c r="I1451">
        <v>1</v>
      </c>
      <c r="J1451">
        <v>0</v>
      </c>
      <c r="K1451" s="2">
        <v>2</v>
      </c>
      <c r="L1451">
        <v>0</v>
      </c>
      <c r="M1451" s="7">
        <v>0.40261400000000003</v>
      </c>
      <c r="N1451" s="7">
        <v>0</v>
      </c>
      <c r="O1451">
        <v>0</v>
      </c>
      <c r="P1451" t="s">
        <v>14</v>
      </c>
      <c r="Q1451">
        <v>4</v>
      </c>
      <c r="R1451" s="8">
        <f>(Tabela2[[#This Row],[FAF_atividade_fisica_frequente_em_horas]]+ 0.1)</f>
        <v>0.50261400000000001</v>
      </c>
      <c r="S1451" s="1">
        <f>(Tabela2[[#This Row],[TUE_tempo_uso_aparelhos_em_horas]]/Tabela2[[#This Row],[FAF_Var]])</f>
        <v>0</v>
      </c>
      <c r="T1451">
        <f>(Tabela2[[#This Row],[CAEC_lanche_entre_refeicoes]]*Tabela2[[#This Row],[FAVC_consumo_frequente_de_alimentos_mt_caloricos]])</f>
        <v>1</v>
      </c>
      <c r="U1451" s="1">
        <f>IF(OR(Tabela2[[#This Row],[MTRANS]]="Walking",Tabela2[[#This Row],[MTRANS]]="Bike"),Tabela2[[#This Row],[FAF_atividade_fisica_frequente_em_horas]]+1,M1451)</f>
        <v>0.40261400000000003</v>
      </c>
      <c r="V1451">
        <f>(Tabela2[[#This Row],[SMOKE]]+Tabela2[[#This Row],[CALC_bebe_alcool_frequentemente]])</f>
        <v>0</v>
      </c>
      <c r="W1451" s="8">
        <f>(Tabela2[[#This Row],[Weight]]/(Tabela2[[#This Row],[Height]] ^2))</f>
        <v>31.974982189326592</v>
      </c>
    </row>
    <row r="1452" spans="1:23" x14ac:dyDescent="0.25">
      <c r="A1452" t="s">
        <v>13</v>
      </c>
      <c r="B1452" s="7">
        <v>24.178509999999999</v>
      </c>
      <c r="C1452" s="4">
        <v>1.589027</v>
      </c>
      <c r="D1452" s="7">
        <v>80.553066999999999</v>
      </c>
      <c r="E1452">
        <v>1</v>
      </c>
      <c r="F1452">
        <v>1</v>
      </c>
      <c r="G1452" s="2">
        <v>2</v>
      </c>
      <c r="H1452" s="2">
        <v>1</v>
      </c>
      <c r="I1452">
        <v>1</v>
      </c>
      <c r="J1452">
        <v>0</v>
      </c>
      <c r="K1452" s="2">
        <v>2</v>
      </c>
      <c r="L1452">
        <v>0</v>
      </c>
      <c r="M1452" s="7">
        <v>1.1476999999999999E-2</v>
      </c>
      <c r="N1452" s="7">
        <v>0</v>
      </c>
      <c r="O1452">
        <v>0</v>
      </c>
      <c r="P1452" t="s">
        <v>14</v>
      </c>
      <c r="Q1452">
        <v>4</v>
      </c>
      <c r="R1452" s="8">
        <f>(Tabela2[[#This Row],[FAF_atividade_fisica_frequente_em_horas]]+ 0.1)</f>
        <v>0.11147700000000001</v>
      </c>
      <c r="S1452" s="1">
        <f>(Tabela2[[#This Row],[TUE_tempo_uso_aparelhos_em_horas]]/Tabela2[[#This Row],[FAF_Var]])</f>
        <v>0</v>
      </c>
      <c r="T1452">
        <f>(Tabela2[[#This Row],[CAEC_lanche_entre_refeicoes]]*Tabela2[[#This Row],[FAVC_consumo_frequente_de_alimentos_mt_caloricos]])</f>
        <v>1</v>
      </c>
      <c r="U1452" s="1">
        <f>IF(OR(Tabela2[[#This Row],[MTRANS]]="Walking",Tabela2[[#This Row],[MTRANS]]="Bike"),Tabela2[[#This Row],[FAF_atividade_fisica_frequente_em_horas]]+1,M1452)</f>
        <v>1.1476999999999999E-2</v>
      </c>
      <c r="V1452">
        <f>(Tabela2[[#This Row],[SMOKE]]+Tabela2[[#This Row],[CALC_bebe_alcool_frequentemente]])</f>
        <v>0</v>
      </c>
      <c r="W1452" s="8">
        <f>(Tabela2[[#This Row],[Weight]]/(Tabela2[[#This Row],[Height]] ^2))</f>
        <v>31.902118752840842</v>
      </c>
    </row>
    <row r="1453" spans="1:23" x14ac:dyDescent="0.25">
      <c r="A1453" t="s">
        <v>15</v>
      </c>
      <c r="B1453" s="7">
        <v>20.924807999999999</v>
      </c>
      <c r="C1453" s="4">
        <v>1.803245</v>
      </c>
      <c r="D1453" s="7">
        <v>105.686091</v>
      </c>
      <c r="E1453">
        <v>1</v>
      </c>
      <c r="F1453">
        <v>1</v>
      </c>
      <c r="G1453" s="2">
        <v>2</v>
      </c>
      <c r="H1453" s="2">
        <v>3</v>
      </c>
      <c r="I1453">
        <v>1</v>
      </c>
      <c r="J1453">
        <v>0</v>
      </c>
      <c r="K1453" s="2">
        <v>2.290368</v>
      </c>
      <c r="L1453">
        <v>0</v>
      </c>
      <c r="M1453" s="7">
        <v>1.0859999999999999E-3</v>
      </c>
      <c r="N1453" s="7">
        <v>0.54412799999999995</v>
      </c>
      <c r="O1453">
        <v>1</v>
      </c>
      <c r="P1453" t="s">
        <v>14</v>
      </c>
      <c r="Q1453">
        <v>4</v>
      </c>
      <c r="R1453" s="8">
        <f>(Tabela2[[#This Row],[FAF_atividade_fisica_frequente_em_horas]]+ 0.1)</f>
        <v>0.10108600000000001</v>
      </c>
      <c r="S1453" s="1">
        <f>(Tabela2[[#This Row],[TUE_tempo_uso_aparelhos_em_horas]]/Tabela2[[#This Row],[FAF_Var]])</f>
        <v>5.3828225471380797</v>
      </c>
      <c r="T1453">
        <f>(Tabela2[[#This Row],[CAEC_lanche_entre_refeicoes]]*Tabela2[[#This Row],[FAVC_consumo_frequente_de_alimentos_mt_caloricos]])</f>
        <v>1</v>
      </c>
      <c r="U1453" s="1">
        <f>IF(OR(Tabela2[[#This Row],[MTRANS]]="Walking",Tabela2[[#This Row],[MTRANS]]="Bike"),Tabela2[[#This Row],[FAF_atividade_fisica_frequente_em_horas]]+1,M1453)</f>
        <v>1.0859999999999999E-3</v>
      </c>
      <c r="V1453">
        <f>(Tabela2[[#This Row],[SMOKE]]+Tabela2[[#This Row],[CALC_bebe_alcool_frequentemente]])</f>
        <v>1</v>
      </c>
      <c r="W1453" s="8">
        <f>(Tabela2[[#This Row],[Weight]]/(Tabela2[[#This Row],[Height]] ^2))</f>
        <v>32.50187095616554</v>
      </c>
    </row>
    <row r="1454" spans="1:23" x14ac:dyDescent="0.25">
      <c r="A1454" t="s">
        <v>15</v>
      </c>
      <c r="B1454" s="7">
        <v>20.975973</v>
      </c>
      <c r="C1454" s="4">
        <v>1.792646</v>
      </c>
      <c r="D1454" s="7">
        <v>105.61914299999999</v>
      </c>
      <c r="E1454">
        <v>1</v>
      </c>
      <c r="F1454">
        <v>1</v>
      </c>
      <c r="G1454" s="2">
        <v>2</v>
      </c>
      <c r="H1454" s="2">
        <v>3</v>
      </c>
      <c r="I1454">
        <v>1</v>
      </c>
      <c r="J1454">
        <v>0</v>
      </c>
      <c r="K1454" s="2">
        <v>1.0252749999999999</v>
      </c>
      <c r="L1454">
        <v>0</v>
      </c>
      <c r="M1454" s="7">
        <v>2.0300000000000001E-3</v>
      </c>
      <c r="N1454" s="7">
        <v>0.17558699999999999</v>
      </c>
      <c r="O1454">
        <v>1</v>
      </c>
      <c r="P1454" t="s">
        <v>14</v>
      </c>
      <c r="Q1454">
        <v>4</v>
      </c>
      <c r="R1454" s="8">
        <f>(Tabela2[[#This Row],[FAF_atividade_fisica_frequente_em_horas]]+ 0.1)</f>
        <v>0.10203000000000001</v>
      </c>
      <c r="S1454" s="1">
        <f>(Tabela2[[#This Row],[TUE_tempo_uso_aparelhos_em_horas]]/Tabela2[[#This Row],[FAF_Var]])</f>
        <v>1.7209350191120256</v>
      </c>
      <c r="T1454">
        <f>(Tabela2[[#This Row],[CAEC_lanche_entre_refeicoes]]*Tabela2[[#This Row],[FAVC_consumo_frequente_de_alimentos_mt_caloricos]])</f>
        <v>1</v>
      </c>
      <c r="U1454" s="1">
        <f>IF(OR(Tabela2[[#This Row],[MTRANS]]="Walking",Tabela2[[#This Row],[MTRANS]]="Bike"),Tabela2[[#This Row],[FAF_atividade_fisica_frequente_em_horas]]+1,M1454)</f>
        <v>2.0300000000000001E-3</v>
      </c>
      <c r="V1454">
        <f>(Tabela2[[#This Row],[SMOKE]]+Tabela2[[#This Row],[CALC_bebe_alcool_frequentemente]])</f>
        <v>1</v>
      </c>
      <c r="W1454" s="8">
        <f>(Tabela2[[#This Row],[Weight]]/(Tabela2[[#This Row],[Height]] ^2))</f>
        <v>32.866508216391161</v>
      </c>
    </row>
    <row r="1455" spans="1:23" x14ac:dyDescent="0.25">
      <c r="A1455" t="s">
        <v>15</v>
      </c>
      <c r="B1455" s="7">
        <v>21.856300999999998</v>
      </c>
      <c r="C1455" s="4">
        <v>1.87199</v>
      </c>
      <c r="D1455" s="7">
        <v>115.627554</v>
      </c>
      <c r="E1455">
        <v>1</v>
      </c>
      <c r="F1455">
        <v>1</v>
      </c>
      <c r="G1455" s="2">
        <v>2</v>
      </c>
      <c r="H1455" s="2">
        <v>2.3584550000000002</v>
      </c>
      <c r="I1455">
        <v>1</v>
      </c>
      <c r="J1455">
        <v>0</v>
      </c>
      <c r="K1455" s="2">
        <v>2.515765</v>
      </c>
      <c r="L1455">
        <v>0</v>
      </c>
      <c r="M1455" s="7">
        <v>0.98231999999999997</v>
      </c>
      <c r="N1455" s="7">
        <v>1.1574660000000001</v>
      </c>
      <c r="O1455">
        <v>1</v>
      </c>
      <c r="P1455" t="s">
        <v>14</v>
      </c>
      <c r="Q1455">
        <v>4</v>
      </c>
      <c r="R1455" s="8">
        <f>(Tabela2[[#This Row],[FAF_atividade_fisica_frequente_em_horas]]+ 0.1)</f>
        <v>1.0823199999999999</v>
      </c>
      <c r="S1455" s="1">
        <f>(Tabela2[[#This Row],[TUE_tempo_uso_aparelhos_em_horas]]/Tabela2[[#This Row],[FAF_Var]])</f>
        <v>1.0694304826668639</v>
      </c>
      <c r="T1455">
        <f>(Tabela2[[#This Row],[CAEC_lanche_entre_refeicoes]]*Tabela2[[#This Row],[FAVC_consumo_frequente_de_alimentos_mt_caloricos]])</f>
        <v>1</v>
      </c>
      <c r="U1455" s="1">
        <f>IF(OR(Tabela2[[#This Row],[MTRANS]]="Walking",Tabela2[[#This Row],[MTRANS]]="Bike"),Tabela2[[#This Row],[FAF_atividade_fisica_frequente_em_horas]]+1,M1455)</f>
        <v>0.98231999999999997</v>
      </c>
      <c r="V1455">
        <f>(Tabela2[[#This Row],[SMOKE]]+Tabela2[[#This Row],[CALC_bebe_alcool_frequentemente]])</f>
        <v>1</v>
      </c>
      <c r="W1455" s="8">
        <f>(Tabela2[[#This Row],[Weight]]/(Tabela2[[#This Row],[Height]] ^2))</f>
        <v>32.995467776081043</v>
      </c>
    </row>
    <row r="1456" spans="1:23" x14ac:dyDescent="0.25">
      <c r="A1456" t="s">
        <v>15</v>
      </c>
      <c r="B1456" s="7">
        <v>18.140751000000002</v>
      </c>
      <c r="C1456" s="4">
        <v>1.859056</v>
      </c>
      <c r="D1456" s="7">
        <v>111.23518799999999</v>
      </c>
      <c r="E1456">
        <v>1</v>
      </c>
      <c r="F1456">
        <v>1</v>
      </c>
      <c r="G1456" s="2">
        <v>2</v>
      </c>
      <c r="H1456" s="2">
        <v>1.7065509999999999</v>
      </c>
      <c r="I1456">
        <v>1</v>
      </c>
      <c r="J1456">
        <v>0</v>
      </c>
      <c r="K1456" s="2">
        <v>2.039514</v>
      </c>
      <c r="L1456">
        <v>0</v>
      </c>
      <c r="M1456" s="7">
        <v>1</v>
      </c>
      <c r="N1456" s="7">
        <v>2</v>
      </c>
      <c r="O1456">
        <v>1</v>
      </c>
      <c r="P1456" t="s">
        <v>14</v>
      </c>
      <c r="Q1456">
        <v>4</v>
      </c>
      <c r="R1456" s="8">
        <f>(Tabela2[[#This Row],[FAF_atividade_fisica_frequente_em_horas]]+ 0.1)</f>
        <v>1.1000000000000001</v>
      </c>
      <c r="S1456" s="1">
        <f>(Tabela2[[#This Row],[TUE_tempo_uso_aparelhos_em_horas]]/Tabela2[[#This Row],[FAF_Var]])</f>
        <v>1.8181818181818181</v>
      </c>
      <c r="T1456">
        <f>(Tabela2[[#This Row],[CAEC_lanche_entre_refeicoes]]*Tabela2[[#This Row],[FAVC_consumo_frequente_de_alimentos_mt_caloricos]])</f>
        <v>1</v>
      </c>
      <c r="U1456" s="1">
        <f>IF(OR(Tabela2[[#This Row],[MTRANS]]="Walking",Tabela2[[#This Row],[MTRANS]]="Bike"),Tabela2[[#This Row],[FAF_atividade_fisica_frequente_em_horas]]+1,M1456)</f>
        <v>1</v>
      </c>
      <c r="V1456">
        <f>(Tabela2[[#This Row],[SMOKE]]+Tabela2[[#This Row],[CALC_bebe_alcool_frequentemente]])</f>
        <v>1</v>
      </c>
      <c r="W1456" s="8">
        <f>(Tabela2[[#This Row],[Weight]]/(Tabela2[[#This Row],[Height]] ^2))</f>
        <v>32.185276827225621</v>
      </c>
    </row>
    <row r="1457" spans="1:23" x14ac:dyDescent="0.25">
      <c r="A1457" t="s">
        <v>13</v>
      </c>
      <c r="B1457" s="7">
        <v>18</v>
      </c>
      <c r="C1457" s="4">
        <v>1.692242</v>
      </c>
      <c r="D1457" s="7">
        <v>90.019501000000005</v>
      </c>
      <c r="E1457">
        <v>1</v>
      </c>
      <c r="F1457">
        <v>1</v>
      </c>
      <c r="G1457" s="2">
        <v>2.642744</v>
      </c>
      <c r="H1457" s="2">
        <v>3</v>
      </c>
      <c r="I1457">
        <v>1</v>
      </c>
      <c r="J1457">
        <v>0</v>
      </c>
      <c r="K1457" s="2">
        <v>1.9040539999999999</v>
      </c>
      <c r="L1457">
        <v>0</v>
      </c>
      <c r="M1457" s="7">
        <v>1.645654</v>
      </c>
      <c r="N1457" s="7">
        <v>0.36354900000000001</v>
      </c>
      <c r="O1457">
        <v>1</v>
      </c>
      <c r="P1457" t="s">
        <v>14</v>
      </c>
      <c r="Q1457">
        <v>4</v>
      </c>
      <c r="R1457" s="8">
        <f>(Tabela2[[#This Row],[FAF_atividade_fisica_frequente_em_horas]]+ 0.1)</f>
        <v>1.745654</v>
      </c>
      <c r="S1457" s="1">
        <f>(Tabela2[[#This Row],[TUE_tempo_uso_aparelhos_em_horas]]/Tabela2[[#This Row],[FAF_Var]])</f>
        <v>0.2082594832652977</v>
      </c>
      <c r="T1457">
        <f>(Tabela2[[#This Row],[CAEC_lanche_entre_refeicoes]]*Tabela2[[#This Row],[FAVC_consumo_frequente_de_alimentos_mt_caloricos]])</f>
        <v>1</v>
      </c>
      <c r="U1457" s="1">
        <f>IF(OR(Tabela2[[#This Row],[MTRANS]]="Walking",Tabela2[[#This Row],[MTRANS]]="Bike"),Tabela2[[#This Row],[FAF_atividade_fisica_frequente_em_horas]]+1,M1457)</f>
        <v>1.645654</v>
      </c>
      <c r="V1457">
        <f>(Tabela2[[#This Row],[SMOKE]]+Tabela2[[#This Row],[CALC_bebe_alcool_frequentemente]])</f>
        <v>1</v>
      </c>
      <c r="W1457" s="8">
        <f>(Tabela2[[#This Row],[Weight]]/(Tabela2[[#This Row],[Height]] ^2))</f>
        <v>31.43486950977427</v>
      </c>
    </row>
    <row r="1458" spans="1:23" x14ac:dyDescent="0.25">
      <c r="A1458" t="s">
        <v>13</v>
      </c>
      <c r="B1458" s="7">
        <v>18</v>
      </c>
      <c r="C1458" s="4">
        <v>1.6830000000000001</v>
      </c>
      <c r="D1458" s="7">
        <v>90.924207999999993</v>
      </c>
      <c r="E1458">
        <v>1</v>
      </c>
      <c r="F1458">
        <v>1</v>
      </c>
      <c r="G1458" s="2">
        <v>2.387426</v>
      </c>
      <c r="H1458" s="2">
        <v>3</v>
      </c>
      <c r="I1458">
        <v>1</v>
      </c>
      <c r="J1458">
        <v>0</v>
      </c>
      <c r="K1458" s="2">
        <v>1.77962</v>
      </c>
      <c r="L1458">
        <v>0</v>
      </c>
      <c r="M1458" s="7">
        <v>0.74300500000000003</v>
      </c>
      <c r="N1458" s="7">
        <v>0.92016200000000004</v>
      </c>
      <c r="O1458">
        <v>1</v>
      </c>
      <c r="P1458" t="s">
        <v>14</v>
      </c>
      <c r="Q1458">
        <v>4</v>
      </c>
      <c r="R1458" s="8">
        <f>(Tabela2[[#This Row],[FAF_atividade_fisica_frequente_em_horas]]+ 0.1)</f>
        <v>0.843005</v>
      </c>
      <c r="S1458" s="1">
        <f>(Tabela2[[#This Row],[TUE_tempo_uso_aparelhos_em_horas]]/Tabela2[[#This Row],[FAF_Var]])</f>
        <v>1.0915261475317466</v>
      </c>
      <c r="T1458">
        <f>(Tabela2[[#This Row],[CAEC_lanche_entre_refeicoes]]*Tabela2[[#This Row],[FAVC_consumo_frequente_de_alimentos_mt_caloricos]])</f>
        <v>1</v>
      </c>
      <c r="U1458" s="1">
        <f>IF(OR(Tabela2[[#This Row],[MTRANS]]="Walking",Tabela2[[#This Row],[MTRANS]]="Bike"),Tabela2[[#This Row],[FAF_atividade_fisica_frequente_em_horas]]+1,M1458)</f>
        <v>0.74300500000000003</v>
      </c>
      <c r="V1458">
        <f>(Tabela2[[#This Row],[SMOKE]]+Tabela2[[#This Row],[CALC_bebe_alcool_frequentemente]])</f>
        <v>1</v>
      </c>
      <c r="W1458" s="8">
        <f>(Tabela2[[#This Row],[Weight]]/(Tabela2[[#This Row],[Height]] ^2))</f>
        <v>32.100462879114438</v>
      </c>
    </row>
    <row r="1459" spans="1:23" x14ac:dyDescent="0.25">
      <c r="A1459" t="s">
        <v>13</v>
      </c>
      <c r="B1459" s="7">
        <v>20.206358000000002</v>
      </c>
      <c r="C1459" s="4">
        <v>1.738397</v>
      </c>
      <c r="D1459" s="7">
        <v>93.890681999999998</v>
      </c>
      <c r="E1459">
        <v>1</v>
      </c>
      <c r="F1459">
        <v>1</v>
      </c>
      <c r="G1459" s="2">
        <v>1.9966379999999999</v>
      </c>
      <c r="H1459" s="2">
        <v>3</v>
      </c>
      <c r="I1459">
        <v>1</v>
      </c>
      <c r="J1459">
        <v>0</v>
      </c>
      <c r="K1459" s="2">
        <v>1.033199</v>
      </c>
      <c r="L1459">
        <v>0</v>
      </c>
      <c r="M1459" s="7">
        <v>0.58479300000000001</v>
      </c>
      <c r="N1459" s="7">
        <v>0.51829700000000001</v>
      </c>
      <c r="O1459">
        <v>1</v>
      </c>
      <c r="P1459" t="s">
        <v>14</v>
      </c>
      <c r="Q1459">
        <v>4</v>
      </c>
      <c r="R1459" s="8">
        <f>(Tabela2[[#This Row],[FAF_atividade_fisica_frequente_em_horas]]+ 0.1)</f>
        <v>0.68479299999999999</v>
      </c>
      <c r="S1459" s="1">
        <f>(Tabela2[[#This Row],[TUE_tempo_uso_aparelhos_em_horas]]/Tabela2[[#This Row],[FAF_Var]])</f>
        <v>0.75686667357873116</v>
      </c>
      <c r="T1459">
        <f>(Tabela2[[#This Row],[CAEC_lanche_entre_refeicoes]]*Tabela2[[#This Row],[FAVC_consumo_frequente_de_alimentos_mt_caloricos]])</f>
        <v>1</v>
      </c>
      <c r="U1459" s="1">
        <f>IF(OR(Tabela2[[#This Row],[MTRANS]]="Walking",Tabela2[[#This Row],[MTRANS]]="Bike"),Tabela2[[#This Row],[FAF_atividade_fisica_frequente_em_horas]]+1,M1459)</f>
        <v>0.58479300000000001</v>
      </c>
      <c r="V1459">
        <f>(Tabela2[[#This Row],[SMOKE]]+Tabela2[[#This Row],[CALC_bebe_alcool_frequentemente]])</f>
        <v>1</v>
      </c>
      <c r="W1459" s="8">
        <f>(Tabela2[[#This Row],[Weight]]/(Tabela2[[#This Row],[Height]] ^2))</f>
        <v>31.068806195186767</v>
      </c>
    </row>
    <row r="1460" spans="1:23" x14ac:dyDescent="0.25">
      <c r="A1460" t="s">
        <v>13</v>
      </c>
      <c r="B1460" s="7">
        <v>18.152875999999999</v>
      </c>
      <c r="C1460" s="4">
        <v>1.6949689999999999</v>
      </c>
      <c r="D1460" s="7">
        <v>92.508122</v>
      </c>
      <c r="E1460">
        <v>1</v>
      </c>
      <c r="F1460">
        <v>1</v>
      </c>
      <c r="G1460" s="2">
        <v>2.1078540000000001</v>
      </c>
      <c r="H1460" s="2">
        <v>3</v>
      </c>
      <c r="I1460">
        <v>1</v>
      </c>
      <c r="J1460">
        <v>0</v>
      </c>
      <c r="K1460" s="2">
        <v>1.383894</v>
      </c>
      <c r="L1460">
        <v>0</v>
      </c>
      <c r="M1460" s="7">
        <v>1.0305260000000001</v>
      </c>
      <c r="N1460" s="7">
        <v>0.83141200000000004</v>
      </c>
      <c r="O1460">
        <v>1</v>
      </c>
      <c r="P1460" t="s">
        <v>14</v>
      </c>
      <c r="Q1460">
        <v>4</v>
      </c>
      <c r="R1460" s="8">
        <f>(Tabela2[[#This Row],[FAF_atividade_fisica_frequente_em_horas]]+ 0.1)</f>
        <v>1.1305260000000001</v>
      </c>
      <c r="S1460" s="1">
        <f>(Tabela2[[#This Row],[TUE_tempo_uso_aparelhos_em_horas]]/Tabela2[[#This Row],[FAF_Var]])</f>
        <v>0.73542050337630438</v>
      </c>
      <c r="T1460">
        <f>(Tabela2[[#This Row],[CAEC_lanche_entre_refeicoes]]*Tabela2[[#This Row],[FAVC_consumo_frequente_de_alimentos_mt_caloricos]])</f>
        <v>1</v>
      </c>
      <c r="U1460" s="1">
        <f>IF(OR(Tabela2[[#This Row],[MTRANS]]="Walking",Tabela2[[#This Row],[MTRANS]]="Bike"),Tabela2[[#This Row],[FAF_atividade_fisica_frequente_em_horas]]+1,M1460)</f>
        <v>1.0305260000000001</v>
      </c>
      <c r="V1460">
        <f>(Tabela2[[#This Row],[SMOKE]]+Tabela2[[#This Row],[CALC_bebe_alcool_frequentemente]])</f>
        <v>1</v>
      </c>
      <c r="W1460" s="8">
        <f>(Tabela2[[#This Row],[Weight]]/(Tabela2[[#This Row],[Height]] ^2))</f>
        <v>32.20003510959544</v>
      </c>
    </row>
    <row r="1461" spans="1:23" x14ac:dyDescent="0.25">
      <c r="A1461" t="s">
        <v>15</v>
      </c>
      <c r="B1461" s="7">
        <v>22.336216</v>
      </c>
      <c r="C1461" s="4">
        <v>1.7857179999999999</v>
      </c>
      <c r="D1461" s="7">
        <v>105.05568599999999</v>
      </c>
      <c r="E1461">
        <v>1</v>
      </c>
      <c r="F1461">
        <v>1</v>
      </c>
      <c r="G1461" s="2">
        <v>2.2537069999999999</v>
      </c>
      <c r="H1461" s="2">
        <v>3</v>
      </c>
      <c r="I1461">
        <v>1</v>
      </c>
      <c r="J1461">
        <v>0</v>
      </c>
      <c r="K1461" s="2">
        <v>2.524432</v>
      </c>
      <c r="L1461">
        <v>0</v>
      </c>
      <c r="M1461" s="7">
        <v>0.58216000000000001</v>
      </c>
      <c r="N1461" s="7">
        <v>0.17569399999999999</v>
      </c>
      <c r="O1461">
        <v>1</v>
      </c>
      <c r="P1461" t="s">
        <v>14</v>
      </c>
      <c r="Q1461">
        <v>4</v>
      </c>
      <c r="R1461" s="8">
        <f>(Tabela2[[#This Row],[FAF_atividade_fisica_frequente_em_horas]]+ 0.1)</f>
        <v>0.68215999999999999</v>
      </c>
      <c r="S1461" s="1">
        <f>(Tabela2[[#This Row],[TUE_tempo_uso_aparelhos_em_horas]]/Tabela2[[#This Row],[FAF_Var]])</f>
        <v>0.25755541222000705</v>
      </c>
      <c r="T1461">
        <f>(Tabela2[[#This Row],[CAEC_lanche_entre_refeicoes]]*Tabela2[[#This Row],[FAVC_consumo_frequente_de_alimentos_mt_caloricos]])</f>
        <v>1</v>
      </c>
      <c r="U1461" s="1">
        <f>IF(OR(Tabela2[[#This Row],[MTRANS]]="Walking",Tabela2[[#This Row],[MTRANS]]="Bike"),Tabela2[[#This Row],[FAF_atividade_fisica_frequente_em_horas]]+1,M1461)</f>
        <v>0.58216000000000001</v>
      </c>
      <c r="V1461">
        <f>(Tabela2[[#This Row],[SMOKE]]+Tabela2[[#This Row],[CALC_bebe_alcool_frequentemente]])</f>
        <v>1</v>
      </c>
      <c r="W1461" s="8">
        <f>(Tabela2[[#This Row],[Weight]]/(Tabela2[[#This Row],[Height]] ^2))</f>
        <v>32.945326076900983</v>
      </c>
    </row>
    <row r="1462" spans="1:23" x14ac:dyDescent="0.25">
      <c r="A1462" t="s">
        <v>15</v>
      </c>
      <c r="B1462" s="7">
        <v>23</v>
      </c>
      <c r="C1462" s="4">
        <v>1.7424999999999999</v>
      </c>
      <c r="D1462" s="7">
        <v>105.028665</v>
      </c>
      <c r="E1462">
        <v>1</v>
      </c>
      <c r="F1462">
        <v>1</v>
      </c>
      <c r="G1462" s="2">
        <v>2.393837</v>
      </c>
      <c r="H1462" s="2">
        <v>3</v>
      </c>
      <c r="I1462">
        <v>1</v>
      </c>
      <c r="J1462">
        <v>0</v>
      </c>
      <c r="K1462" s="2">
        <v>2.0149900000000001</v>
      </c>
      <c r="L1462">
        <v>0</v>
      </c>
      <c r="M1462" s="7">
        <v>0.97881499999999999</v>
      </c>
      <c r="N1462" s="7">
        <v>0.41321999999999998</v>
      </c>
      <c r="O1462">
        <v>1</v>
      </c>
      <c r="P1462" t="s">
        <v>14</v>
      </c>
      <c r="Q1462">
        <v>4</v>
      </c>
      <c r="R1462" s="8">
        <f>(Tabela2[[#This Row],[FAF_atividade_fisica_frequente_em_horas]]+ 0.1)</f>
        <v>1.0788150000000001</v>
      </c>
      <c r="S1462" s="1">
        <f>(Tabela2[[#This Row],[TUE_tempo_uso_aparelhos_em_horas]]/Tabela2[[#This Row],[FAF_Var]])</f>
        <v>0.38303138165487127</v>
      </c>
      <c r="T1462">
        <f>(Tabela2[[#This Row],[CAEC_lanche_entre_refeicoes]]*Tabela2[[#This Row],[FAVC_consumo_frequente_de_alimentos_mt_caloricos]])</f>
        <v>1</v>
      </c>
      <c r="U1462" s="1">
        <f>IF(OR(Tabela2[[#This Row],[MTRANS]]="Walking",Tabela2[[#This Row],[MTRANS]]="Bike"),Tabela2[[#This Row],[FAF_atividade_fisica_frequente_em_horas]]+1,M1462)</f>
        <v>0.97881499999999999</v>
      </c>
      <c r="V1462">
        <f>(Tabela2[[#This Row],[SMOKE]]+Tabela2[[#This Row],[CALC_bebe_alcool_frequentemente]])</f>
        <v>1</v>
      </c>
      <c r="W1462" s="8">
        <f>(Tabela2[[#This Row],[Weight]]/(Tabela2[[#This Row],[Height]] ^2))</f>
        <v>34.590932650486096</v>
      </c>
    </row>
    <row r="1463" spans="1:23" x14ac:dyDescent="0.25">
      <c r="A1463" t="s">
        <v>15</v>
      </c>
      <c r="B1463" s="7">
        <v>22.088059000000001</v>
      </c>
      <c r="C1463" s="4">
        <v>1.803132</v>
      </c>
      <c r="D1463" s="7">
        <v>106.32956900000001</v>
      </c>
      <c r="E1463">
        <v>1</v>
      </c>
      <c r="F1463">
        <v>1</v>
      </c>
      <c r="G1463" s="2">
        <v>2.3487450000000001</v>
      </c>
      <c r="H1463" s="2">
        <v>3</v>
      </c>
      <c r="I1463">
        <v>1</v>
      </c>
      <c r="J1463">
        <v>0</v>
      </c>
      <c r="K1463" s="2">
        <v>2.0967509999999998</v>
      </c>
      <c r="L1463">
        <v>0</v>
      </c>
      <c r="M1463" s="7">
        <v>0.54456400000000005</v>
      </c>
      <c r="N1463" s="7">
        <v>0.67688000000000004</v>
      </c>
      <c r="O1463">
        <v>1</v>
      </c>
      <c r="P1463" t="s">
        <v>14</v>
      </c>
      <c r="Q1463">
        <v>4</v>
      </c>
      <c r="R1463" s="8">
        <f>(Tabela2[[#This Row],[FAF_atividade_fisica_frequente_em_horas]]+ 0.1)</f>
        <v>0.64456400000000003</v>
      </c>
      <c r="S1463" s="1">
        <f>(Tabela2[[#This Row],[TUE_tempo_uso_aparelhos_em_horas]]/Tabela2[[#This Row],[FAF_Var]])</f>
        <v>1.0501362161088736</v>
      </c>
      <c r="T1463">
        <f>(Tabela2[[#This Row],[CAEC_lanche_entre_refeicoes]]*Tabela2[[#This Row],[FAVC_consumo_frequente_de_alimentos_mt_caloricos]])</f>
        <v>1</v>
      </c>
      <c r="U1463" s="1">
        <f>IF(OR(Tabela2[[#This Row],[MTRANS]]="Walking",Tabela2[[#This Row],[MTRANS]]="Bike"),Tabela2[[#This Row],[FAF_atividade_fisica_frequente_em_horas]]+1,M1463)</f>
        <v>0.54456400000000005</v>
      </c>
      <c r="V1463">
        <f>(Tabela2[[#This Row],[SMOKE]]+Tabela2[[#This Row],[CALC_bebe_alcool_frequentemente]])</f>
        <v>1</v>
      </c>
      <c r="W1463" s="8">
        <f>(Tabela2[[#This Row],[Weight]]/(Tabela2[[#This Row],[Height]] ^2))</f>
        <v>32.703859763693075</v>
      </c>
    </row>
    <row r="1464" spans="1:23" x14ac:dyDescent="0.25">
      <c r="A1464" t="s">
        <v>15</v>
      </c>
      <c r="B1464" s="7">
        <v>23</v>
      </c>
      <c r="C1464" s="4">
        <v>1.7746440000000001</v>
      </c>
      <c r="D1464" s="7">
        <v>105.966894</v>
      </c>
      <c r="E1464">
        <v>1</v>
      </c>
      <c r="F1464">
        <v>1</v>
      </c>
      <c r="G1464" s="2">
        <v>2.3128250000000001</v>
      </c>
      <c r="H1464" s="2">
        <v>3</v>
      </c>
      <c r="I1464">
        <v>1</v>
      </c>
      <c r="J1464">
        <v>0</v>
      </c>
      <c r="K1464" s="2">
        <v>2.0734970000000001</v>
      </c>
      <c r="L1464">
        <v>0</v>
      </c>
      <c r="M1464" s="7">
        <v>0.61446599999999996</v>
      </c>
      <c r="N1464" s="7">
        <v>0.57954099999999997</v>
      </c>
      <c r="O1464">
        <v>1</v>
      </c>
      <c r="P1464" t="s">
        <v>14</v>
      </c>
      <c r="Q1464">
        <v>4</v>
      </c>
      <c r="R1464" s="8">
        <f>(Tabela2[[#This Row],[FAF_atividade_fisica_frequente_em_horas]]+ 0.1)</f>
        <v>0.71446599999999993</v>
      </c>
      <c r="S1464" s="1">
        <f>(Tabela2[[#This Row],[TUE_tempo_uso_aparelhos_em_horas]]/Tabela2[[#This Row],[FAF_Var]])</f>
        <v>0.81115266506733708</v>
      </c>
      <c r="T1464">
        <f>(Tabela2[[#This Row],[CAEC_lanche_entre_refeicoes]]*Tabela2[[#This Row],[FAVC_consumo_frequente_de_alimentos_mt_caloricos]])</f>
        <v>1</v>
      </c>
      <c r="U1464" s="1">
        <f>IF(OR(Tabela2[[#This Row],[MTRANS]]="Walking",Tabela2[[#This Row],[MTRANS]]="Bike"),Tabela2[[#This Row],[FAF_atividade_fisica_frequente_em_horas]]+1,M1464)</f>
        <v>0.61446599999999996</v>
      </c>
      <c r="V1464">
        <f>(Tabela2[[#This Row],[SMOKE]]+Tabela2[[#This Row],[CALC_bebe_alcool_frequentemente]])</f>
        <v>1</v>
      </c>
      <c r="W1464" s="8">
        <f>(Tabela2[[#This Row],[Weight]]/(Tabela2[[#This Row],[Height]] ^2))</f>
        <v>33.647105875216972</v>
      </c>
    </row>
    <row r="1465" spans="1:23" x14ac:dyDescent="0.25">
      <c r="A1465" t="s">
        <v>15</v>
      </c>
      <c r="B1465" s="7">
        <v>20.993067</v>
      </c>
      <c r="C1465" s="4">
        <v>1.7822690000000001</v>
      </c>
      <c r="D1465" s="7">
        <v>104.97002999999999</v>
      </c>
      <c r="E1465">
        <v>1</v>
      </c>
      <c r="F1465">
        <v>1</v>
      </c>
      <c r="G1465" s="2">
        <v>2</v>
      </c>
      <c r="H1465" s="2">
        <v>3</v>
      </c>
      <c r="I1465">
        <v>1</v>
      </c>
      <c r="J1465">
        <v>0</v>
      </c>
      <c r="K1465" s="2">
        <v>1.2349429999999999</v>
      </c>
      <c r="L1465">
        <v>0</v>
      </c>
      <c r="M1465" s="7">
        <v>8.3680000000000004E-3</v>
      </c>
      <c r="N1465" s="7">
        <v>0</v>
      </c>
      <c r="O1465">
        <v>1</v>
      </c>
      <c r="P1465" t="s">
        <v>14</v>
      </c>
      <c r="Q1465">
        <v>4</v>
      </c>
      <c r="R1465" s="8">
        <f>(Tabela2[[#This Row],[FAF_atividade_fisica_frequente_em_horas]]+ 0.1)</f>
        <v>0.10836800000000001</v>
      </c>
      <c r="S1465" s="1">
        <f>(Tabela2[[#This Row],[TUE_tempo_uso_aparelhos_em_horas]]/Tabela2[[#This Row],[FAF_Var]])</f>
        <v>0</v>
      </c>
      <c r="T1465">
        <f>(Tabela2[[#This Row],[CAEC_lanche_entre_refeicoes]]*Tabela2[[#This Row],[FAVC_consumo_frequente_de_alimentos_mt_caloricos]])</f>
        <v>1</v>
      </c>
      <c r="U1465" s="1">
        <f>IF(OR(Tabela2[[#This Row],[MTRANS]]="Walking",Tabela2[[#This Row],[MTRANS]]="Bike"),Tabela2[[#This Row],[FAF_atividade_fisica_frequente_em_horas]]+1,M1465)</f>
        <v>8.3680000000000004E-3</v>
      </c>
      <c r="V1465">
        <f>(Tabela2[[#This Row],[SMOKE]]+Tabela2[[#This Row],[CALC_bebe_alcool_frequentemente]])</f>
        <v>1</v>
      </c>
      <c r="W1465" s="8">
        <f>(Tabela2[[#This Row],[Weight]]/(Tabela2[[#This Row],[Height]] ^2))</f>
        <v>33.045993633153721</v>
      </c>
    </row>
    <row r="1466" spans="1:23" x14ac:dyDescent="0.25">
      <c r="A1466" t="s">
        <v>15</v>
      </c>
      <c r="B1466" s="7">
        <v>20.654751999999998</v>
      </c>
      <c r="C1466" s="4">
        <v>1.780791</v>
      </c>
      <c r="D1466" s="7">
        <v>102.921218</v>
      </c>
      <c r="E1466">
        <v>1</v>
      </c>
      <c r="F1466">
        <v>1</v>
      </c>
      <c r="G1466" s="2">
        <v>2</v>
      </c>
      <c r="H1466" s="2">
        <v>3</v>
      </c>
      <c r="I1466">
        <v>1</v>
      </c>
      <c r="J1466">
        <v>0</v>
      </c>
      <c r="K1466" s="2">
        <v>1.613829</v>
      </c>
      <c r="L1466">
        <v>0</v>
      </c>
      <c r="M1466" s="7">
        <v>1.251665</v>
      </c>
      <c r="N1466" s="7">
        <v>0</v>
      </c>
      <c r="O1466">
        <v>1</v>
      </c>
      <c r="P1466" t="s">
        <v>14</v>
      </c>
      <c r="Q1466">
        <v>4</v>
      </c>
      <c r="R1466" s="8">
        <f>(Tabela2[[#This Row],[FAF_atividade_fisica_frequente_em_horas]]+ 0.1)</f>
        <v>1.3516650000000001</v>
      </c>
      <c r="S1466" s="1">
        <f>(Tabela2[[#This Row],[TUE_tempo_uso_aparelhos_em_horas]]/Tabela2[[#This Row],[FAF_Var]])</f>
        <v>0</v>
      </c>
      <c r="T1466">
        <f>(Tabela2[[#This Row],[CAEC_lanche_entre_refeicoes]]*Tabela2[[#This Row],[FAVC_consumo_frequente_de_alimentos_mt_caloricos]])</f>
        <v>1</v>
      </c>
      <c r="U1466" s="1">
        <f>IF(OR(Tabela2[[#This Row],[MTRANS]]="Walking",Tabela2[[#This Row],[MTRANS]]="Bike"),Tabela2[[#This Row],[FAF_atividade_fisica_frequente_em_horas]]+1,M1466)</f>
        <v>1.251665</v>
      </c>
      <c r="V1466">
        <f>(Tabela2[[#This Row],[SMOKE]]+Tabela2[[#This Row],[CALC_bebe_alcool_frequentemente]])</f>
        <v>1</v>
      </c>
      <c r="W1466" s="8">
        <f>(Tabela2[[#This Row],[Weight]]/(Tabela2[[#This Row],[Height]] ^2))</f>
        <v>32.454805661877643</v>
      </c>
    </row>
    <row r="1467" spans="1:23" x14ac:dyDescent="0.25">
      <c r="A1467" t="s">
        <v>15</v>
      </c>
      <c r="B1467" s="7">
        <v>21.624552000000001</v>
      </c>
      <c r="C1467" s="4">
        <v>1.790151</v>
      </c>
      <c r="D1467" s="7">
        <v>106.32068599999999</v>
      </c>
      <c r="E1467">
        <v>1</v>
      </c>
      <c r="F1467">
        <v>1</v>
      </c>
      <c r="G1467" s="2">
        <v>2.4907759999999999</v>
      </c>
      <c r="H1467" s="2">
        <v>3</v>
      </c>
      <c r="I1467">
        <v>1</v>
      </c>
      <c r="J1467">
        <v>0</v>
      </c>
      <c r="K1467" s="2">
        <v>2.6545169999999998</v>
      </c>
      <c r="L1467">
        <v>0</v>
      </c>
      <c r="M1467" s="7">
        <v>0.112454</v>
      </c>
      <c r="N1467" s="7">
        <v>0.75633899999999998</v>
      </c>
      <c r="O1467">
        <v>1</v>
      </c>
      <c r="P1467" t="s">
        <v>14</v>
      </c>
      <c r="Q1467">
        <v>4</v>
      </c>
      <c r="R1467" s="8">
        <f>(Tabela2[[#This Row],[FAF_atividade_fisica_frequente_em_horas]]+ 0.1)</f>
        <v>0.212454</v>
      </c>
      <c r="S1467" s="1">
        <f>(Tabela2[[#This Row],[TUE_tempo_uso_aparelhos_em_horas]]/Tabela2[[#This Row],[FAF_Var]])</f>
        <v>3.5600129910474738</v>
      </c>
      <c r="T1467">
        <f>(Tabela2[[#This Row],[CAEC_lanche_entre_refeicoes]]*Tabela2[[#This Row],[FAVC_consumo_frequente_de_alimentos_mt_caloricos]])</f>
        <v>1</v>
      </c>
      <c r="U1467" s="1">
        <f>IF(OR(Tabela2[[#This Row],[MTRANS]]="Walking",Tabela2[[#This Row],[MTRANS]]="Bike"),Tabela2[[#This Row],[FAF_atividade_fisica_frequente_em_horas]]+1,M1467)</f>
        <v>0.112454</v>
      </c>
      <c r="V1467">
        <f>(Tabela2[[#This Row],[SMOKE]]+Tabela2[[#This Row],[CALC_bebe_alcool_frequentemente]])</f>
        <v>1</v>
      </c>
      <c r="W1467" s="8">
        <f>(Tabela2[[#This Row],[Weight]]/(Tabela2[[#This Row],[Height]] ^2))</f>
        <v>33.17710132832709</v>
      </c>
    </row>
    <row r="1468" spans="1:23" x14ac:dyDescent="0.25">
      <c r="A1468" t="s">
        <v>15</v>
      </c>
      <c r="B1468" s="7">
        <v>21.682635999999999</v>
      </c>
      <c r="C1468" s="4">
        <v>1.818641</v>
      </c>
      <c r="D1468" s="7">
        <v>105.49697500000001</v>
      </c>
      <c r="E1468">
        <v>1</v>
      </c>
      <c r="F1468">
        <v>1</v>
      </c>
      <c r="G1468" s="2">
        <v>2.0780820000000002</v>
      </c>
      <c r="H1468" s="2">
        <v>3</v>
      </c>
      <c r="I1468">
        <v>1</v>
      </c>
      <c r="J1468">
        <v>0</v>
      </c>
      <c r="K1468" s="2">
        <v>2.8956140000000001</v>
      </c>
      <c r="L1468">
        <v>0</v>
      </c>
      <c r="M1468" s="7">
        <v>6.275E-2</v>
      </c>
      <c r="N1468" s="7">
        <v>0.261793</v>
      </c>
      <c r="O1468">
        <v>1</v>
      </c>
      <c r="P1468" t="s">
        <v>14</v>
      </c>
      <c r="Q1468">
        <v>4</v>
      </c>
      <c r="R1468" s="8">
        <f>(Tabela2[[#This Row],[FAF_atividade_fisica_frequente_em_horas]]+ 0.1)</f>
        <v>0.16275000000000001</v>
      </c>
      <c r="S1468" s="1">
        <f>(Tabela2[[#This Row],[TUE_tempo_uso_aparelhos_em_horas]]/Tabela2[[#This Row],[FAF_Var]])</f>
        <v>1.6085591397849461</v>
      </c>
      <c r="T1468">
        <f>(Tabela2[[#This Row],[CAEC_lanche_entre_refeicoes]]*Tabela2[[#This Row],[FAVC_consumo_frequente_de_alimentos_mt_caloricos]])</f>
        <v>1</v>
      </c>
      <c r="U1468" s="1">
        <f>IF(OR(Tabela2[[#This Row],[MTRANS]]="Walking",Tabela2[[#This Row],[MTRANS]]="Bike"),Tabela2[[#This Row],[FAF_atividade_fisica_frequente_em_horas]]+1,M1468)</f>
        <v>6.275E-2</v>
      </c>
      <c r="V1468">
        <f>(Tabela2[[#This Row],[SMOKE]]+Tabela2[[#This Row],[CALC_bebe_alcool_frequentemente]])</f>
        <v>1</v>
      </c>
      <c r="W1468" s="8">
        <f>(Tabela2[[#This Row],[Weight]]/(Tabela2[[#This Row],[Height]] ^2))</f>
        <v>31.896721868863196</v>
      </c>
    </row>
    <row r="1469" spans="1:23" x14ac:dyDescent="0.25">
      <c r="A1469" t="s">
        <v>15</v>
      </c>
      <c r="B1469" s="7">
        <v>18</v>
      </c>
      <c r="C1469" s="4">
        <v>1.806827</v>
      </c>
      <c r="D1469" s="7">
        <v>108.82939500000001</v>
      </c>
      <c r="E1469">
        <v>1</v>
      </c>
      <c r="F1469">
        <v>1</v>
      </c>
      <c r="G1469" s="2">
        <v>2</v>
      </c>
      <c r="H1469" s="2">
        <v>1.24884</v>
      </c>
      <c r="I1469">
        <v>1</v>
      </c>
      <c r="J1469">
        <v>0</v>
      </c>
      <c r="K1469" s="2">
        <v>2.4162129999999999</v>
      </c>
      <c r="L1469">
        <v>0</v>
      </c>
      <c r="M1469" s="7">
        <v>1</v>
      </c>
      <c r="N1469" s="7">
        <v>1.5467379999999999</v>
      </c>
      <c r="O1469">
        <v>0</v>
      </c>
      <c r="P1469" t="s">
        <v>14</v>
      </c>
      <c r="Q1469">
        <v>4</v>
      </c>
      <c r="R1469" s="8">
        <f>(Tabela2[[#This Row],[FAF_atividade_fisica_frequente_em_horas]]+ 0.1)</f>
        <v>1.1000000000000001</v>
      </c>
      <c r="S1469" s="1">
        <f>(Tabela2[[#This Row],[TUE_tempo_uso_aparelhos_em_horas]]/Tabela2[[#This Row],[FAF_Var]])</f>
        <v>1.4061254545454545</v>
      </c>
      <c r="T1469">
        <f>(Tabela2[[#This Row],[CAEC_lanche_entre_refeicoes]]*Tabela2[[#This Row],[FAVC_consumo_frequente_de_alimentos_mt_caloricos]])</f>
        <v>1</v>
      </c>
      <c r="U1469" s="1">
        <f>IF(OR(Tabela2[[#This Row],[MTRANS]]="Walking",Tabela2[[#This Row],[MTRANS]]="Bike"),Tabela2[[#This Row],[FAF_atividade_fisica_frequente_em_horas]]+1,M1469)</f>
        <v>1</v>
      </c>
      <c r="V1469">
        <f>(Tabela2[[#This Row],[SMOKE]]+Tabela2[[#This Row],[CALC_bebe_alcool_frequentemente]])</f>
        <v>0</v>
      </c>
      <c r="W1469" s="8">
        <f>(Tabela2[[#This Row],[Weight]]/(Tabela2[[#This Row],[Height]] ^2))</f>
        <v>33.335968063358209</v>
      </c>
    </row>
    <row r="1470" spans="1:23" x14ac:dyDescent="0.25">
      <c r="A1470" t="s">
        <v>15</v>
      </c>
      <c r="B1470" s="7">
        <v>18</v>
      </c>
      <c r="C1470" s="4">
        <v>1.8111889999999999</v>
      </c>
      <c r="D1470" s="7">
        <v>108.80096399999999</v>
      </c>
      <c r="E1470">
        <v>1</v>
      </c>
      <c r="F1470">
        <v>1</v>
      </c>
      <c r="G1470" s="2">
        <v>2</v>
      </c>
      <c r="H1470" s="2">
        <v>1.250548</v>
      </c>
      <c r="I1470">
        <v>1</v>
      </c>
      <c r="J1470">
        <v>0</v>
      </c>
      <c r="K1470" s="2">
        <v>2.1211760000000002</v>
      </c>
      <c r="L1470">
        <v>0</v>
      </c>
      <c r="M1470" s="7">
        <v>1</v>
      </c>
      <c r="N1470" s="7">
        <v>0.74106899999999998</v>
      </c>
      <c r="O1470">
        <v>0</v>
      </c>
      <c r="P1470" t="s">
        <v>14</v>
      </c>
      <c r="Q1470">
        <v>4</v>
      </c>
      <c r="R1470" s="8">
        <f>(Tabela2[[#This Row],[FAF_atividade_fisica_frequente_em_horas]]+ 0.1)</f>
        <v>1.1000000000000001</v>
      </c>
      <c r="S1470" s="1">
        <f>(Tabela2[[#This Row],[TUE_tempo_uso_aparelhos_em_horas]]/Tabela2[[#This Row],[FAF_Var]])</f>
        <v>0.67369909090909086</v>
      </c>
      <c r="T1470">
        <f>(Tabela2[[#This Row],[CAEC_lanche_entre_refeicoes]]*Tabela2[[#This Row],[FAVC_consumo_frequente_de_alimentos_mt_caloricos]])</f>
        <v>1</v>
      </c>
      <c r="U1470" s="1">
        <f>IF(OR(Tabela2[[#This Row],[MTRANS]]="Walking",Tabela2[[#This Row],[MTRANS]]="Bike"),Tabela2[[#This Row],[FAF_atividade_fisica_frequente_em_horas]]+1,M1470)</f>
        <v>1</v>
      </c>
      <c r="V1470">
        <f>(Tabela2[[#This Row],[SMOKE]]+Tabela2[[#This Row],[CALC_bebe_alcool_frequentemente]])</f>
        <v>0</v>
      </c>
      <c r="W1470" s="8">
        <f>(Tabela2[[#This Row],[Weight]]/(Tabela2[[#This Row],[Height]] ^2))</f>
        <v>33.166924299926542</v>
      </c>
    </row>
    <row r="1471" spans="1:23" x14ac:dyDescent="0.25">
      <c r="A1471" t="s">
        <v>15</v>
      </c>
      <c r="B1471" s="7">
        <v>18</v>
      </c>
      <c r="C1471" s="4">
        <v>1.8117380000000001</v>
      </c>
      <c r="D1471" s="7">
        <v>108.897324</v>
      </c>
      <c r="E1471">
        <v>1</v>
      </c>
      <c r="F1471">
        <v>1</v>
      </c>
      <c r="G1471" s="2">
        <v>2</v>
      </c>
      <c r="H1471" s="2">
        <v>1.2021790000000001</v>
      </c>
      <c r="I1471">
        <v>1</v>
      </c>
      <c r="J1471">
        <v>0</v>
      </c>
      <c r="K1471" s="2">
        <v>2.36293</v>
      </c>
      <c r="L1471">
        <v>0</v>
      </c>
      <c r="M1471" s="7">
        <v>1</v>
      </c>
      <c r="N1471" s="7">
        <v>1.4757400000000001</v>
      </c>
      <c r="O1471">
        <v>0</v>
      </c>
      <c r="P1471" t="s">
        <v>14</v>
      </c>
      <c r="Q1471">
        <v>4</v>
      </c>
      <c r="R1471" s="8">
        <f>(Tabela2[[#This Row],[FAF_atividade_fisica_frequente_em_horas]]+ 0.1)</f>
        <v>1.1000000000000001</v>
      </c>
      <c r="S1471" s="1">
        <f>(Tabela2[[#This Row],[TUE_tempo_uso_aparelhos_em_horas]]/Tabela2[[#This Row],[FAF_Var]])</f>
        <v>1.3415818181818182</v>
      </c>
      <c r="T1471">
        <f>(Tabela2[[#This Row],[CAEC_lanche_entre_refeicoes]]*Tabela2[[#This Row],[FAVC_consumo_frequente_de_alimentos_mt_caloricos]])</f>
        <v>1</v>
      </c>
      <c r="U1471" s="1">
        <f>IF(OR(Tabela2[[#This Row],[MTRANS]]="Walking",Tabela2[[#This Row],[MTRANS]]="Bike"),Tabela2[[#This Row],[FAF_atividade_fisica_frequente_em_horas]]+1,M1471)</f>
        <v>1</v>
      </c>
      <c r="V1471">
        <f>(Tabela2[[#This Row],[SMOKE]]+Tabela2[[#This Row],[CALC_bebe_alcool_frequentemente]])</f>
        <v>0</v>
      </c>
      <c r="W1471" s="8">
        <f>(Tabela2[[#This Row],[Weight]]/(Tabela2[[#This Row],[Height]] ^2))</f>
        <v>33.176183217629649</v>
      </c>
    </row>
    <row r="1472" spans="1:23" x14ac:dyDescent="0.25">
      <c r="A1472" t="s">
        <v>15</v>
      </c>
      <c r="B1472" s="7">
        <v>18</v>
      </c>
      <c r="C1472" s="4">
        <v>1.799779</v>
      </c>
      <c r="D1472" s="7">
        <v>108.934574</v>
      </c>
      <c r="E1472">
        <v>1</v>
      </c>
      <c r="F1472">
        <v>1</v>
      </c>
      <c r="G1472" s="2">
        <v>2</v>
      </c>
      <c r="H1472" s="2">
        <v>1.194815</v>
      </c>
      <c r="I1472">
        <v>1</v>
      </c>
      <c r="J1472">
        <v>0</v>
      </c>
      <c r="K1472" s="2">
        <v>2.4348320000000001</v>
      </c>
      <c r="L1472">
        <v>0</v>
      </c>
      <c r="M1472" s="7">
        <v>1</v>
      </c>
      <c r="N1472" s="7">
        <v>1.541455</v>
      </c>
      <c r="O1472">
        <v>0</v>
      </c>
      <c r="P1472" t="s">
        <v>14</v>
      </c>
      <c r="Q1472">
        <v>4</v>
      </c>
      <c r="R1472" s="8">
        <f>(Tabela2[[#This Row],[FAF_atividade_fisica_frequente_em_horas]]+ 0.1)</f>
        <v>1.1000000000000001</v>
      </c>
      <c r="S1472" s="1">
        <f>(Tabela2[[#This Row],[TUE_tempo_uso_aparelhos_em_horas]]/Tabela2[[#This Row],[FAF_Var]])</f>
        <v>1.4013227272727271</v>
      </c>
      <c r="T1472">
        <f>(Tabela2[[#This Row],[CAEC_lanche_entre_refeicoes]]*Tabela2[[#This Row],[FAVC_consumo_frequente_de_alimentos_mt_caloricos]])</f>
        <v>1</v>
      </c>
      <c r="U1472" s="1">
        <f>IF(OR(Tabela2[[#This Row],[MTRANS]]="Walking",Tabela2[[#This Row],[MTRANS]]="Bike"),Tabela2[[#This Row],[FAF_atividade_fisica_frequente_em_horas]]+1,M1472)</f>
        <v>1</v>
      </c>
      <c r="V1472">
        <f>(Tabela2[[#This Row],[SMOKE]]+Tabela2[[#This Row],[CALC_bebe_alcool_frequentemente]])</f>
        <v>0</v>
      </c>
      <c r="W1472" s="8">
        <f>(Tabela2[[#This Row],[Weight]]/(Tabela2[[#This Row],[Height]] ^2))</f>
        <v>33.630039634879239</v>
      </c>
    </row>
    <row r="1473" spans="1:23" x14ac:dyDescent="0.25">
      <c r="A1473" t="s">
        <v>13</v>
      </c>
      <c r="B1473" s="7">
        <v>19.374206999999998</v>
      </c>
      <c r="C1473" s="4">
        <v>1.6326050000000001</v>
      </c>
      <c r="D1473" s="7">
        <v>82</v>
      </c>
      <c r="E1473">
        <v>1</v>
      </c>
      <c r="F1473">
        <v>1</v>
      </c>
      <c r="G1473" s="2">
        <v>2.8055119999999998</v>
      </c>
      <c r="H1473" s="2">
        <v>2.880817</v>
      </c>
      <c r="I1473">
        <v>1</v>
      </c>
      <c r="J1473">
        <v>0</v>
      </c>
      <c r="K1473" s="2">
        <v>1.0013069999999999</v>
      </c>
      <c r="L1473">
        <v>0</v>
      </c>
      <c r="M1473" s="7">
        <v>0</v>
      </c>
      <c r="N1473" s="7">
        <v>1.3765970000000001</v>
      </c>
      <c r="O1473">
        <v>1</v>
      </c>
      <c r="P1473" t="s">
        <v>14</v>
      </c>
      <c r="Q1473">
        <v>4</v>
      </c>
      <c r="R1473" s="8">
        <f>(Tabela2[[#This Row],[FAF_atividade_fisica_frequente_em_horas]]+ 0.1)</f>
        <v>0.1</v>
      </c>
      <c r="S1473" s="1">
        <f>(Tabela2[[#This Row],[TUE_tempo_uso_aparelhos_em_horas]]/Tabela2[[#This Row],[FAF_Var]])</f>
        <v>13.765969999999999</v>
      </c>
      <c r="T1473">
        <f>(Tabela2[[#This Row],[CAEC_lanche_entre_refeicoes]]*Tabela2[[#This Row],[FAVC_consumo_frequente_de_alimentos_mt_caloricos]])</f>
        <v>1</v>
      </c>
      <c r="U1473" s="1">
        <f>IF(OR(Tabela2[[#This Row],[MTRANS]]="Walking",Tabela2[[#This Row],[MTRANS]]="Bike"),Tabela2[[#This Row],[FAF_atividade_fisica_frequente_em_horas]]+1,M1473)</f>
        <v>0</v>
      </c>
      <c r="V1473">
        <f>(Tabela2[[#This Row],[SMOKE]]+Tabela2[[#This Row],[CALC_bebe_alcool_frequentemente]])</f>
        <v>1</v>
      </c>
      <c r="W1473" s="8">
        <f>(Tabela2[[#This Row],[Weight]]/(Tabela2[[#This Row],[Height]] ^2))</f>
        <v>30.764623740563131</v>
      </c>
    </row>
    <row r="1474" spans="1:23" x14ac:dyDescent="0.25">
      <c r="A1474" t="s">
        <v>13</v>
      </c>
      <c r="B1474" s="7">
        <v>19.275687000000001</v>
      </c>
      <c r="C1474" s="4">
        <v>1.6233770000000001</v>
      </c>
      <c r="D1474" s="7">
        <v>82.851318000000006</v>
      </c>
      <c r="E1474">
        <v>1</v>
      </c>
      <c r="F1474">
        <v>1</v>
      </c>
      <c r="G1474" s="2">
        <v>1.276858</v>
      </c>
      <c r="H1474" s="2">
        <v>2.9181240000000002</v>
      </c>
      <c r="I1474">
        <v>1</v>
      </c>
      <c r="J1474">
        <v>0</v>
      </c>
      <c r="K1474" s="2">
        <v>1.4037839999999999</v>
      </c>
      <c r="L1474">
        <v>0</v>
      </c>
      <c r="M1474" s="7">
        <v>0.55251099999999997</v>
      </c>
      <c r="N1474" s="7">
        <v>1.5604020000000001</v>
      </c>
      <c r="O1474">
        <v>1</v>
      </c>
      <c r="P1474" t="s">
        <v>14</v>
      </c>
      <c r="Q1474">
        <v>4</v>
      </c>
      <c r="R1474" s="8">
        <f>(Tabela2[[#This Row],[FAF_atividade_fisica_frequente_em_horas]]+ 0.1)</f>
        <v>0.65251099999999995</v>
      </c>
      <c r="S1474" s="1">
        <f>(Tabela2[[#This Row],[TUE_tempo_uso_aparelhos_em_horas]]/Tabela2[[#This Row],[FAF_Var]])</f>
        <v>2.3913803751967402</v>
      </c>
      <c r="T1474">
        <f>(Tabela2[[#This Row],[CAEC_lanche_entre_refeicoes]]*Tabela2[[#This Row],[FAVC_consumo_frequente_de_alimentos_mt_caloricos]])</f>
        <v>1</v>
      </c>
      <c r="U1474" s="1">
        <f>IF(OR(Tabela2[[#This Row],[MTRANS]]="Walking",Tabela2[[#This Row],[MTRANS]]="Bike"),Tabela2[[#This Row],[FAF_atividade_fisica_frequente_em_horas]]+1,M1474)</f>
        <v>0.55251099999999997</v>
      </c>
      <c r="V1474">
        <f>(Tabela2[[#This Row],[SMOKE]]+Tabela2[[#This Row],[CALC_bebe_alcool_frequentemente]])</f>
        <v>1</v>
      </c>
      <c r="W1474" s="8">
        <f>(Tabela2[[#This Row],[Weight]]/(Tabela2[[#This Row],[Height]] ^2))</f>
        <v>31.438415135581682</v>
      </c>
    </row>
    <row r="1475" spans="1:23" x14ac:dyDescent="0.25">
      <c r="A1475" t="s">
        <v>13</v>
      </c>
      <c r="B1475" s="7">
        <v>22.956845000000001</v>
      </c>
      <c r="C1475" s="4">
        <v>1.6186860000000001</v>
      </c>
      <c r="D1475" s="7">
        <v>81.281577999999996</v>
      </c>
      <c r="E1475">
        <v>1</v>
      </c>
      <c r="F1475">
        <v>1</v>
      </c>
      <c r="G1475" s="2">
        <v>2.3962650000000001</v>
      </c>
      <c r="H1475" s="2">
        <v>1.073421</v>
      </c>
      <c r="I1475">
        <v>1</v>
      </c>
      <c r="J1475">
        <v>0</v>
      </c>
      <c r="K1475" s="2">
        <v>1.979833</v>
      </c>
      <c r="L1475">
        <v>0</v>
      </c>
      <c r="M1475" s="7">
        <v>2.2598E-2</v>
      </c>
      <c r="N1475" s="7">
        <v>6.1282000000000003E-2</v>
      </c>
      <c r="O1475">
        <v>0</v>
      </c>
      <c r="P1475" t="s">
        <v>14</v>
      </c>
      <c r="Q1475">
        <v>4</v>
      </c>
      <c r="R1475" s="8">
        <f>(Tabela2[[#This Row],[FAF_atividade_fisica_frequente_em_horas]]+ 0.1)</f>
        <v>0.12259800000000001</v>
      </c>
      <c r="S1475" s="1">
        <f>(Tabela2[[#This Row],[TUE_tempo_uso_aparelhos_em_horas]]/Tabela2[[#This Row],[FAF_Var]])</f>
        <v>0.49986133542145872</v>
      </c>
      <c r="T1475">
        <f>(Tabela2[[#This Row],[CAEC_lanche_entre_refeicoes]]*Tabela2[[#This Row],[FAVC_consumo_frequente_de_alimentos_mt_caloricos]])</f>
        <v>1</v>
      </c>
      <c r="U1475" s="1">
        <f>IF(OR(Tabela2[[#This Row],[MTRANS]]="Walking",Tabela2[[#This Row],[MTRANS]]="Bike"),Tabela2[[#This Row],[FAF_atividade_fisica_frequente_em_horas]]+1,M1475)</f>
        <v>2.2598E-2</v>
      </c>
      <c r="V1475">
        <f>(Tabela2[[#This Row],[SMOKE]]+Tabela2[[#This Row],[CALC_bebe_alcool_frequentemente]])</f>
        <v>0</v>
      </c>
      <c r="W1475" s="8">
        <f>(Tabela2[[#This Row],[Weight]]/(Tabela2[[#This Row],[Height]] ^2))</f>
        <v>31.021793698183959</v>
      </c>
    </row>
    <row r="1476" spans="1:23" x14ac:dyDescent="0.25">
      <c r="A1476" t="s">
        <v>13</v>
      </c>
      <c r="B1476" s="7">
        <v>22.829681000000001</v>
      </c>
      <c r="C1476" s="4">
        <v>1.616085</v>
      </c>
      <c r="D1476" s="7">
        <v>82.582954000000001</v>
      </c>
      <c r="E1476">
        <v>1</v>
      </c>
      <c r="F1476">
        <v>1</v>
      </c>
      <c r="G1476" s="2">
        <v>2.6638660000000001</v>
      </c>
      <c r="H1476" s="2">
        <v>1.416309</v>
      </c>
      <c r="I1476">
        <v>1</v>
      </c>
      <c r="J1476">
        <v>0</v>
      </c>
      <c r="K1476" s="2">
        <v>2.3792749999999998</v>
      </c>
      <c r="L1476">
        <v>0</v>
      </c>
      <c r="M1476" s="7">
        <v>0.25632300000000002</v>
      </c>
      <c r="N1476" s="7">
        <v>0.598244</v>
      </c>
      <c r="O1476">
        <v>0</v>
      </c>
      <c r="P1476" t="s">
        <v>14</v>
      </c>
      <c r="Q1476">
        <v>4</v>
      </c>
      <c r="R1476" s="8">
        <f>(Tabela2[[#This Row],[FAF_atividade_fisica_frequente_em_horas]]+ 0.1)</f>
        <v>0.35632300000000006</v>
      </c>
      <c r="S1476" s="1">
        <f>(Tabela2[[#This Row],[TUE_tempo_uso_aparelhos_em_horas]]/Tabela2[[#This Row],[FAF_Var]])</f>
        <v>1.6789373686234117</v>
      </c>
      <c r="T1476">
        <f>(Tabela2[[#This Row],[CAEC_lanche_entre_refeicoes]]*Tabela2[[#This Row],[FAVC_consumo_frequente_de_alimentos_mt_caloricos]])</f>
        <v>1</v>
      </c>
      <c r="U1476" s="1">
        <f>IF(OR(Tabela2[[#This Row],[MTRANS]]="Walking",Tabela2[[#This Row],[MTRANS]]="Bike"),Tabela2[[#This Row],[FAF_atividade_fisica_frequente_em_horas]]+1,M1476)</f>
        <v>0.25632300000000002</v>
      </c>
      <c r="V1476">
        <f>(Tabela2[[#This Row],[SMOKE]]+Tabela2[[#This Row],[CALC_bebe_alcool_frequentemente]])</f>
        <v>0</v>
      </c>
      <c r="W1476" s="8">
        <f>(Tabela2[[#This Row],[Weight]]/(Tabela2[[#This Row],[Height]] ^2))</f>
        <v>31.620010875985493</v>
      </c>
    </row>
    <row r="1477" spans="1:23" x14ac:dyDescent="0.25">
      <c r="A1477" t="s">
        <v>15</v>
      </c>
      <c r="B1477" s="7">
        <v>22.200779000000001</v>
      </c>
      <c r="C1477" s="4">
        <v>1.769328</v>
      </c>
      <c r="D1477" s="7">
        <v>105.000576</v>
      </c>
      <c r="E1477">
        <v>1</v>
      </c>
      <c r="F1477">
        <v>1</v>
      </c>
      <c r="G1477" s="2">
        <v>2.6854840000000002</v>
      </c>
      <c r="H1477" s="2">
        <v>3</v>
      </c>
      <c r="I1477">
        <v>1</v>
      </c>
      <c r="J1477">
        <v>0</v>
      </c>
      <c r="K1477" s="2">
        <v>2.6494589999999998</v>
      </c>
      <c r="L1477">
        <v>0</v>
      </c>
      <c r="M1477" s="7">
        <v>1</v>
      </c>
      <c r="N1477" s="7">
        <v>0</v>
      </c>
      <c r="O1477">
        <v>1</v>
      </c>
      <c r="P1477" t="s">
        <v>14</v>
      </c>
      <c r="Q1477">
        <v>4</v>
      </c>
      <c r="R1477" s="8">
        <f>(Tabela2[[#This Row],[FAF_atividade_fisica_frequente_em_horas]]+ 0.1)</f>
        <v>1.1000000000000001</v>
      </c>
      <c r="S1477" s="1">
        <f>(Tabela2[[#This Row],[TUE_tempo_uso_aparelhos_em_horas]]/Tabela2[[#This Row],[FAF_Var]])</f>
        <v>0</v>
      </c>
      <c r="T1477">
        <f>(Tabela2[[#This Row],[CAEC_lanche_entre_refeicoes]]*Tabela2[[#This Row],[FAVC_consumo_frequente_de_alimentos_mt_caloricos]])</f>
        <v>1</v>
      </c>
      <c r="U1477" s="1">
        <f>IF(OR(Tabela2[[#This Row],[MTRANS]]="Walking",Tabela2[[#This Row],[MTRANS]]="Bike"),Tabela2[[#This Row],[FAF_atividade_fisica_frequente_em_horas]]+1,M1477)</f>
        <v>1</v>
      </c>
      <c r="V1477">
        <f>(Tabela2[[#This Row],[SMOKE]]+Tabela2[[#This Row],[CALC_bebe_alcool_frequentemente]])</f>
        <v>1</v>
      </c>
      <c r="W1477" s="8">
        <f>(Tabela2[[#This Row],[Weight]]/(Tabela2[[#This Row],[Height]] ^2))</f>
        <v>33.540920769592773</v>
      </c>
    </row>
    <row r="1478" spans="1:23" x14ac:dyDescent="0.25">
      <c r="A1478" t="s">
        <v>15</v>
      </c>
      <c r="B1478" s="7">
        <v>21.688556999999999</v>
      </c>
      <c r="C1478" s="4">
        <v>1.807029</v>
      </c>
      <c r="D1478" s="7">
        <v>105.696358</v>
      </c>
      <c r="E1478">
        <v>1</v>
      </c>
      <c r="F1478">
        <v>1</v>
      </c>
      <c r="G1478" s="2">
        <v>2.0552090000000001</v>
      </c>
      <c r="H1478" s="2">
        <v>3</v>
      </c>
      <c r="I1478">
        <v>1</v>
      </c>
      <c r="J1478">
        <v>0</v>
      </c>
      <c r="K1478" s="2">
        <v>2.8858519999999999</v>
      </c>
      <c r="L1478">
        <v>0</v>
      </c>
      <c r="M1478" s="7">
        <v>0.90336899999999998</v>
      </c>
      <c r="N1478" s="7">
        <v>0.14451</v>
      </c>
      <c r="O1478">
        <v>1</v>
      </c>
      <c r="P1478" t="s">
        <v>14</v>
      </c>
      <c r="Q1478">
        <v>4</v>
      </c>
      <c r="R1478" s="8">
        <f>(Tabela2[[#This Row],[FAF_atividade_fisica_frequente_em_horas]]+ 0.1)</f>
        <v>1.003369</v>
      </c>
      <c r="S1478" s="1">
        <f>(Tabela2[[#This Row],[TUE_tempo_uso_aparelhos_em_horas]]/Tabela2[[#This Row],[FAF_Var]])</f>
        <v>0.14402478051444684</v>
      </c>
      <c r="T1478">
        <f>(Tabela2[[#This Row],[CAEC_lanche_entre_refeicoes]]*Tabela2[[#This Row],[FAVC_consumo_frequente_de_alimentos_mt_caloricos]])</f>
        <v>1</v>
      </c>
      <c r="U1478" s="1">
        <f>IF(OR(Tabela2[[#This Row],[MTRANS]]="Walking",Tabela2[[#This Row],[MTRANS]]="Bike"),Tabela2[[#This Row],[FAF_atividade_fisica_frequente_em_horas]]+1,M1478)</f>
        <v>0.90336899999999998</v>
      </c>
      <c r="V1478">
        <f>(Tabela2[[#This Row],[SMOKE]]+Tabela2[[#This Row],[CALC_bebe_alcool_frequentemente]])</f>
        <v>1</v>
      </c>
      <c r="W1478" s="8">
        <f>(Tabela2[[#This Row],[Weight]]/(Tabela2[[#This Row],[Height]] ^2))</f>
        <v>32.369036941284406</v>
      </c>
    </row>
    <row r="1479" spans="1:23" x14ac:dyDescent="0.25">
      <c r="A1479" t="s">
        <v>15</v>
      </c>
      <c r="B1479" s="7">
        <v>20.803186</v>
      </c>
      <c r="C1479" s="4">
        <v>1.882533</v>
      </c>
      <c r="D1479" s="7">
        <v>117.46851599999999</v>
      </c>
      <c r="E1479">
        <v>1</v>
      </c>
      <c r="F1479">
        <v>1</v>
      </c>
      <c r="G1479" s="2">
        <v>2</v>
      </c>
      <c r="H1479" s="2">
        <v>2.1816200000000001</v>
      </c>
      <c r="I1479">
        <v>1</v>
      </c>
      <c r="J1479">
        <v>0</v>
      </c>
      <c r="K1479" s="2">
        <v>2.325091</v>
      </c>
      <c r="L1479">
        <v>0</v>
      </c>
      <c r="M1479" s="7">
        <v>0.89144400000000001</v>
      </c>
      <c r="N1479" s="7">
        <v>1.2236610000000001</v>
      </c>
      <c r="O1479">
        <v>1</v>
      </c>
      <c r="P1479" t="s">
        <v>14</v>
      </c>
      <c r="Q1479">
        <v>4</v>
      </c>
      <c r="R1479" s="8">
        <f>(Tabela2[[#This Row],[FAF_atividade_fisica_frequente_em_horas]]+ 0.1)</f>
        <v>0.99144399999999999</v>
      </c>
      <c r="S1479" s="1">
        <f>(Tabela2[[#This Row],[TUE_tempo_uso_aparelhos_em_horas]]/Tabela2[[#This Row],[FAF_Var]])</f>
        <v>1.2342209948317808</v>
      </c>
      <c r="T1479">
        <f>(Tabela2[[#This Row],[CAEC_lanche_entre_refeicoes]]*Tabela2[[#This Row],[FAVC_consumo_frequente_de_alimentos_mt_caloricos]])</f>
        <v>1</v>
      </c>
      <c r="U1479" s="1">
        <f>IF(OR(Tabela2[[#This Row],[MTRANS]]="Walking",Tabela2[[#This Row],[MTRANS]]="Bike"),Tabela2[[#This Row],[FAF_atividade_fisica_frequente_em_horas]]+1,M1479)</f>
        <v>0.89144400000000001</v>
      </c>
      <c r="V1479">
        <f>(Tabela2[[#This Row],[SMOKE]]+Tabela2[[#This Row],[CALC_bebe_alcool_frequentemente]])</f>
        <v>1</v>
      </c>
      <c r="W1479" s="8">
        <f>(Tabela2[[#This Row],[Weight]]/(Tabela2[[#This Row],[Height]] ^2))</f>
        <v>33.146393849889421</v>
      </c>
    </row>
    <row r="1480" spans="1:23" x14ac:dyDescent="0.25">
      <c r="A1480" t="s">
        <v>15</v>
      </c>
      <c r="B1480" s="7">
        <v>19.515324</v>
      </c>
      <c r="C1480" s="4">
        <v>1.8791439999999999</v>
      </c>
      <c r="D1480" s="7">
        <v>112.932984</v>
      </c>
      <c r="E1480">
        <v>1</v>
      </c>
      <c r="F1480">
        <v>1</v>
      </c>
      <c r="G1480" s="2">
        <v>2</v>
      </c>
      <c r="H1480" s="2">
        <v>2.152733</v>
      </c>
      <c r="I1480">
        <v>1</v>
      </c>
      <c r="J1480">
        <v>0</v>
      </c>
      <c r="K1480" s="2">
        <v>2.53369</v>
      </c>
      <c r="L1480">
        <v>0</v>
      </c>
      <c r="M1480" s="7">
        <v>0.91756300000000002</v>
      </c>
      <c r="N1480" s="7">
        <v>1.285838</v>
      </c>
      <c r="O1480">
        <v>1</v>
      </c>
      <c r="P1480" t="s">
        <v>14</v>
      </c>
      <c r="Q1480">
        <v>4</v>
      </c>
      <c r="R1480" s="8">
        <f>(Tabela2[[#This Row],[FAF_atividade_fisica_frequente_em_horas]]+ 0.1)</f>
        <v>1.017563</v>
      </c>
      <c r="S1480" s="1">
        <f>(Tabela2[[#This Row],[TUE_tempo_uso_aparelhos_em_horas]]/Tabela2[[#This Row],[FAF_Var]])</f>
        <v>1.2636446097194964</v>
      </c>
      <c r="T1480">
        <f>(Tabela2[[#This Row],[CAEC_lanche_entre_refeicoes]]*Tabela2[[#This Row],[FAVC_consumo_frequente_de_alimentos_mt_caloricos]])</f>
        <v>1</v>
      </c>
      <c r="U1480" s="1">
        <f>IF(OR(Tabela2[[#This Row],[MTRANS]]="Walking",Tabela2[[#This Row],[MTRANS]]="Bike"),Tabela2[[#This Row],[FAF_atividade_fisica_frequente_em_horas]]+1,M1480)</f>
        <v>0.91756300000000002</v>
      </c>
      <c r="V1480">
        <f>(Tabela2[[#This Row],[SMOKE]]+Tabela2[[#This Row],[CALC_bebe_alcool_frequentemente]])</f>
        <v>1</v>
      </c>
      <c r="W1480" s="8">
        <f>(Tabela2[[#This Row],[Weight]]/(Tabela2[[#This Row],[Height]] ^2))</f>
        <v>31.981636312039448</v>
      </c>
    </row>
    <row r="1481" spans="1:23" x14ac:dyDescent="0.25">
      <c r="A1481" t="s">
        <v>15</v>
      </c>
      <c r="B1481" s="7">
        <v>21.962219000000001</v>
      </c>
      <c r="C1481" s="4">
        <v>1.931263</v>
      </c>
      <c r="D1481" s="7">
        <v>118.20313</v>
      </c>
      <c r="E1481">
        <v>1</v>
      </c>
      <c r="F1481">
        <v>1</v>
      </c>
      <c r="G1481" s="2">
        <v>2</v>
      </c>
      <c r="H1481" s="2">
        <v>3</v>
      </c>
      <c r="I1481">
        <v>1</v>
      </c>
      <c r="J1481">
        <v>0</v>
      </c>
      <c r="K1481" s="2">
        <v>3</v>
      </c>
      <c r="L1481">
        <v>0</v>
      </c>
      <c r="M1481" s="7">
        <v>0.74359299999999995</v>
      </c>
      <c r="N1481" s="7">
        <v>1</v>
      </c>
      <c r="O1481">
        <v>1</v>
      </c>
      <c r="P1481" t="s">
        <v>14</v>
      </c>
      <c r="Q1481">
        <v>4</v>
      </c>
      <c r="R1481" s="8">
        <f>(Tabela2[[#This Row],[FAF_atividade_fisica_frequente_em_horas]]+ 0.1)</f>
        <v>0.84359299999999993</v>
      </c>
      <c r="S1481" s="1">
        <f>(Tabela2[[#This Row],[TUE_tempo_uso_aparelhos_em_horas]]/Tabela2[[#This Row],[FAF_Var]])</f>
        <v>1.1854057584640936</v>
      </c>
      <c r="T1481">
        <f>(Tabela2[[#This Row],[CAEC_lanche_entre_refeicoes]]*Tabela2[[#This Row],[FAVC_consumo_frequente_de_alimentos_mt_caloricos]])</f>
        <v>1</v>
      </c>
      <c r="U1481" s="1">
        <f>IF(OR(Tabela2[[#This Row],[MTRANS]]="Walking",Tabela2[[#This Row],[MTRANS]]="Bike"),Tabela2[[#This Row],[FAF_atividade_fisica_frequente_em_horas]]+1,M1481)</f>
        <v>0.74359299999999995</v>
      </c>
      <c r="V1481">
        <f>(Tabela2[[#This Row],[SMOKE]]+Tabela2[[#This Row],[CALC_bebe_alcool_frequentemente]])</f>
        <v>1</v>
      </c>
      <c r="W1481" s="8">
        <f>(Tabela2[[#This Row],[Weight]]/(Tabela2[[#This Row],[Height]] ^2))</f>
        <v>31.691743802722378</v>
      </c>
    </row>
    <row r="1482" spans="1:23" x14ac:dyDescent="0.25">
      <c r="A1482" t="s">
        <v>15</v>
      </c>
      <c r="B1482" s="7">
        <v>20.534089000000002</v>
      </c>
      <c r="C1482" s="4">
        <v>1.8613580000000001</v>
      </c>
      <c r="D1482" s="7">
        <v>115.39792</v>
      </c>
      <c r="E1482">
        <v>1</v>
      </c>
      <c r="F1482">
        <v>1</v>
      </c>
      <c r="G1482" s="2">
        <v>2</v>
      </c>
      <c r="H1482" s="2">
        <v>3</v>
      </c>
      <c r="I1482">
        <v>1</v>
      </c>
      <c r="J1482">
        <v>0</v>
      </c>
      <c r="K1482" s="2">
        <v>3</v>
      </c>
      <c r="L1482">
        <v>0</v>
      </c>
      <c r="M1482" s="7">
        <v>0.987591</v>
      </c>
      <c r="N1482" s="7">
        <v>1.914531</v>
      </c>
      <c r="O1482">
        <v>1</v>
      </c>
      <c r="P1482" t="s">
        <v>14</v>
      </c>
      <c r="Q1482">
        <v>4</v>
      </c>
      <c r="R1482" s="8">
        <f>(Tabela2[[#This Row],[FAF_atividade_fisica_frequente_em_horas]]+ 0.1)</f>
        <v>1.087591</v>
      </c>
      <c r="S1482" s="1">
        <f>(Tabela2[[#This Row],[TUE_tempo_uso_aparelhos_em_horas]]/Tabela2[[#This Row],[FAF_Var]])</f>
        <v>1.7603409737667928</v>
      </c>
      <c r="T1482">
        <f>(Tabela2[[#This Row],[CAEC_lanche_entre_refeicoes]]*Tabela2[[#This Row],[FAVC_consumo_frequente_de_alimentos_mt_caloricos]])</f>
        <v>1</v>
      </c>
      <c r="U1482" s="1">
        <f>IF(OR(Tabela2[[#This Row],[MTRANS]]="Walking",Tabela2[[#This Row],[MTRANS]]="Bike"),Tabela2[[#This Row],[FAF_atividade_fisica_frequente_em_horas]]+1,M1482)</f>
        <v>0.987591</v>
      </c>
      <c r="V1482">
        <f>(Tabela2[[#This Row],[SMOKE]]+Tabela2[[#This Row],[CALC_bebe_alcool_frequentemente]])</f>
        <v>1</v>
      </c>
      <c r="W1482" s="8">
        <f>(Tabela2[[#This Row],[Weight]]/(Tabela2[[#This Row],[Height]] ^2))</f>
        <v>33.30720273487335</v>
      </c>
    </row>
    <row r="1483" spans="1:23" x14ac:dyDescent="0.25">
      <c r="A1483" t="s">
        <v>13</v>
      </c>
      <c r="B1483" s="7">
        <v>39.292659999999998</v>
      </c>
      <c r="C1483" s="4">
        <v>1.5671310000000001</v>
      </c>
      <c r="D1483" s="7">
        <v>80</v>
      </c>
      <c r="E1483">
        <v>1</v>
      </c>
      <c r="F1483">
        <v>1</v>
      </c>
      <c r="G1483" s="2">
        <v>2.0254789999999998</v>
      </c>
      <c r="H1483" s="2">
        <v>1.046144</v>
      </c>
      <c r="I1483">
        <v>1</v>
      </c>
      <c r="J1483">
        <v>0</v>
      </c>
      <c r="K1483" s="2">
        <v>1.9412240000000001</v>
      </c>
      <c r="L1483">
        <v>0</v>
      </c>
      <c r="M1483" s="7">
        <v>1.9832650000000001</v>
      </c>
      <c r="N1483" s="7">
        <v>0</v>
      </c>
      <c r="O1483">
        <v>1</v>
      </c>
      <c r="P1483" t="s">
        <v>17</v>
      </c>
      <c r="Q1483">
        <v>4</v>
      </c>
      <c r="R1483" s="8">
        <f>(Tabela2[[#This Row],[FAF_atividade_fisica_frequente_em_horas]]+ 0.1)</f>
        <v>2.0832649999999999</v>
      </c>
      <c r="S1483" s="1">
        <f>(Tabela2[[#This Row],[TUE_tempo_uso_aparelhos_em_horas]]/Tabela2[[#This Row],[FAF_Var]])</f>
        <v>0</v>
      </c>
      <c r="T1483">
        <f>(Tabela2[[#This Row],[CAEC_lanche_entre_refeicoes]]*Tabela2[[#This Row],[FAVC_consumo_frequente_de_alimentos_mt_caloricos]])</f>
        <v>1</v>
      </c>
      <c r="U1483" s="1">
        <f>IF(OR(Tabela2[[#This Row],[MTRANS]]="Walking",Tabela2[[#This Row],[MTRANS]]="Bike"),Tabela2[[#This Row],[FAF_atividade_fisica_frequente_em_horas]]+1,M1483)</f>
        <v>1.9832650000000001</v>
      </c>
      <c r="V1483">
        <f>(Tabela2[[#This Row],[SMOKE]]+Tabela2[[#This Row],[CALC_bebe_alcool_frequentemente]])</f>
        <v>1</v>
      </c>
      <c r="W1483" s="8">
        <f>(Tabela2[[#This Row],[Weight]]/(Tabela2[[#This Row],[Height]] ^2))</f>
        <v>32.574621918346949</v>
      </c>
    </row>
    <row r="1484" spans="1:23" x14ac:dyDescent="0.25">
      <c r="A1484" t="s">
        <v>13</v>
      </c>
      <c r="B1484" s="7">
        <v>37.872971</v>
      </c>
      <c r="C1484" s="4">
        <v>1.565366</v>
      </c>
      <c r="D1484" s="7">
        <v>80</v>
      </c>
      <c r="E1484">
        <v>1</v>
      </c>
      <c r="F1484">
        <v>1</v>
      </c>
      <c r="G1484" s="2">
        <v>2.002564</v>
      </c>
      <c r="H1484" s="2">
        <v>1.9742329999999999</v>
      </c>
      <c r="I1484">
        <v>1</v>
      </c>
      <c r="J1484">
        <v>0</v>
      </c>
      <c r="K1484" s="2">
        <v>1.935398</v>
      </c>
      <c r="L1484">
        <v>0</v>
      </c>
      <c r="M1484" s="7">
        <v>1.6492990000000001</v>
      </c>
      <c r="N1484" s="7">
        <v>0</v>
      </c>
      <c r="O1484">
        <v>1</v>
      </c>
      <c r="P1484" t="s">
        <v>17</v>
      </c>
      <c r="Q1484">
        <v>4</v>
      </c>
      <c r="R1484" s="8">
        <f>(Tabela2[[#This Row],[FAF_atividade_fisica_frequente_em_horas]]+ 0.1)</f>
        <v>1.7492990000000002</v>
      </c>
      <c r="S1484" s="1">
        <f>(Tabela2[[#This Row],[TUE_tempo_uso_aparelhos_em_horas]]/Tabela2[[#This Row],[FAF_Var]])</f>
        <v>0</v>
      </c>
      <c r="T1484">
        <f>(Tabela2[[#This Row],[CAEC_lanche_entre_refeicoes]]*Tabela2[[#This Row],[FAVC_consumo_frequente_de_alimentos_mt_caloricos]])</f>
        <v>1</v>
      </c>
      <c r="U1484" s="1">
        <f>IF(OR(Tabela2[[#This Row],[MTRANS]]="Walking",Tabela2[[#This Row],[MTRANS]]="Bike"),Tabela2[[#This Row],[FAF_atividade_fisica_frequente_em_horas]]+1,M1484)</f>
        <v>1.6492990000000001</v>
      </c>
      <c r="V1484">
        <f>(Tabela2[[#This Row],[SMOKE]]+Tabela2[[#This Row],[CALC_bebe_alcool_frequentemente]])</f>
        <v>1</v>
      </c>
      <c r="W1484" s="8">
        <f>(Tabela2[[#This Row],[Weight]]/(Tabela2[[#This Row],[Height]] ^2))</f>
        <v>32.648121177894765</v>
      </c>
    </row>
    <row r="1485" spans="1:23" x14ac:dyDescent="0.25">
      <c r="A1485" t="s">
        <v>13</v>
      </c>
      <c r="B1485" s="7">
        <v>37.613377999999997</v>
      </c>
      <c r="C1485" s="4">
        <v>1.5160070000000001</v>
      </c>
      <c r="D1485" s="7">
        <v>77.033049000000005</v>
      </c>
      <c r="E1485">
        <v>1</v>
      </c>
      <c r="F1485">
        <v>1</v>
      </c>
      <c r="G1485" s="2">
        <v>2</v>
      </c>
      <c r="H1485" s="2">
        <v>2.8807939999999999</v>
      </c>
      <c r="I1485">
        <v>1</v>
      </c>
      <c r="J1485">
        <v>0</v>
      </c>
      <c r="K1485" s="2">
        <v>1.6183700000000001</v>
      </c>
      <c r="L1485">
        <v>0</v>
      </c>
      <c r="M1485" s="7">
        <v>0.12016499999999999</v>
      </c>
      <c r="N1485" s="7">
        <v>0</v>
      </c>
      <c r="O1485">
        <v>1</v>
      </c>
      <c r="P1485" t="s">
        <v>17</v>
      </c>
      <c r="Q1485">
        <v>4</v>
      </c>
      <c r="R1485" s="8">
        <f>(Tabela2[[#This Row],[FAF_atividade_fisica_frequente_em_horas]]+ 0.1)</f>
        <v>0.220165</v>
      </c>
      <c r="S1485" s="1">
        <f>(Tabela2[[#This Row],[TUE_tempo_uso_aparelhos_em_horas]]/Tabela2[[#This Row],[FAF_Var]])</f>
        <v>0</v>
      </c>
      <c r="T1485">
        <f>(Tabela2[[#This Row],[CAEC_lanche_entre_refeicoes]]*Tabela2[[#This Row],[FAVC_consumo_frequente_de_alimentos_mt_caloricos]])</f>
        <v>1</v>
      </c>
      <c r="U1485" s="1">
        <f>IF(OR(Tabela2[[#This Row],[MTRANS]]="Walking",Tabela2[[#This Row],[MTRANS]]="Bike"),Tabela2[[#This Row],[FAF_atividade_fisica_frequente_em_horas]]+1,M1485)</f>
        <v>0.12016499999999999</v>
      </c>
      <c r="V1485">
        <f>(Tabela2[[#This Row],[SMOKE]]+Tabela2[[#This Row],[CALC_bebe_alcool_frequentemente]])</f>
        <v>1</v>
      </c>
      <c r="W1485" s="8">
        <f>(Tabela2[[#This Row],[Weight]]/(Tabela2[[#This Row],[Height]] ^2))</f>
        <v>33.517735891010865</v>
      </c>
    </row>
    <row r="1486" spans="1:23" x14ac:dyDescent="0.25">
      <c r="A1486" t="s">
        <v>13</v>
      </c>
      <c r="B1486" s="7">
        <v>37.471682999999999</v>
      </c>
      <c r="C1486" s="4">
        <v>1.549812</v>
      </c>
      <c r="D1486" s="7">
        <v>76.082516999999996</v>
      </c>
      <c r="E1486">
        <v>1</v>
      </c>
      <c r="F1486">
        <v>1</v>
      </c>
      <c r="G1486" s="2">
        <v>2</v>
      </c>
      <c r="H1486" s="2">
        <v>2.7652130000000001</v>
      </c>
      <c r="I1486">
        <v>1</v>
      </c>
      <c r="J1486">
        <v>0</v>
      </c>
      <c r="K1486" s="2">
        <v>1.551266</v>
      </c>
      <c r="L1486">
        <v>0</v>
      </c>
      <c r="M1486" s="7">
        <v>1.350001</v>
      </c>
      <c r="N1486" s="7">
        <v>0</v>
      </c>
      <c r="O1486">
        <v>1</v>
      </c>
      <c r="P1486" t="s">
        <v>17</v>
      </c>
      <c r="Q1486">
        <v>4</v>
      </c>
      <c r="R1486" s="8">
        <f>(Tabela2[[#This Row],[FAF_atividade_fisica_frequente_em_horas]]+ 0.1)</f>
        <v>1.4500010000000001</v>
      </c>
      <c r="S1486" s="1">
        <f>(Tabela2[[#This Row],[TUE_tempo_uso_aparelhos_em_horas]]/Tabela2[[#This Row],[FAF_Var]])</f>
        <v>0</v>
      </c>
      <c r="T1486">
        <f>(Tabela2[[#This Row],[CAEC_lanche_entre_refeicoes]]*Tabela2[[#This Row],[FAVC_consumo_frequente_de_alimentos_mt_caloricos]])</f>
        <v>1</v>
      </c>
      <c r="U1486" s="1">
        <f>IF(OR(Tabela2[[#This Row],[MTRANS]]="Walking",Tabela2[[#This Row],[MTRANS]]="Bike"),Tabela2[[#This Row],[FAF_atividade_fisica_frequente_em_horas]]+1,M1486)</f>
        <v>1.350001</v>
      </c>
      <c r="V1486">
        <f>(Tabela2[[#This Row],[SMOKE]]+Tabela2[[#This Row],[CALC_bebe_alcool_frequentemente]])</f>
        <v>1</v>
      </c>
      <c r="W1486" s="8">
        <f>(Tabela2[[#This Row],[Weight]]/(Tabela2[[#This Row],[Height]] ^2))</f>
        <v>31.675744642843007</v>
      </c>
    </row>
    <row r="1487" spans="1:23" x14ac:dyDescent="0.25">
      <c r="A1487" t="s">
        <v>15</v>
      </c>
      <c r="B1487" s="7">
        <v>18.611197000000001</v>
      </c>
      <c r="C1487" s="4">
        <v>1.714143</v>
      </c>
      <c r="D1487" s="7">
        <v>96.568814000000003</v>
      </c>
      <c r="E1487">
        <v>1</v>
      </c>
      <c r="F1487">
        <v>1</v>
      </c>
      <c r="G1487" s="2">
        <v>2</v>
      </c>
      <c r="H1487" s="2">
        <v>2.9670890000000001</v>
      </c>
      <c r="I1487">
        <v>1</v>
      </c>
      <c r="J1487">
        <v>0</v>
      </c>
      <c r="K1487" s="2">
        <v>2</v>
      </c>
      <c r="L1487">
        <v>0</v>
      </c>
      <c r="M1487" s="7">
        <v>0</v>
      </c>
      <c r="N1487" s="7">
        <v>0.46704800000000002</v>
      </c>
      <c r="O1487">
        <v>0</v>
      </c>
      <c r="P1487" t="s">
        <v>14</v>
      </c>
      <c r="Q1487">
        <v>4</v>
      </c>
      <c r="R1487" s="8">
        <f>(Tabela2[[#This Row],[FAF_atividade_fisica_frequente_em_horas]]+ 0.1)</f>
        <v>0.1</v>
      </c>
      <c r="S1487" s="1">
        <f>(Tabela2[[#This Row],[TUE_tempo_uso_aparelhos_em_horas]]/Tabela2[[#This Row],[FAF_Var]])</f>
        <v>4.6704799999999995</v>
      </c>
      <c r="T1487">
        <f>(Tabela2[[#This Row],[CAEC_lanche_entre_refeicoes]]*Tabela2[[#This Row],[FAVC_consumo_frequente_de_alimentos_mt_caloricos]])</f>
        <v>1</v>
      </c>
      <c r="U1487" s="1">
        <f>IF(OR(Tabela2[[#This Row],[MTRANS]]="Walking",Tabela2[[#This Row],[MTRANS]]="Bike"),Tabela2[[#This Row],[FAF_atividade_fisica_frequente_em_horas]]+1,M1487)</f>
        <v>0</v>
      </c>
      <c r="V1487">
        <f>(Tabela2[[#This Row],[SMOKE]]+Tabela2[[#This Row],[CALC_bebe_alcool_frequentemente]])</f>
        <v>0</v>
      </c>
      <c r="W1487" s="8">
        <f>(Tabela2[[#This Row],[Weight]]/(Tabela2[[#This Row],[Height]] ^2))</f>
        <v>32.865693340719048</v>
      </c>
    </row>
    <row r="1488" spans="1:23" x14ac:dyDescent="0.25">
      <c r="A1488" t="s">
        <v>15</v>
      </c>
      <c r="B1488" s="7">
        <v>17.412628999999999</v>
      </c>
      <c r="C1488" s="4">
        <v>1.7231909999999999</v>
      </c>
      <c r="D1488" s="7">
        <v>97.350365999999994</v>
      </c>
      <c r="E1488">
        <v>1</v>
      </c>
      <c r="F1488">
        <v>1</v>
      </c>
      <c r="G1488" s="2">
        <v>2</v>
      </c>
      <c r="H1488" s="2">
        <v>3</v>
      </c>
      <c r="I1488">
        <v>1</v>
      </c>
      <c r="J1488">
        <v>0</v>
      </c>
      <c r="K1488" s="2">
        <v>2</v>
      </c>
      <c r="L1488">
        <v>0</v>
      </c>
      <c r="M1488" s="7">
        <v>0</v>
      </c>
      <c r="N1488" s="7">
        <v>0.93172100000000002</v>
      </c>
      <c r="O1488">
        <v>0</v>
      </c>
      <c r="P1488" t="s">
        <v>14</v>
      </c>
      <c r="Q1488">
        <v>4</v>
      </c>
      <c r="R1488" s="8">
        <f>(Tabela2[[#This Row],[FAF_atividade_fisica_frequente_em_horas]]+ 0.1)</f>
        <v>0.1</v>
      </c>
      <c r="S1488" s="1">
        <f>(Tabela2[[#This Row],[TUE_tempo_uso_aparelhos_em_horas]]/Tabela2[[#This Row],[FAF_Var]])</f>
        <v>9.3172099999999993</v>
      </c>
      <c r="T1488">
        <f>(Tabela2[[#This Row],[CAEC_lanche_entre_refeicoes]]*Tabela2[[#This Row],[FAVC_consumo_frequente_de_alimentos_mt_caloricos]])</f>
        <v>1</v>
      </c>
      <c r="U1488" s="1">
        <f>IF(OR(Tabela2[[#This Row],[MTRANS]]="Walking",Tabela2[[#This Row],[MTRANS]]="Bike"),Tabela2[[#This Row],[FAF_atividade_fisica_frequente_em_horas]]+1,M1488)</f>
        <v>0</v>
      </c>
      <c r="V1488">
        <f>(Tabela2[[#This Row],[SMOKE]]+Tabela2[[#This Row],[CALC_bebe_alcool_frequentemente]])</f>
        <v>0</v>
      </c>
      <c r="W1488" s="8">
        <f>(Tabela2[[#This Row],[Weight]]/(Tabela2[[#This Row],[Height]] ^2))</f>
        <v>32.784665220813217</v>
      </c>
    </row>
    <row r="1489" spans="1:23" x14ac:dyDescent="0.25">
      <c r="A1489" t="s">
        <v>13</v>
      </c>
      <c r="B1489" s="7">
        <v>39.126309999999997</v>
      </c>
      <c r="C1489" s="4">
        <v>1.562889</v>
      </c>
      <c r="D1489" s="7">
        <v>76.659490000000005</v>
      </c>
      <c r="E1489">
        <v>1</v>
      </c>
      <c r="F1489">
        <v>1</v>
      </c>
      <c r="G1489" s="2">
        <v>2</v>
      </c>
      <c r="H1489" s="2">
        <v>3</v>
      </c>
      <c r="I1489">
        <v>1</v>
      </c>
      <c r="J1489">
        <v>0</v>
      </c>
      <c r="K1489" s="2">
        <v>1.440526</v>
      </c>
      <c r="L1489">
        <v>0</v>
      </c>
      <c r="M1489" s="7">
        <v>0</v>
      </c>
      <c r="N1489" s="7">
        <v>0</v>
      </c>
      <c r="O1489">
        <v>1</v>
      </c>
      <c r="P1489" t="s">
        <v>17</v>
      </c>
      <c r="Q1489">
        <v>4</v>
      </c>
      <c r="R1489" s="8">
        <f>(Tabela2[[#This Row],[FAF_atividade_fisica_frequente_em_horas]]+ 0.1)</f>
        <v>0.1</v>
      </c>
      <c r="S1489" s="1">
        <f>(Tabela2[[#This Row],[TUE_tempo_uso_aparelhos_em_horas]]/Tabela2[[#This Row],[FAF_Var]])</f>
        <v>0</v>
      </c>
      <c r="T1489">
        <f>(Tabela2[[#This Row],[CAEC_lanche_entre_refeicoes]]*Tabela2[[#This Row],[FAVC_consumo_frequente_de_alimentos_mt_caloricos]])</f>
        <v>1</v>
      </c>
      <c r="U1489" s="1">
        <f>IF(OR(Tabela2[[#This Row],[MTRANS]]="Walking",Tabela2[[#This Row],[MTRANS]]="Bike"),Tabela2[[#This Row],[FAF_atividade_fisica_frequente_em_horas]]+1,M1489)</f>
        <v>0</v>
      </c>
      <c r="V1489">
        <f>(Tabela2[[#This Row],[SMOKE]]+Tabela2[[#This Row],[CALC_bebe_alcool_frequentemente]])</f>
        <v>1</v>
      </c>
      <c r="W1489" s="8">
        <f>(Tabela2[[#This Row],[Weight]]/(Tabela2[[#This Row],[Height]] ^2))</f>
        <v>31.384098388510029</v>
      </c>
    </row>
    <row r="1490" spans="1:23" x14ac:dyDescent="0.25">
      <c r="A1490" t="s">
        <v>13</v>
      </c>
      <c r="B1490" s="7">
        <v>37.063599000000004</v>
      </c>
      <c r="C1490" s="4">
        <v>1.5026090000000001</v>
      </c>
      <c r="D1490" s="7">
        <v>75.279605000000004</v>
      </c>
      <c r="E1490">
        <v>1</v>
      </c>
      <c r="F1490">
        <v>1</v>
      </c>
      <c r="G1490" s="2">
        <v>2</v>
      </c>
      <c r="H1490" s="2">
        <v>3</v>
      </c>
      <c r="I1490">
        <v>1</v>
      </c>
      <c r="J1490">
        <v>0</v>
      </c>
      <c r="K1490" s="2">
        <v>1.759803</v>
      </c>
      <c r="L1490">
        <v>0</v>
      </c>
      <c r="M1490" s="7">
        <v>0</v>
      </c>
      <c r="N1490" s="7">
        <v>0</v>
      </c>
      <c r="O1490">
        <v>1</v>
      </c>
      <c r="P1490" t="s">
        <v>17</v>
      </c>
      <c r="Q1490">
        <v>4</v>
      </c>
      <c r="R1490" s="8">
        <f>(Tabela2[[#This Row],[FAF_atividade_fisica_frequente_em_horas]]+ 0.1)</f>
        <v>0.1</v>
      </c>
      <c r="S1490" s="1">
        <f>(Tabela2[[#This Row],[TUE_tempo_uso_aparelhos_em_horas]]/Tabela2[[#This Row],[FAF_Var]])</f>
        <v>0</v>
      </c>
      <c r="T1490">
        <f>(Tabela2[[#This Row],[CAEC_lanche_entre_refeicoes]]*Tabela2[[#This Row],[FAVC_consumo_frequente_de_alimentos_mt_caloricos]])</f>
        <v>1</v>
      </c>
      <c r="U1490" s="1">
        <f>IF(OR(Tabela2[[#This Row],[MTRANS]]="Walking",Tabela2[[#This Row],[MTRANS]]="Bike"),Tabela2[[#This Row],[FAF_atividade_fisica_frequente_em_horas]]+1,M1490)</f>
        <v>0</v>
      </c>
      <c r="V1490">
        <f>(Tabela2[[#This Row],[SMOKE]]+Tabela2[[#This Row],[CALC_bebe_alcool_frequentemente]])</f>
        <v>1</v>
      </c>
      <c r="W1490" s="8">
        <f>(Tabela2[[#This Row],[Weight]]/(Tabela2[[#This Row],[Height]] ^2))</f>
        <v>33.341517329830481</v>
      </c>
    </row>
    <row r="1491" spans="1:23" x14ac:dyDescent="0.25">
      <c r="A1491" t="s">
        <v>13</v>
      </c>
      <c r="B1491" s="7">
        <v>41.318302000000003</v>
      </c>
      <c r="C1491" s="4">
        <v>1.544937</v>
      </c>
      <c r="D1491" s="7">
        <v>77.053948000000005</v>
      </c>
      <c r="E1491">
        <v>1</v>
      </c>
      <c r="F1491">
        <v>1</v>
      </c>
      <c r="G1491" s="2">
        <v>2</v>
      </c>
      <c r="H1491" s="2">
        <v>3</v>
      </c>
      <c r="I1491">
        <v>1</v>
      </c>
      <c r="J1491">
        <v>0</v>
      </c>
      <c r="K1491" s="2">
        <v>2.0904129999999999</v>
      </c>
      <c r="L1491">
        <v>0</v>
      </c>
      <c r="M1491" s="7">
        <v>0</v>
      </c>
      <c r="N1491" s="7">
        <v>0</v>
      </c>
      <c r="O1491">
        <v>1</v>
      </c>
      <c r="P1491" t="s">
        <v>17</v>
      </c>
      <c r="Q1491">
        <v>4</v>
      </c>
      <c r="R1491" s="8">
        <f>(Tabela2[[#This Row],[FAF_atividade_fisica_frequente_em_horas]]+ 0.1)</f>
        <v>0.1</v>
      </c>
      <c r="S1491" s="1">
        <f>(Tabela2[[#This Row],[TUE_tempo_uso_aparelhos_em_horas]]/Tabela2[[#This Row],[FAF_Var]])</f>
        <v>0</v>
      </c>
      <c r="T1491">
        <f>(Tabela2[[#This Row],[CAEC_lanche_entre_refeicoes]]*Tabela2[[#This Row],[FAVC_consumo_frequente_de_alimentos_mt_caloricos]])</f>
        <v>1</v>
      </c>
      <c r="U1491" s="1">
        <f>IF(OR(Tabela2[[#This Row],[MTRANS]]="Walking",Tabela2[[#This Row],[MTRANS]]="Bike"),Tabela2[[#This Row],[FAF_atividade_fisica_frequente_em_horas]]+1,M1491)</f>
        <v>0</v>
      </c>
      <c r="V1491">
        <f>(Tabela2[[#This Row],[SMOKE]]+Tabela2[[#This Row],[CALC_bebe_alcool_frequentemente]])</f>
        <v>1</v>
      </c>
      <c r="W1491" s="8">
        <f>(Tabela2[[#This Row],[Weight]]/(Tabela2[[#This Row],[Height]] ^2))</f>
        <v>32.282959916915814</v>
      </c>
    </row>
    <row r="1492" spans="1:23" x14ac:dyDescent="0.25">
      <c r="A1492" t="s">
        <v>13</v>
      </c>
      <c r="B1492" s="7">
        <v>43.726081000000001</v>
      </c>
      <c r="C1492" s="4">
        <v>1.5923160000000001</v>
      </c>
      <c r="D1492" s="7">
        <v>77.00103</v>
      </c>
      <c r="E1492">
        <v>1</v>
      </c>
      <c r="F1492">
        <v>1</v>
      </c>
      <c r="G1492" s="2">
        <v>2</v>
      </c>
      <c r="H1492" s="2">
        <v>3</v>
      </c>
      <c r="I1492">
        <v>1</v>
      </c>
      <c r="J1492">
        <v>0</v>
      </c>
      <c r="K1492" s="2">
        <v>2.8069220000000001</v>
      </c>
      <c r="L1492">
        <v>0</v>
      </c>
      <c r="M1492" s="7">
        <v>0</v>
      </c>
      <c r="N1492" s="7">
        <v>0</v>
      </c>
      <c r="O1492">
        <v>1</v>
      </c>
      <c r="P1492" t="s">
        <v>17</v>
      </c>
      <c r="Q1492">
        <v>4</v>
      </c>
      <c r="R1492" s="8">
        <f>(Tabela2[[#This Row],[FAF_atividade_fisica_frequente_em_horas]]+ 0.1)</f>
        <v>0.1</v>
      </c>
      <c r="S1492" s="1">
        <f>(Tabela2[[#This Row],[TUE_tempo_uso_aparelhos_em_horas]]/Tabela2[[#This Row],[FAF_Var]])</f>
        <v>0</v>
      </c>
      <c r="T1492">
        <f>(Tabela2[[#This Row],[CAEC_lanche_entre_refeicoes]]*Tabela2[[#This Row],[FAVC_consumo_frequente_de_alimentos_mt_caloricos]])</f>
        <v>1</v>
      </c>
      <c r="U1492" s="1">
        <f>IF(OR(Tabela2[[#This Row],[MTRANS]]="Walking",Tabela2[[#This Row],[MTRANS]]="Bike"),Tabela2[[#This Row],[FAF_atividade_fisica_frequente_em_horas]]+1,M1492)</f>
        <v>0</v>
      </c>
      <c r="V1492">
        <f>(Tabela2[[#This Row],[SMOKE]]+Tabela2[[#This Row],[CALC_bebe_alcool_frequentemente]])</f>
        <v>1</v>
      </c>
      <c r="W1492" s="8">
        <f>(Tabela2[[#This Row],[Weight]]/(Tabela2[[#This Row],[Height]] ^2))</f>
        <v>30.369526199958511</v>
      </c>
    </row>
    <row r="1493" spans="1:23" x14ac:dyDescent="0.25">
      <c r="A1493" t="s">
        <v>15</v>
      </c>
      <c r="B1493" s="7">
        <v>18</v>
      </c>
      <c r="C1493" s="4">
        <v>1.787733</v>
      </c>
      <c r="D1493" s="7">
        <v>108.019211</v>
      </c>
      <c r="E1493">
        <v>1</v>
      </c>
      <c r="F1493">
        <v>1</v>
      </c>
      <c r="G1493" s="2">
        <v>2</v>
      </c>
      <c r="H1493" s="2">
        <v>2.3798499999999998</v>
      </c>
      <c r="I1493">
        <v>1</v>
      </c>
      <c r="J1493">
        <v>0</v>
      </c>
      <c r="K1493" s="2">
        <v>2.6161379999999999</v>
      </c>
      <c r="L1493">
        <v>0</v>
      </c>
      <c r="M1493" s="7">
        <v>1</v>
      </c>
      <c r="N1493" s="7">
        <v>0.65248499999999998</v>
      </c>
      <c r="O1493">
        <v>0</v>
      </c>
      <c r="P1493" t="s">
        <v>14</v>
      </c>
      <c r="Q1493">
        <v>4</v>
      </c>
      <c r="R1493" s="8">
        <f>(Tabela2[[#This Row],[FAF_atividade_fisica_frequente_em_horas]]+ 0.1)</f>
        <v>1.1000000000000001</v>
      </c>
      <c r="S1493" s="1">
        <f>(Tabela2[[#This Row],[TUE_tempo_uso_aparelhos_em_horas]]/Tabela2[[#This Row],[FAF_Var]])</f>
        <v>0.59316818181818176</v>
      </c>
      <c r="T1493">
        <f>(Tabela2[[#This Row],[CAEC_lanche_entre_refeicoes]]*Tabela2[[#This Row],[FAVC_consumo_frequente_de_alimentos_mt_caloricos]])</f>
        <v>1</v>
      </c>
      <c r="U1493" s="1">
        <f>IF(OR(Tabela2[[#This Row],[MTRANS]]="Walking",Tabela2[[#This Row],[MTRANS]]="Bike"),Tabela2[[#This Row],[FAF_atividade_fisica_frequente_em_horas]]+1,M1493)</f>
        <v>1</v>
      </c>
      <c r="V1493">
        <f>(Tabela2[[#This Row],[SMOKE]]+Tabela2[[#This Row],[CALC_bebe_alcool_frequentemente]])</f>
        <v>0</v>
      </c>
      <c r="W1493" s="8">
        <f>(Tabela2[[#This Row],[Weight]]/(Tabela2[[#This Row],[Height]] ^2))</f>
        <v>33.798364625312708</v>
      </c>
    </row>
    <row r="1494" spans="1:23" x14ac:dyDescent="0.25">
      <c r="A1494" t="s">
        <v>15</v>
      </c>
      <c r="B1494" s="7">
        <v>18</v>
      </c>
      <c r="C1494" s="4">
        <v>1.7827219999999999</v>
      </c>
      <c r="D1494" s="7">
        <v>108.044313</v>
      </c>
      <c r="E1494">
        <v>1</v>
      </c>
      <c r="F1494">
        <v>1</v>
      </c>
      <c r="G1494" s="2">
        <v>2</v>
      </c>
      <c r="H1494" s="2">
        <v>2.655265</v>
      </c>
      <c r="I1494">
        <v>1</v>
      </c>
      <c r="J1494">
        <v>0</v>
      </c>
      <c r="K1494" s="2">
        <v>2.2978960000000002</v>
      </c>
      <c r="L1494">
        <v>0</v>
      </c>
      <c r="M1494" s="7">
        <v>1</v>
      </c>
      <c r="N1494" s="7">
        <v>0.55266499999999996</v>
      </c>
      <c r="O1494">
        <v>0</v>
      </c>
      <c r="P1494" t="s">
        <v>14</v>
      </c>
      <c r="Q1494">
        <v>4</v>
      </c>
      <c r="R1494" s="8">
        <f>(Tabela2[[#This Row],[FAF_atividade_fisica_frequente_em_horas]]+ 0.1)</f>
        <v>1.1000000000000001</v>
      </c>
      <c r="S1494" s="1">
        <f>(Tabela2[[#This Row],[TUE_tempo_uso_aparelhos_em_horas]]/Tabela2[[#This Row],[FAF_Var]])</f>
        <v>0.50242272727272719</v>
      </c>
      <c r="T1494">
        <f>(Tabela2[[#This Row],[CAEC_lanche_entre_refeicoes]]*Tabela2[[#This Row],[FAVC_consumo_frequente_de_alimentos_mt_caloricos]])</f>
        <v>1</v>
      </c>
      <c r="U1494" s="1">
        <f>IF(OR(Tabela2[[#This Row],[MTRANS]]="Walking",Tabela2[[#This Row],[MTRANS]]="Bike"),Tabela2[[#This Row],[FAF_atividade_fisica_frequente_em_horas]]+1,M1494)</f>
        <v>1</v>
      </c>
      <c r="V1494">
        <f>(Tabela2[[#This Row],[SMOKE]]+Tabela2[[#This Row],[CALC_bebe_alcool_frequentemente]])</f>
        <v>0</v>
      </c>
      <c r="W1494" s="8">
        <f>(Tabela2[[#This Row],[Weight]]/(Tabela2[[#This Row],[Height]] ^2))</f>
        <v>33.996535727786302</v>
      </c>
    </row>
    <row r="1495" spans="1:23" x14ac:dyDescent="0.25">
      <c r="A1495" t="s">
        <v>15</v>
      </c>
      <c r="B1495" s="7">
        <v>18</v>
      </c>
      <c r="C1495" s="4">
        <v>1.797523</v>
      </c>
      <c r="D1495" s="7">
        <v>108.316462</v>
      </c>
      <c r="E1495">
        <v>1</v>
      </c>
      <c r="F1495">
        <v>1</v>
      </c>
      <c r="G1495" s="2">
        <v>2</v>
      </c>
      <c r="H1495" s="2">
        <v>1.9413069999999999</v>
      </c>
      <c r="I1495">
        <v>1</v>
      </c>
      <c r="J1495">
        <v>0</v>
      </c>
      <c r="K1495" s="2">
        <v>2.7081680000000001</v>
      </c>
      <c r="L1495">
        <v>0</v>
      </c>
      <c r="M1495" s="7">
        <v>1</v>
      </c>
      <c r="N1495" s="7">
        <v>1.4258519999999999</v>
      </c>
      <c r="O1495">
        <v>0</v>
      </c>
      <c r="P1495" t="s">
        <v>14</v>
      </c>
      <c r="Q1495">
        <v>4</v>
      </c>
      <c r="R1495" s="8">
        <f>(Tabela2[[#This Row],[FAF_atividade_fisica_frequente_em_horas]]+ 0.1)</f>
        <v>1.1000000000000001</v>
      </c>
      <c r="S1495" s="1">
        <f>(Tabela2[[#This Row],[TUE_tempo_uso_aparelhos_em_horas]]/Tabela2[[#This Row],[FAF_Var]])</f>
        <v>1.2962290909090908</v>
      </c>
      <c r="T1495">
        <f>(Tabela2[[#This Row],[CAEC_lanche_entre_refeicoes]]*Tabela2[[#This Row],[FAVC_consumo_frequente_de_alimentos_mt_caloricos]])</f>
        <v>1</v>
      </c>
      <c r="U1495" s="1">
        <f>IF(OR(Tabela2[[#This Row],[MTRANS]]="Walking",Tabela2[[#This Row],[MTRANS]]="Bike"),Tabela2[[#This Row],[FAF_atividade_fisica_frequente_em_horas]]+1,M1495)</f>
        <v>1</v>
      </c>
      <c r="V1495">
        <f>(Tabela2[[#This Row],[SMOKE]]+Tabela2[[#This Row],[CALC_bebe_alcool_frequentemente]])</f>
        <v>0</v>
      </c>
      <c r="W1495" s="8">
        <f>(Tabela2[[#This Row],[Weight]]/(Tabela2[[#This Row],[Height]] ^2))</f>
        <v>33.523206622062922</v>
      </c>
    </row>
    <row r="1496" spans="1:23" x14ac:dyDescent="0.25">
      <c r="A1496" t="s">
        <v>15</v>
      </c>
      <c r="B1496" s="7">
        <v>18</v>
      </c>
      <c r="C1496" s="4">
        <v>1.8035270000000001</v>
      </c>
      <c r="D1496" s="7">
        <v>108.25104399999999</v>
      </c>
      <c r="E1496">
        <v>1</v>
      </c>
      <c r="F1496">
        <v>1</v>
      </c>
      <c r="G1496" s="2">
        <v>2</v>
      </c>
      <c r="H1496" s="2">
        <v>1.709546</v>
      </c>
      <c r="I1496">
        <v>1</v>
      </c>
      <c r="J1496">
        <v>0</v>
      </c>
      <c r="K1496" s="2">
        <v>2.530157</v>
      </c>
      <c r="L1496">
        <v>0</v>
      </c>
      <c r="M1496" s="7">
        <v>1</v>
      </c>
      <c r="N1496" s="7">
        <v>0.64539999999999997</v>
      </c>
      <c r="O1496">
        <v>0</v>
      </c>
      <c r="P1496" t="s">
        <v>14</v>
      </c>
      <c r="Q1496">
        <v>4</v>
      </c>
      <c r="R1496" s="8">
        <f>(Tabela2[[#This Row],[FAF_atividade_fisica_frequente_em_horas]]+ 0.1)</f>
        <v>1.1000000000000001</v>
      </c>
      <c r="S1496" s="1">
        <f>(Tabela2[[#This Row],[TUE_tempo_uso_aparelhos_em_horas]]/Tabela2[[#This Row],[FAF_Var]])</f>
        <v>0.58672727272727265</v>
      </c>
      <c r="T1496">
        <f>(Tabela2[[#This Row],[CAEC_lanche_entre_refeicoes]]*Tabela2[[#This Row],[FAVC_consumo_frequente_de_alimentos_mt_caloricos]])</f>
        <v>1</v>
      </c>
      <c r="U1496" s="1">
        <f>IF(OR(Tabela2[[#This Row],[MTRANS]]="Walking",Tabela2[[#This Row],[MTRANS]]="Bike"),Tabela2[[#This Row],[FAF_atividade_fisica_frequente_em_horas]]+1,M1496)</f>
        <v>1</v>
      </c>
      <c r="V1496">
        <f>(Tabela2[[#This Row],[SMOKE]]+Tabela2[[#This Row],[CALC_bebe_alcool_frequentemente]])</f>
        <v>0</v>
      </c>
      <c r="W1496" s="8">
        <f>(Tabela2[[#This Row],[Weight]]/(Tabela2[[#This Row],[Height]] ^2))</f>
        <v>33.280266605358271</v>
      </c>
    </row>
    <row r="1497" spans="1:23" x14ac:dyDescent="0.25">
      <c r="A1497" t="s">
        <v>15</v>
      </c>
      <c r="B1497" s="7">
        <v>29.409825000000001</v>
      </c>
      <c r="C1497" s="4">
        <v>1.8012239999999999</v>
      </c>
      <c r="D1497" s="7">
        <v>108.15619</v>
      </c>
      <c r="E1497">
        <v>1</v>
      </c>
      <c r="F1497">
        <v>1</v>
      </c>
      <c r="G1497" s="2">
        <v>2.3855019999999998</v>
      </c>
      <c r="H1497" s="2">
        <v>2.8839839999999999</v>
      </c>
      <c r="I1497">
        <v>1</v>
      </c>
      <c r="J1497">
        <v>0</v>
      </c>
      <c r="K1497" s="2">
        <v>2.1405439999999998</v>
      </c>
      <c r="L1497">
        <v>0</v>
      </c>
      <c r="M1497" s="7">
        <v>1.144876</v>
      </c>
      <c r="N1497" s="7">
        <v>1.767468</v>
      </c>
      <c r="O1497">
        <v>1</v>
      </c>
      <c r="P1497" t="s">
        <v>17</v>
      </c>
      <c r="Q1497">
        <v>4</v>
      </c>
      <c r="R1497" s="8">
        <f>(Tabela2[[#This Row],[FAF_atividade_fisica_frequente_em_horas]]+ 0.1)</f>
        <v>1.2448760000000001</v>
      </c>
      <c r="S1497" s="1">
        <f>(Tabela2[[#This Row],[TUE_tempo_uso_aparelhos_em_horas]]/Tabela2[[#This Row],[FAF_Var]])</f>
        <v>1.419794421291759</v>
      </c>
      <c r="T1497">
        <f>(Tabela2[[#This Row],[CAEC_lanche_entre_refeicoes]]*Tabela2[[#This Row],[FAVC_consumo_frequente_de_alimentos_mt_caloricos]])</f>
        <v>1</v>
      </c>
      <c r="U1497" s="1">
        <f>IF(OR(Tabela2[[#This Row],[MTRANS]]="Walking",Tabela2[[#This Row],[MTRANS]]="Bike"),Tabela2[[#This Row],[FAF_atividade_fisica_frequente_em_horas]]+1,M1497)</f>
        <v>1.144876</v>
      </c>
      <c r="V1497">
        <f>(Tabela2[[#This Row],[SMOKE]]+Tabela2[[#This Row],[CALC_bebe_alcool_frequentemente]])</f>
        <v>1</v>
      </c>
      <c r="W1497" s="8">
        <f>(Tabela2[[#This Row],[Weight]]/(Tabela2[[#This Row],[Height]] ^2))</f>
        <v>33.336187493812112</v>
      </c>
    </row>
    <row r="1498" spans="1:23" x14ac:dyDescent="0.25">
      <c r="A1498" t="s">
        <v>15</v>
      </c>
      <c r="B1498" s="7">
        <v>28.421533</v>
      </c>
      <c r="C1498" s="4">
        <v>1.8292390000000001</v>
      </c>
      <c r="D1498" s="7">
        <v>107.10818999999999</v>
      </c>
      <c r="E1498">
        <v>1</v>
      </c>
      <c r="F1498">
        <v>1</v>
      </c>
      <c r="G1498" s="2">
        <v>2.4655749999999999</v>
      </c>
      <c r="H1498" s="2">
        <v>2.935381</v>
      </c>
      <c r="I1498">
        <v>1</v>
      </c>
      <c r="J1498">
        <v>0</v>
      </c>
      <c r="K1498" s="2">
        <v>2.4805549999999998</v>
      </c>
      <c r="L1498">
        <v>0</v>
      </c>
      <c r="M1498" s="7">
        <v>1.00183</v>
      </c>
      <c r="N1498" s="7">
        <v>1.6703129999999999</v>
      </c>
      <c r="O1498">
        <v>1</v>
      </c>
      <c r="P1498" t="s">
        <v>17</v>
      </c>
      <c r="Q1498">
        <v>4</v>
      </c>
      <c r="R1498" s="8">
        <f>(Tabela2[[#This Row],[FAF_atividade_fisica_frequente_em_horas]]+ 0.1)</f>
        <v>1.1018300000000001</v>
      </c>
      <c r="S1498" s="1">
        <f>(Tabela2[[#This Row],[TUE_tempo_uso_aparelhos_em_horas]]/Tabela2[[#This Row],[FAF_Var]])</f>
        <v>1.515944383434831</v>
      </c>
      <c r="T1498">
        <f>(Tabela2[[#This Row],[CAEC_lanche_entre_refeicoes]]*Tabela2[[#This Row],[FAVC_consumo_frequente_de_alimentos_mt_caloricos]])</f>
        <v>1</v>
      </c>
      <c r="U1498" s="1">
        <f>IF(OR(Tabela2[[#This Row],[MTRANS]]="Walking",Tabela2[[#This Row],[MTRANS]]="Bike"),Tabela2[[#This Row],[FAF_atividade_fisica_frequente_em_horas]]+1,M1498)</f>
        <v>1.00183</v>
      </c>
      <c r="V1498">
        <f>(Tabela2[[#This Row],[SMOKE]]+Tabela2[[#This Row],[CALC_bebe_alcool_frequentemente]])</f>
        <v>1</v>
      </c>
      <c r="W1498" s="8">
        <f>(Tabela2[[#This Row],[Weight]]/(Tabela2[[#This Row],[Height]] ^2))</f>
        <v>32.009712692190334</v>
      </c>
    </row>
    <row r="1499" spans="1:23" x14ac:dyDescent="0.25">
      <c r="A1499" t="s">
        <v>13</v>
      </c>
      <c r="B1499" s="7">
        <v>18</v>
      </c>
      <c r="C1499" s="4">
        <v>1.6929129999999999</v>
      </c>
      <c r="D1499" s="7">
        <v>89.938890000000001</v>
      </c>
      <c r="E1499">
        <v>1</v>
      </c>
      <c r="F1499">
        <v>1</v>
      </c>
      <c r="G1499" s="2">
        <v>2.8185020000000001</v>
      </c>
      <c r="H1499" s="2">
        <v>3</v>
      </c>
      <c r="I1499">
        <v>1</v>
      </c>
      <c r="J1499">
        <v>0</v>
      </c>
      <c r="K1499" s="2">
        <v>1.9912510000000001</v>
      </c>
      <c r="L1499">
        <v>0</v>
      </c>
      <c r="M1499" s="7">
        <v>1.4929669999999999</v>
      </c>
      <c r="N1499" s="7">
        <v>0</v>
      </c>
      <c r="O1499">
        <v>0</v>
      </c>
      <c r="P1499" t="s">
        <v>14</v>
      </c>
      <c r="Q1499">
        <v>4</v>
      </c>
      <c r="R1499" s="8">
        <f>(Tabela2[[#This Row],[FAF_atividade_fisica_frequente_em_horas]]+ 0.1)</f>
        <v>1.592967</v>
      </c>
      <c r="S1499" s="1">
        <f>(Tabela2[[#This Row],[TUE_tempo_uso_aparelhos_em_horas]]/Tabela2[[#This Row],[FAF_Var]])</f>
        <v>0</v>
      </c>
      <c r="T1499">
        <f>(Tabela2[[#This Row],[CAEC_lanche_entre_refeicoes]]*Tabela2[[#This Row],[FAVC_consumo_frequente_de_alimentos_mt_caloricos]])</f>
        <v>1</v>
      </c>
      <c r="U1499" s="1">
        <f>IF(OR(Tabela2[[#This Row],[MTRANS]]="Walking",Tabela2[[#This Row],[MTRANS]]="Bike"),Tabela2[[#This Row],[FAF_atividade_fisica_frequente_em_horas]]+1,M1499)</f>
        <v>1.4929669999999999</v>
      </c>
      <c r="V1499">
        <f>(Tabela2[[#This Row],[SMOKE]]+Tabela2[[#This Row],[CALC_bebe_alcool_frequentemente]])</f>
        <v>0</v>
      </c>
      <c r="W1499" s="8">
        <f>(Tabela2[[#This Row],[Weight]]/(Tabela2[[#This Row],[Height]] ^2))</f>
        <v>31.381828405084899</v>
      </c>
    </row>
    <row r="1500" spans="1:23" x14ac:dyDescent="0.25">
      <c r="A1500" t="s">
        <v>13</v>
      </c>
      <c r="B1500" s="7">
        <v>18</v>
      </c>
      <c r="C1500" s="4">
        <v>1.668555</v>
      </c>
      <c r="D1500" s="7">
        <v>85.607466000000002</v>
      </c>
      <c r="E1500">
        <v>1</v>
      </c>
      <c r="F1500">
        <v>1</v>
      </c>
      <c r="G1500" s="2">
        <v>2.0812379999999999</v>
      </c>
      <c r="H1500" s="2">
        <v>3</v>
      </c>
      <c r="I1500">
        <v>1</v>
      </c>
      <c r="J1500">
        <v>0</v>
      </c>
      <c r="K1500" s="2">
        <v>1.18363</v>
      </c>
      <c r="L1500">
        <v>0</v>
      </c>
      <c r="M1500" s="7">
        <v>1.17177</v>
      </c>
      <c r="N1500" s="7">
        <v>0</v>
      </c>
      <c r="O1500">
        <v>0</v>
      </c>
      <c r="P1500" t="s">
        <v>14</v>
      </c>
      <c r="Q1500">
        <v>4</v>
      </c>
      <c r="R1500" s="8">
        <f>(Tabela2[[#This Row],[FAF_atividade_fisica_frequente_em_horas]]+ 0.1)</f>
        <v>1.2717700000000001</v>
      </c>
      <c r="S1500" s="1">
        <f>(Tabela2[[#This Row],[TUE_tempo_uso_aparelhos_em_horas]]/Tabela2[[#This Row],[FAF_Var]])</f>
        <v>0</v>
      </c>
      <c r="T1500">
        <f>(Tabela2[[#This Row],[CAEC_lanche_entre_refeicoes]]*Tabela2[[#This Row],[FAVC_consumo_frequente_de_alimentos_mt_caloricos]])</f>
        <v>1</v>
      </c>
      <c r="U1500" s="1">
        <f>IF(OR(Tabela2[[#This Row],[MTRANS]]="Walking",Tabela2[[#This Row],[MTRANS]]="Bike"),Tabela2[[#This Row],[FAF_atividade_fisica_frequente_em_horas]]+1,M1500)</f>
        <v>1.17177</v>
      </c>
      <c r="V1500">
        <f>(Tabela2[[#This Row],[SMOKE]]+Tabela2[[#This Row],[CALC_bebe_alcool_frequentemente]])</f>
        <v>0</v>
      </c>
      <c r="W1500" s="8">
        <f>(Tabela2[[#This Row],[Weight]]/(Tabela2[[#This Row],[Height]] ^2))</f>
        <v>30.748971119327617</v>
      </c>
    </row>
    <row r="1501" spans="1:23" x14ac:dyDescent="0.25">
      <c r="A1501" t="s">
        <v>15</v>
      </c>
      <c r="B1501" s="7">
        <v>23.246701999999999</v>
      </c>
      <c r="C1501" s="4">
        <v>1.652971</v>
      </c>
      <c r="D1501" s="7">
        <v>93.310283999999996</v>
      </c>
      <c r="E1501">
        <v>1</v>
      </c>
      <c r="F1501">
        <v>1</v>
      </c>
      <c r="G1501" s="2">
        <v>1.368978</v>
      </c>
      <c r="H1501" s="2">
        <v>3</v>
      </c>
      <c r="I1501">
        <v>1</v>
      </c>
      <c r="J1501">
        <v>0</v>
      </c>
      <c r="K1501" s="2">
        <v>1.953152</v>
      </c>
      <c r="L1501">
        <v>0</v>
      </c>
      <c r="M1501" s="7">
        <v>0.10470699999999999</v>
      </c>
      <c r="N1501" s="7">
        <v>0.22183</v>
      </c>
      <c r="O1501">
        <v>0</v>
      </c>
      <c r="P1501" t="s">
        <v>17</v>
      </c>
      <c r="Q1501">
        <v>4</v>
      </c>
      <c r="R1501" s="8">
        <f>(Tabela2[[#This Row],[FAF_atividade_fisica_frequente_em_horas]]+ 0.1)</f>
        <v>0.204707</v>
      </c>
      <c r="S1501" s="1">
        <f>(Tabela2[[#This Row],[TUE_tempo_uso_aparelhos_em_horas]]/Tabela2[[#This Row],[FAF_Var]])</f>
        <v>1.083646382390441</v>
      </c>
      <c r="T1501">
        <f>(Tabela2[[#This Row],[CAEC_lanche_entre_refeicoes]]*Tabela2[[#This Row],[FAVC_consumo_frequente_de_alimentos_mt_caloricos]])</f>
        <v>1</v>
      </c>
      <c r="U1501" s="1">
        <f>IF(OR(Tabela2[[#This Row],[MTRANS]]="Walking",Tabela2[[#This Row],[MTRANS]]="Bike"),Tabela2[[#This Row],[FAF_atividade_fisica_frequente_em_horas]]+1,M1501)</f>
        <v>0.10470699999999999</v>
      </c>
      <c r="V1501">
        <f>(Tabela2[[#This Row],[SMOKE]]+Tabela2[[#This Row],[CALC_bebe_alcool_frequentemente]])</f>
        <v>0</v>
      </c>
      <c r="W1501" s="8">
        <f>(Tabela2[[#This Row],[Weight]]/(Tabela2[[#This Row],[Height]] ^2))</f>
        <v>34.150655385490872</v>
      </c>
    </row>
    <row r="1502" spans="1:23" x14ac:dyDescent="0.25">
      <c r="A1502" t="s">
        <v>15</v>
      </c>
      <c r="B1502" s="7">
        <v>24.481031999999999</v>
      </c>
      <c r="C1502" s="4">
        <v>1.6612769999999999</v>
      </c>
      <c r="D1502" s="7">
        <v>90.744964999999993</v>
      </c>
      <c r="E1502">
        <v>1</v>
      </c>
      <c r="F1502">
        <v>1</v>
      </c>
      <c r="G1502" s="2">
        <v>1.7128479999999999</v>
      </c>
      <c r="H1502" s="2">
        <v>3</v>
      </c>
      <c r="I1502">
        <v>1</v>
      </c>
      <c r="J1502">
        <v>0</v>
      </c>
      <c r="K1502" s="2">
        <v>1.162153</v>
      </c>
      <c r="L1502">
        <v>0</v>
      </c>
      <c r="M1502" s="7">
        <v>0.45898099999999997</v>
      </c>
      <c r="N1502" s="7">
        <v>0.88553199999999999</v>
      </c>
      <c r="O1502">
        <v>0</v>
      </c>
      <c r="P1502" t="s">
        <v>17</v>
      </c>
      <c r="Q1502">
        <v>4</v>
      </c>
      <c r="R1502" s="8">
        <f>(Tabela2[[#This Row],[FAF_atividade_fisica_frequente_em_horas]]+ 0.1)</f>
        <v>0.55898099999999995</v>
      </c>
      <c r="S1502" s="1">
        <f>(Tabela2[[#This Row],[TUE_tempo_uso_aparelhos_em_horas]]/Tabela2[[#This Row],[FAF_Var]])</f>
        <v>1.5841898025156491</v>
      </c>
      <c r="T1502">
        <f>(Tabela2[[#This Row],[CAEC_lanche_entre_refeicoes]]*Tabela2[[#This Row],[FAVC_consumo_frequente_de_alimentos_mt_caloricos]])</f>
        <v>1</v>
      </c>
      <c r="U1502" s="1">
        <f>IF(OR(Tabela2[[#This Row],[MTRANS]]="Walking",Tabela2[[#This Row],[MTRANS]]="Bike"),Tabela2[[#This Row],[FAF_atividade_fisica_frequente_em_horas]]+1,M1502)</f>
        <v>0.45898099999999997</v>
      </c>
      <c r="V1502">
        <f>(Tabela2[[#This Row],[SMOKE]]+Tabela2[[#This Row],[CALC_bebe_alcool_frequentemente]])</f>
        <v>0</v>
      </c>
      <c r="W1502" s="8">
        <f>(Tabela2[[#This Row],[Weight]]/(Tabela2[[#This Row],[Height]] ^2))</f>
        <v>32.880501484793768</v>
      </c>
    </row>
    <row r="1503" spans="1:23" x14ac:dyDescent="0.25">
      <c r="A1503" t="s">
        <v>15</v>
      </c>
      <c r="B1503" s="7">
        <v>29</v>
      </c>
      <c r="C1503" s="4">
        <v>1.6417839999999999</v>
      </c>
      <c r="D1503" s="7">
        <v>89.424947000000003</v>
      </c>
      <c r="E1503">
        <v>1</v>
      </c>
      <c r="F1503">
        <v>1</v>
      </c>
      <c r="G1503" s="2">
        <v>1.3307</v>
      </c>
      <c r="H1503" s="2">
        <v>3</v>
      </c>
      <c r="I1503">
        <v>1</v>
      </c>
      <c r="J1503">
        <v>0</v>
      </c>
      <c r="K1503" s="2">
        <v>1.8809670000000001</v>
      </c>
      <c r="L1503">
        <v>0</v>
      </c>
      <c r="M1503" s="7">
        <v>0.32201299999999999</v>
      </c>
      <c r="N1503" s="7">
        <v>0</v>
      </c>
      <c r="O1503">
        <v>1</v>
      </c>
      <c r="P1503" t="s">
        <v>17</v>
      </c>
      <c r="Q1503">
        <v>4</v>
      </c>
      <c r="R1503" s="8">
        <f>(Tabela2[[#This Row],[FAF_atividade_fisica_frequente_em_horas]]+ 0.1)</f>
        <v>0.42201299999999997</v>
      </c>
      <c r="S1503" s="1">
        <f>(Tabela2[[#This Row],[TUE_tempo_uso_aparelhos_em_horas]]/Tabela2[[#This Row],[FAF_Var]])</f>
        <v>0</v>
      </c>
      <c r="T1503">
        <f>(Tabela2[[#This Row],[CAEC_lanche_entre_refeicoes]]*Tabela2[[#This Row],[FAVC_consumo_frequente_de_alimentos_mt_caloricos]])</f>
        <v>1</v>
      </c>
      <c r="U1503" s="1">
        <f>IF(OR(Tabela2[[#This Row],[MTRANS]]="Walking",Tabela2[[#This Row],[MTRANS]]="Bike"),Tabela2[[#This Row],[FAF_atividade_fisica_frequente_em_horas]]+1,M1503)</f>
        <v>0.32201299999999999</v>
      </c>
      <c r="V1503">
        <f>(Tabela2[[#This Row],[SMOKE]]+Tabela2[[#This Row],[CALC_bebe_alcool_frequentemente]])</f>
        <v>1</v>
      </c>
      <c r="W1503" s="8">
        <f>(Tabela2[[#This Row],[Weight]]/(Tabela2[[#This Row],[Height]] ^2))</f>
        <v>33.176200999365349</v>
      </c>
    </row>
    <row r="1504" spans="1:23" x14ac:dyDescent="0.25">
      <c r="A1504" t="s">
        <v>15</v>
      </c>
      <c r="B1504" s="7">
        <v>27.968765000000001</v>
      </c>
      <c r="C1504" s="4">
        <v>1.673767</v>
      </c>
      <c r="D1504" s="7">
        <v>89.995034000000004</v>
      </c>
      <c r="E1504">
        <v>1</v>
      </c>
      <c r="F1504">
        <v>1</v>
      </c>
      <c r="G1504" s="2">
        <v>1.961069</v>
      </c>
      <c r="H1504" s="2">
        <v>3</v>
      </c>
      <c r="I1504">
        <v>1</v>
      </c>
      <c r="J1504">
        <v>0</v>
      </c>
      <c r="K1504" s="2">
        <v>2.6523270000000001</v>
      </c>
      <c r="L1504">
        <v>0</v>
      </c>
      <c r="M1504" s="7">
        <v>0.56930999999999998</v>
      </c>
      <c r="N1504" s="7">
        <v>0.31900800000000001</v>
      </c>
      <c r="O1504">
        <v>1</v>
      </c>
      <c r="P1504" t="s">
        <v>17</v>
      </c>
      <c r="Q1504">
        <v>4</v>
      </c>
      <c r="R1504" s="8">
        <f>(Tabela2[[#This Row],[FAF_atividade_fisica_frequente_em_horas]]+ 0.1)</f>
        <v>0.66930999999999996</v>
      </c>
      <c r="S1504" s="1">
        <f>(Tabela2[[#This Row],[TUE_tempo_uso_aparelhos_em_horas]]/Tabela2[[#This Row],[FAF_Var]])</f>
        <v>0.47662219300473629</v>
      </c>
      <c r="T1504">
        <f>(Tabela2[[#This Row],[CAEC_lanche_entre_refeicoes]]*Tabela2[[#This Row],[FAVC_consumo_frequente_de_alimentos_mt_caloricos]])</f>
        <v>1</v>
      </c>
      <c r="U1504" s="1">
        <f>IF(OR(Tabela2[[#This Row],[MTRANS]]="Walking",Tabela2[[#This Row],[MTRANS]]="Bike"),Tabela2[[#This Row],[FAF_atividade_fisica_frequente_em_horas]]+1,M1504)</f>
        <v>0.56930999999999998</v>
      </c>
      <c r="V1504">
        <f>(Tabela2[[#This Row],[SMOKE]]+Tabela2[[#This Row],[CALC_bebe_alcool_frequentemente]])</f>
        <v>1</v>
      </c>
      <c r="W1504" s="8">
        <f>(Tabela2[[#This Row],[Weight]]/(Tabela2[[#This Row],[Height]] ^2))</f>
        <v>32.123920560455488</v>
      </c>
    </row>
    <row r="1505" spans="1:23" x14ac:dyDescent="0.25">
      <c r="A1505" t="s">
        <v>13</v>
      </c>
      <c r="B1505" s="7">
        <v>18.024743999999998</v>
      </c>
      <c r="C1505" s="4">
        <v>1.617192</v>
      </c>
      <c r="D1505" s="7">
        <v>83.121810999999994</v>
      </c>
      <c r="E1505">
        <v>1</v>
      </c>
      <c r="F1505">
        <v>1</v>
      </c>
      <c r="G1505" s="2">
        <v>2.9765090000000001</v>
      </c>
      <c r="H1505" s="2">
        <v>3</v>
      </c>
      <c r="I1505">
        <v>1</v>
      </c>
      <c r="J1505">
        <v>0</v>
      </c>
      <c r="K1505" s="2">
        <v>1.022705</v>
      </c>
      <c r="L1505">
        <v>0</v>
      </c>
      <c r="M1505" s="7">
        <v>1.02569</v>
      </c>
      <c r="N1505" s="7">
        <v>0.31301600000000002</v>
      </c>
      <c r="O1505">
        <v>0</v>
      </c>
      <c r="P1505" t="s">
        <v>14</v>
      </c>
      <c r="Q1505">
        <v>4</v>
      </c>
      <c r="R1505" s="8">
        <f>(Tabela2[[#This Row],[FAF_atividade_fisica_frequente_em_horas]]+ 0.1)</f>
        <v>1.1256900000000001</v>
      </c>
      <c r="S1505" s="1">
        <f>(Tabela2[[#This Row],[TUE_tempo_uso_aparelhos_em_horas]]/Tabela2[[#This Row],[FAF_Var]])</f>
        <v>0.27806589736072984</v>
      </c>
      <c r="T1505">
        <f>(Tabela2[[#This Row],[CAEC_lanche_entre_refeicoes]]*Tabela2[[#This Row],[FAVC_consumo_frequente_de_alimentos_mt_caloricos]])</f>
        <v>1</v>
      </c>
      <c r="U1505" s="1">
        <f>IF(OR(Tabela2[[#This Row],[MTRANS]]="Walking",Tabela2[[#This Row],[MTRANS]]="Bike"),Tabela2[[#This Row],[FAF_atividade_fisica_frequente_em_horas]]+1,M1505)</f>
        <v>1.02569</v>
      </c>
      <c r="V1505">
        <f>(Tabela2[[#This Row],[SMOKE]]+Tabela2[[#This Row],[CALC_bebe_alcool_frequentemente]])</f>
        <v>0</v>
      </c>
      <c r="W1505" s="8">
        <f>(Tabela2[[#This Row],[Weight]]/(Tabela2[[#This Row],[Height]] ^2))</f>
        <v>31.782776082651626</v>
      </c>
    </row>
    <row r="1506" spans="1:23" x14ac:dyDescent="0.25">
      <c r="A1506" t="s">
        <v>13</v>
      </c>
      <c r="B1506" s="7">
        <v>18.106819999999999</v>
      </c>
      <c r="C1506" s="4">
        <v>1.6021289999999999</v>
      </c>
      <c r="D1506" s="7">
        <v>82.412665000000004</v>
      </c>
      <c r="E1506">
        <v>1</v>
      </c>
      <c r="F1506">
        <v>1</v>
      </c>
      <c r="G1506" s="2">
        <v>2.3196479999999999</v>
      </c>
      <c r="H1506" s="2">
        <v>3</v>
      </c>
      <c r="I1506">
        <v>1</v>
      </c>
      <c r="J1506">
        <v>0</v>
      </c>
      <c r="K1506" s="2">
        <v>1.107164</v>
      </c>
      <c r="L1506">
        <v>0</v>
      </c>
      <c r="M1506" s="7">
        <v>0.69212300000000004</v>
      </c>
      <c r="N1506" s="7">
        <v>0.30402000000000001</v>
      </c>
      <c r="O1506">
        <v>0</v>
      </c>
      <c r="P1506" t="s">
        <v>14</v>
      </c>
      <c r="Q1506">
        <v>4</v>
      </c>
      <c r="R1506" s="8">
        <f>(Tabela2[[#This Row],[FAF_atividade_fisica_frequente_em_horas]]+ 0.1)</f>
        <v>0.79212300000000002</v>
      </c>
      <c r="S1506" s="1">
        <f>(Tabela2[[#This Row],[TUE_tempo_uso_aparelhos_em_horas]]/Tabela2[[#This Row],[FAF_Var]])</f>
        <v>0.38380403043466738</v>
      </c>
      <c r="T1506">
        <f>(Tabela2[[#This Row],[CAEC_lanche_entre_refeicoes]]*Tabela2[[#This Row],[FAVC_consumo_frequente_de_alimentos_mt_caloricos]])</f>
        <v>1</v>
      </c>
      <c r="U1506" s="1">
        <f>IF(OR(Tabela2[[#This Row],[MTRANS]]="Walking",Tabela2[[#This Row],[MTRANS]]="Bike"),Tabela2[[#This Row],[FAF_atividade_fisica_frequente_em_horas]]+1,M1506)</f>
        <v>0.69212300000000004</v>
      </c>
      <c r="V1506">
        <f>(Tabela2[[#This Row],[SMOKE]]+Tabela2[[#This Row],[CALC_bebe_alcool_frequentemente]])</f>
        <v>0</v>
      </c>
      <c r="W1506" s="8">
        <f>(Tabela2[[#This Row],[Weight]]/(Tabela2[[#This Row],[Height]] ^2))</f>
        <v>32.10694580872476</v>
      </c>
    </row>
    <row r="1507" spans="1:23" x14ac:dyDescent="0.25">
      <c r="A1507" t="s">
        <v>15</v>
      </c>
      <c r="B1507" s="7">
        <v>21.379676</v>
      </c>
      <c r="C1507" s="4">
        <v>1.7014130000000001</v>
      </c>
      <c r="D1507" s="7">
        <v>96.710735</v>
      </c>
      <c r="E1507">
        <v>1</v>
      </c>
      <c r="F1507">
        <v>1</v>
      </c>
      <c r="G1507" s="2">
        <v>2</v>
      </c>
      <c r="H1507" s="2">
        <v>2.961192</v>
      </c>
      <c r="I1507">
        <v>1</v>
      </c>
      <c r="J1507">
        <v>0</v>
      </c>
      <c r="K1507" s="2">
        <v>2.6233439999999999</v>
      </c>
      <c r="L1507">
        <v>0</v>
      </c>
      <c r="M1507" s="7">
        <v>0.98168599999999995</v>
      </c>
      <c r="N1507" s="7">
        <v>1.35537</v>
      </c>
      <c r="O1507">
        <v>0</v>
      </c>
      <c r="P1507" t="s">
        <v>14</v>
      </c>
      <c r="Q1507">
        <v>4</v>
      </c>
      <c r="R1507" s="8">
        <f>(Tabela2[[#This Row],[FAF_atividade_fisica_frequente_em_horas]]+ 0.1)</f>
        <v>1.0816859999999999</v>
      </c>
      <c r="S1507" s="1">
        <f>(Tabela2[[#This Row],[TUE_tempo_uso_aparelhos_em_horas]]/Tabela2[[#This Row],[FAF_Var]])</f>
        <v>1.2530161248273528</v>
      </c>
      <c r="T1507">
        <f>(Tabela2[[#This Row],[CAEC_lanche_entre_refeicoes]]*Tabela2[[#This Row],[FAVC_consumo_frequente_de_alimentos_mt_caloricos]])</f>
        <v>1</v>
      </c>
      <c r="U1507" s="1">
        <f>IF(OR(Tabela2[[#This Row],[MTRANS]]="Walking",Tabela2[[#This Row],[MTRANS]]="Bike"),Tabela2[[#This Row],[FAF_atividade_fisica_frequente_em_horas]]+1,M1507)</f>
        <v>0.98168599999999995</v>
      </c>
      <c r="V1507">
        <f>(Tabela2[[#This Row],[SMOKE]]+Tabela2[[#This Row],[CALC_bebe_alcool_frequentemente]])</f>
        <v>0</v>
      </c>
      <c r="W1507" s="8">
        <f>(Tabela2[[#This Row],[Weight]]/(Tabela2[[#This Row],[Height]] ^2))</f>
        <v>33.408362575230107</v>
      </c>
    </row>
    <row r="1508" spans="1:23" x14ac:dyDescent="0.25">
      <c r="A1508" t="s">
        <v>15</v>
      </c>
      <c r="B1508" s="7">
        <v>21.353237</v>
      </c>
      <c r="C1508" s="4">
        <v>1.7097309999999999</v>
      </c>
      <c r="D1508" s="7">
        <v>95.032177000000004</v>
      </c>
      <c r="E1508">
        <v>1</v>
      </c>
      <c r="F1508">
        <v>1</v>
      </c>
      <c r="G1508" s="2">
        <v>2</v>
      </c>
      <c r="H1508" s="2">
        <v>2.9734759999999998</v>
      </c>
      <c r="I1508">
        <v>1</v>
      </c>
      <c r="J1508">
        <v>0</v>
      </c>
      <c r="K1508" s="2">
        <v>2</v>
      </c>
      <c r="L1508">
        <v>0</v>
      </c>
      <c r="M1508" s="7">
        <v>0</v>
      </c>
      <c r="N1508" s="7">
        <v>1.3315269999999999</v>
      </c>
      <c r="O1508">
        <v>0</v>
      </c>
      <c r="P1508" t="s">
        <v>14</v>
      </c>
      <c r="Q1508">
        <v>4</v>
      </c>
      <c r="R1508" s="8">
        <f>(Tabela2[[#This Row],[FAF_atividade_fisica_frequente_em_horas]]+ 0.1)</f>
        <v>0.1</v>
      </c>
      <c r="S1508" s="1">
        <f>(Tabela2[[#This Row],[TUE_tempo_uso_aparelhos_em_horas]]/Tabela2[[#This Row],[FAF_Var]])</f>
        <v>13.315269999999998</v>
      </c>
      <c r="T1508">
        <f>(Tabela2[[#This Row],[CAEC_lanche_entre_refeicoes]]*Tabela2[[#This Row],[FAVC_consumo_frequente_de_alimentos_mt_caloricos]])</f>
        <v>1</v>
      </c>
      <c r="U1508" s="1">
        <f>IF(OR(Tabela2[[#This Row],[MTRANS]]="Walking",Tabela2[[#This Row],[MTRANS]]="Bike"),Tabela2[[#This Row],[FAF_atividade_fisica_frequente_em_horas]]+1,M1508)</f>
        <v>0</v>
      </c>
      <c r="V1508">
        <f>(Tabela2[[#This Row],[SMOKE]]+Tabela2[[#This Row],[CALC_bebe_alcool_frequentemente]])</f>
        <v>0</v>
      </c>
      <c r="W1508" s="8">
        <f>(Tabela2[[#This Row],[Weight]]/(Tabela2[[#This Row],[Height]] ^2))</f>
        <v>32.509860493488866</v>
      </c>
    </row>
    <row r="1509" spans="1:23" x14ac:dyDescent="0.25">
      <c r="A1509" t="s">
        <v>15</v>
      </c>
      <c r="B1509" s="7">
        <v>20.338815</v>
      </c>
      <c r="C1509" s="4">
        <v>1.6988289999999999</v>
      </c>
      <c r="D1509" s="7">
        <v>98.572753000000006</v>
      </c>
      <c r="E1509">
        <v>1</v>
      </c>
      <c r="F1509">
        <v>1</v>
      </c>
      <c r="G1509" s="2">
        <v>2</v>
      </c>
      <c r="H1509" s="2">
        <v>2.392811</v>
      </c>
      <c r="I1509">
        <v>1</v>
      </c>
      <c r="J1509">
        <v>0</v>
      </c>
      <c r="K1509" s="2">
        <v>2</v>
      </c>
      <c r="L1509">
        <v>0</v>
      </c>
      <c r="M1509" s="7">
        <v>0</v>
      </c>
      <c r="N1509" s="7">
        <v>1.80931</v>
      </c>
      <c r="O1509">
        <v>0</v>
      </c>
      <c r="P1509" t="s">
        <v>14</v>
      </c>
      <c r="Q1509">
        <v>4</v>
      </c>
      <c r="R1509" s="8">
        <f>(Tabela2[[#This Row],[FAF_atividade_fisica_frequente_em_horas]]+ 0.1)</f>
        <v>0.1</v>
      </c>
      <c r="S1509" s="1">
        <f>(Tabela2[[#This Row],[TUE_tempo_uso_aparelhos_em_horas]]/Tabela2[[#This Row],[FAF_Var]])</f>
        <v>18.0931</v>
      </c>
      <c r="T1509">
        <f>(Tabela2[[#This Row],[CAEC_lanche_entre_refeicoes]]*Tabela2[[#This Row],[FAVC_consumo_frequente_de_alimentos_mt_caloricos]])</f>
        <v>1</v>
      </c>
      <c r="U1509" s="1">
        <f>IF(OR(Tabela2[[#This Row],[MTRANS]]="Walking",Tabela2[[#This Row],[MTRANS]]="Bike"),Tabela2[[#This Row],[FAF_atividade_fisica_frequente_em_horas]]+1,M1509)</f>
        <v>0</v>
      </c>
      <c r="V1509">
        <f>(Tabela2[[#This Row],[SMOKE]]+Tabela2[[#This Row],[CALC_bebe_alcool_frequentemente]])</f>
        <v>0</v>
      </c>
      <c r="W1509" s="8">
        <f>(Tabela2[[#This Row],[Weight]]/(Tabela2[[#This Row],[Height]] ^2))</f>
        <v>34.155256714184603</v>
      </c>
    </row>
    <row r="1510" spans="1:23" x14ac:dyDescent="0.25">
      <c r="A1510" t="s">
        <v>15</v>
      </c>
      <c r="B1510" s="7">
        <v>20.720638999999998</v>
      </c>
      <c r="C1510" s="4">
        <v>1.7053039999999999</v>
      </c>
      <c r="D1510" s="7">
        <v>99.873716000000002</v>
      </c>
      <c r="E1510">
        <v>1</v>
      </c>
      <c r="F1510">
        <v>1</v>
      </c>
      <c r="G1510" s="2">
        <v>2</v>
      </c>
      <c r="H1510" s="2">
        <v>1.293342</v>
      </c>
      <c r="I1510">
        <v>1</v>
      </c>
      <c r="J1510">
        <v>0</v>
      </c>
      <c r="K1510" s="2">
        <v>2</v>
      </c>
      <c r="L1510">
        <v>0</v>
      </c>
      <c r="M1510" s="7">
        <v>0</v>
      </c>
      <c r="N1510" s="7">
        <v>1.9176789999999999</v>
      </c>
      <c r="O1510">
        <v>0</v>
      </c>
      <c r="P1510" t="s">
        <v>14</v>
      </c>
      <c r="Q1510">
        <v>4</v>
      </c>
      <c r="R1510" s="8">
        <f>(Tabela2[[#This Row],[FAF_atividade_fisica_frequente_em_horas]]+ 0.1)</f>
        <v>0.1</v>
      </c>
      <c r="S1510" s="1">
        <f>(Tabela2[[#This Row],[TUE_tempo_uso_aparelhos_em_horas]]/Tabela2[[#This Row],[FAF_Var]])</f>
        <v>19.176789999999997</v>
      </c>
      <c r="T1510">
        <f>(Tabela2[[#This Row],[CAEC_lanche_entre_refeicoes]]*Tabela2[[#This Row],[FAVC_consumo_frequente_de_alimentos_mt_caloricos]])</f>
        <v>1</v>
      </c>
      <c r="U1510" s="1">
        <f>IF(OR(Tabela2[[#This Row],[MTRANS]]="Walking",Tabela2[[#This Row],[MTRANS]]="Bike"),Tabela2[[#This Row],[FAF_atividade_fisica_frequente_em_horas]]+1,M1510)</f>
        <v>0</v>
      </c>
      <c r="V1510">
        <f>(Tabela2[[#This Row],[SMOKE]]+Tabela2[[#This Row],[CALC_bebe_alcool_frequentemente]])</f>
        <v>0</v>
      </c>
      <c r="W1510" s="8">
        <f>(Tabela2[[#This Row],[Weight]]/(Tabela2[[#This Row],[Height]] ^2))</f>
        <v>34.34373998554203</v>
      </c>
    </row>
    <row r="1511" spans="1:23" x14ac:dyDescent="0.25">
      <c r="A1511" t="s">
        <v>13</v>
      </c>
      <c r="B1511" s="7">
        <v>19.045356999999999</v>
      </c>
      <c r="C1511" s="4">
        <v>1.6129100000000001</v>
      </c>
      <c r="D1511" s="7">
        <v>82.193404999999998</v>
      </c>
      <c r="E1511">
        <v>1</v>
      </c>
      <c r="F1511">
        <v>1</v>
      </c>
      <c r="G1511" s="2">
        <v>1.261288</v>
      </c>
      <c r="H1511" s="2">
        <v>2.9300440000000001</v>
      </c>
      <c r="I1511">
        <v>1</v>
      </c>
      <c r="J1511">
        <v>0</v>
      </c>
      <c r="K1511" s="2">
        <v>1.166655</v>
      </c>
      <c r="L1511">
        <v>0</v>
      </c>
      <c r="M1511" s="7">
        <v>0.13339799999999999</v>
      </c>
      <c r="N1511" s="7">
        <v>0.95174000000000003</v>
      </c>
      <c r="O1511">
        <v>0</v>
      </c>
      <c r="P1511" t="s">
        <v>14</v>
      </c>
      <c r="Q1511">
        <v>4</v>
      </c>
      <c r="R1511" s="8">
        <f>(Tabela2[[#This Row],[FAF_atividade_fisica_frequente_em_horas]]+ 0.1)</f>
        <v>0.23339799999999999</v>
      </c>
      <c r="S1511" s="1">
        <f>(Tabela2[[#This Row],[TUE_tempo_uso_aparelhos_em_horas]]/Tabela2[[#This Row],[FAF_Var]])</f>
        <v>4.0777555934498153</v>
      </c>
      <c r="T1511">
        <f>(Tabela2[[#This Row],[CAEC_lanche_entre_refeicoes]]*Tabela2[[#This Row],[FAVC_consumo_frequente_de_alimentos_mt_caloricos]])</f>
        <v>1</v>
      </c>
      <c r="U1511" s="1">
        <f>IF(OR(Tabela2[[#This Row],[MTRANS]]="Walking",Tabela2[[#This Row],[MTRANS]]="Bike"),Tabela2[[#This Row],[FAF_atividade_fisica_frequente_em_horas]]+1,M1511)</f>
        <v>0.13339799999999999</v>
      </c>
      <c r="V1511">
        <f>(Tabela2[[#This Row],[SMOKE]]+Tabela2[[#This Row],[CALC_bebe_alcool_frequentemente]])</f>
        <v>0</v>
      </c>
      <c r="W1511" s="8">
        <f>(Tabela2[[#This Row],[Weight]]/(Tabela2[[#This Row],[Height]] ^2))</f>
        <v>31.594879484454992</v>
      </c>
    </row>
    <row r="1512" spans="1:23" x14ac:dyDescent="0.25">
      <c r="A1512" t="s">
        <v>13</v>
      </c>
      <c r="B1512" s="7">
        <v>18.945961</v>
      </c>
      <c r="C1512" s="4">
        <v>1.605469</v>
      </c>
      <c r="D1512" s="7">
        <v>82.039000000000001</v>
      </c>
      <c r="E1512">
        <v>1</v>
      </c>
      <c r="F1512">
        <v>1</v>
      </c>
      <c r="G1512" s="2">
        <v>2.7653300000000001</v>
      </c>
      <c r="H1512" s="2">
        <v>3</v>
      </c>
      <c r="I1512">
        <v>1</v>
      </c>
      <c r="J1512">
        <v>0</v>
      </c>
      <c r="K1512" s="2">
        <v>1.048584</v>
      </c>
      <c r="L1512">
        <v>0</v>
      </c>
      <c r="M1512" s="7">
        <v>0.19255900000000001</v>
      </c>
      <c r="N1512" s="7">
        <v>0.72041100000000002</v>
      </c>
      <c r="O1512">
        <v>0</v>
      </c>
      <c r="P1512" t="s">
        <v>14</v>
      </c>
      <c r="Q1512">
        <v>4</v>
      </c>
      <c r="R1512" s="8">
        <f>(Tabela2[[#This Row],[FAF_atividade_fisica_frequente_em_horas]]+ 0.1)</f>
        <v>0.29255900000000001</v>
      </c>
      <c r="S1512" s="1">
        <f>(Tabela2[[#This Row],[TUE_tempo_uso_aparelhos_em_horas]]/Tabela2[[#This Row],[FAF_Var]])</f>
        <v>2.4624468910544541</v>
      </c>
      <c r="T1512">
        <f>(Tabela2[[#This Row],[CAEC_lanche_entre_refeicoes]]*Tabela2[[#This Row],[FAVC_consumo_frequente_de_alimentos_mt_caloricos]])</f>
        <v>1</v>
      </c>
      <c r="U1512" s="1">
        <f>IF(OR(Tabela2[[#This Row],[MTRANS]]="Walking",Tabela2[[#This Row],[MTRANS]]="Bike"),Tabela2[[#This Row],[FAF_atividade_fisica_frequente_em_horas]]+1,M1512)</f>
        <v>0.19255900000000001</v>
      </c>
      <c r="V1512">
        <f>(Tabela2[[#This Row],[SMOKE]]+Tabela2[[#This Row],[CALC_bebe_alcool_frequentemente]])</f>
        <v>0</v>
      </c>
      <c r="W1512" s="8">
        <f>(Tabela2[[#This Row],[Weight]]/(Tabela2[[#This Row],[Height]] ^2))</f>
        <v>31.828524751598909</v>
      </c>
    </row>
    <row r="1513" spans="1:23" x14ac:dyDescent="0.25">
      <c r="A1513" t="s">
        <v>15</v>
      </c>
      <c r="B1513" s="7">
        <v>18.880610000000001</v>
      </c>
      <c r="C1513" s="4">
        <v>1.80416</v>
      </c>
      <c r="D1513" s="7">
        <v>104.40682</v>
      </c>
      <c r="E1513">
        <v>1</v>
      </c>
      <c r="F1513">
        <v>1</v>
      </c>
      <c r="G1513" s="2">
        <v>2</v>
      </c>
      <c r="H1513" s="2">
        <v>3</v>
      </c>
      <c r="I1513">
        <v>1</v>
      </c>
      <c r="J1513">
        <v>0</v>
      </c>
      <c r="K1513" s="2">
        <v>3</v>
      </c>
      <c r="L1513">
        <v>0</v>
      </c>
      <c r="M1513" s="7">
        <v>2.2404999999999999</v>
      </c>
      <c r="N1513" s="7">
        <v>0</v>
      </c>
      <c r="O1513">
        <v>0</v>
      </c>
      <c r="P1513" t="s">
        <v>14</v>
      </c>
      <c r="Q1513">
        <v>4</v>
      </c>
      <c r="R1513" s="8">
        <f>(Tabela2[[#This Row],[FAF_atividade_fisica_frequente_em_horas]]+ 0.1)</f>
        <v>2.3405</v>
      </c>
      <c r="S1513" s="1">
        <f>(Tabela2[[#This Row],[TUE_tempo_uso_aparelhos_em_horas]]/Tabela2[[#This Row],[FAF_Var]])</f>
        <v>0</v>
      </c>
      <c r="T1513">
        <f>(Tabela2[[#This Row],[CAEC_lanche_entre_refeicoes]]*Tabela2[[#This Row],[FAVC_consumo_frequente_de_alimentos_mt_caloricos]])</f>
        <v>1</v>
      </c>
      <c r="U1513" s="1">
        <f>IF(OR(Tabela2[[#This Row],[MTRANS]]="Walking",Tabela2[[#This Row],[MTRANS]]="Bike"),Tabela2[[#This Row],[FAF_atividade_fisica_frequente_em_horas]]+1,M1513)</f>
        <v>2.2404999999999999</v>
      </c>
      <c r="V1513">
        <f>(Tabela2[[#This Row],[SMOKE]]+Tabela2[[#This Row],[CALC_bebe_alcool_frequentemente]])</f>
        <v>0</v>
      </c>
      <c r="W1513" s="8">
        <f>(Tabela2[[#This Row],[Weight]]/(Tabela2[[#This Row],[Height]] ^2))</f>
        <v>32.075893925918372</v>
      </c>
    </row>
    <row r="1514" spans="1:23" x14ac:dyDescent="0.25">
      <c r="A1514" t="s">
        <v>15</v>
      </c>
      <c r="B1514" s="7">
        <v>19.850524</v>
      </c>
      <c r="C1514" s="4">
        <v>1.7850619999999999</v>
      </c>
      <c r="D1514" s="7">
        <v>104.187314</v>
      </c>
      <c r="E1514">
        <v>1</v>
      </c>
      <c r="F1514">
        <v>1</v>
      </c>
      <c r="G1514" s="2">
        <v>2</v>
      </c>
      <c r="H1514" s="2">
        <v>3</v>
      </c>
      <c r="I1514">
        <v>1</v>
      </c>
      <c r="J1514">
        <v>0</v>
      </c>
      <c r="K1514" s="2">
        <v>2.15157</v>
      </c>
      <c r="L1514">
        <v>0</v>
      </c>
      <c r="M1514" s="7">
        <v>1.6059829999999999</v>
      </c>
      <c r="N1514" s="7">
        <v>0</v>
      </c>
      <c r="O1514">
        <v>0</v>
      </c>
      <c r="P1514" t="s">
        <v>14</v>
      </c>
      <c r="Q1514">
        <v>4</v>
      </c>
      <c r="R1514" s="8">
        <f>(Tabela2[[#This Row],[FAF_atividade_fisica_frequente_em_horas]]+ 0.1)</f>
        <v>1.705983</v>
      </c>
      <c r="S1514" s="1">
        <f>(Tabela2[[#This Row],[TUE_tempo_uso_aparelhos_em_horas]]/Tabela2[[#This Row],[FAF_Var]])</f>
        <v>0</v>
      </c>
      <c r="T1514">
        <f>(Tabela2[[#This Row],[CAEC_lanche_entre_refeicoes]]*Tabela2[[#This Row],[FAVC_consumo_frequente_de_alimentos_mt_caloricos]])</f>
        <v>1</v>
      </c>
      <c r="U1514" s="1">
        <f>IF(OR(Tabela2[[#This Row],[MTRANS]]="Walking",Tabela2[[#This Row],[MTRANS]]="Bike"),Tabela2[[#This Row],[FAF_atividade_fisica_frequente_em_horas]]+1,M1514)</f>
        <v>1.6059829999999999</v>
      </c>
      <c r="V1514">
        <f>(Tabela2[[#This Row],[SMOKE]]+Tabela2[[#This Row],[CALC_bebe_alcool_frequentemente]])</f>
        <v>0</v>
      </c>
      <c r="W1514" s="8">
        <f>(Tabela2[[#This Row],[Weight]]/(Tabela2[[#This Row],[Height]] ^2))</f>
        <v>32.697024445832234</v>
      </c>
    </row>
    <row r="1515" spans="1:23" x14ac:dyDescent="0.25">
      <c r="A1515" t="s">
        <v>15</v>
      </c>
      <c r="B1515" s="7">
        <v>30.200945999999998</v>
      </c>
      <c r="C1515" s="4">
        <v>1.7559260000000001</v>
      </c>
      <c r="D1515" s="7">
        <v>112.289883</v>
      </c>
      <c r="E1515">
        <v>1</v>
      </c>
      <c r="F1515">
        <v>1</v>
      </c>
      <c r="G1515" s="2">
        <v>2.3177340000000002</v>
      </c>
      <c r="H1515" s="2">
        <v>3</v>
      </c>
      <c r="I1515">
        <v>1</v>
      </c>
      <c r="J1515">
        <v>0</v>
      </c>
      <c r="K1515" s="2">
        <v>2.152736</v>
      </c>
      <c r="L1515">
        <v>0</v>
      </c>
      <c r="M1515" s="7">
        <v>0</v>
      </c>
      <c r="N1515" s="7">
        <v>1.1081449999999999</v>
      </c>
      <c r="O1515">
        <v>0</v>
      </c>
      <c r="P1515" t="s">
        <v>17</v>
      </c>
      <c r="Q1515">
        <v>5</v>
      </c>
      <c r="R1515" s="8">
        <f>(Tabela2[[#This Row],[FAF_atividade_fisica_frequente_em_horas]]+ 0.1)</f>
        <v>0.1</v>
      </c>
      <c r="S1515" s="1">
        <f>(Tabela2[[#This Row],[TUE_tempo_uso_aparelhos_em_horas]]/Tabela2[[#This Row],[FAF_Var]])</f>
        <v>11.081449999999998</v>
      </c>
      <c r="T1515">
        <f>(Tabela2[[#This Row],[CAEC_lanche_entre_refeicoes]]*Tabela2[[#This Row],[FAVC_consumo_frequente_de_alimentos_mt_caloricos]])</f>
        <v>1</v>
      </c>
      <c r="U1515" s="1">
        <f>IF(OR(Tabela2[[#This Row],[MTRANS]]="Walking",Tabela2[[#This Row],[MTRANS]]="Bike"),Tabela2[[#This Row],[FAF_atividade_fisica_frequente_em_horas]]+1,M1515)</f>
        <v>0</v>
      </c>
      <c r="V1515">
        <f>(Tabela2[[#This Row],[SMOKE]]+Tabela2[[#This Row],[CALC_bebe_alcool_frequentemente]])</f>
        <v>0</v>
      </c>
      <c r="W1515" s="8">
        <f>(Tabela2[[#This Row],[Weight]]/(Tabela2[[#This Row],[Height]] ^2))</f>
        <v>36.41901624169865</v>
      </c>
    </row>
    <row r="1516" spans="1:23" x14ac:dyDescent="0.25">
      <c r="A1516" t="s">
        <v>15</v>
      </c>
      <c r="B1516" s="7">
        <v>25.314589000000002</v>
      </c>
      <c r="C1516" s="4">
        <v>1.7878019999999999</v>
      </c>
      <c r="D1516" s="7">
        <v>115.127662</v>
      </c>
      <c r="E1516">
        <v>1</v>
      </c>
      <c r="F1516">
        <v>1</v>
      </c>
      <c r="G1516" s="2">
        <v>1.588114</v>
      </c>
      <c r="H1516" s="2">
        <v>3</v>
      </c>
      <c r="I1516">
        <v>1</v>
      </c>
      <c r="J1516">
        <v>0</v>
      </c>
      <c r="K1516" s="2">
        <v>2.1159669999999999</v>
      </c>
      <c r="L1516">
        <v>0</v>
      </c>
      <c r="M1516" s="7">
        <v>1.541072</v>
      </c>
      <c r="N1516" s="7">
        <v>0</v>
      </c>
      <c r="O1516">
        <v>0</v>
      </c>
      <c r="P1516" t="s">
        <v>17</v>
      </c>
      <c r="Q1516">
        <v>5</v>
      </c>
      <c r="R1516" s="8">
        <f>(Tabela2[[#This Row],[FAF_atividade_fisica_frequente_em_horas]]+ 0.1)</f>
        <v>1.6410720000000001</v>
      </c>
      <c r="S1516" s="1">
        <f>(Tabela2[[#This Row],[TUE_tempo_uso_aparelhos_em_horas]]/Tabela2[[#This Row],[FAF_Var]])</f>
        <v>0</v>
      </c>
      <c r="T1516">
        <f>(Tabela2[[#This Row],[CAEC_lanche_entre_refeicoes]]*Tabela2[[#This Row],[FAVC_consumo_frequente_de_alimentos_mt_caloricos]])</f>
        <v>1</v>
      </c>
      <c r="U1516" s="1">
        <f>IF(OR(Tabela2[[#This Row],[MTRANS]]="Walking",Tabela2[[#This Row],[MTRANS]]="Bike"),Tabela2[[#This Row],[FAF_atividade_fisica_frequente_em_horas]]+1,M1516)</f>
        <v>1.541072</v>
      </c>
      <c r="V1516">
        <f>(Tabela2[[#This Row],[SMOKE]]+Tabela2[[#This Row],[CALC_bebe_alcool_frequentemente]])</f>
        <v>0</v>
      </c>
      <c r="W1516" s="8">
        <f>(Tabela2[[#This Row],[Weight]]/(Tabela2[[#This Row],[Height]] ^2))</f>
        <v>36.01976271990862</v>
      </c>
    </row>
    <row r="1517" spans="1:23" x14ac:dyDescent="0.25">
      <c r="A1517" t="s">
        <v>15</v>
      </c>
      <c r="B1517" s="7">
        <v>37.186794999999996</v>
      </c>
      <c r="C1517" s="4">
        <v>1.704877</v>
      </c>
      <c r="D1517" s="7">
        <v>107.94747</v>
      </c>
      <c r="E1517">
        <v>1</v>
      </c>
      <c r="F1517">
        <v>1</v>
      </c>
      <c r="G1517" s="2">
        <v>2.549782</v>
      </c>
      <c r="H1517" s="2">
        <v>3.9854419999999999</v>
      </c>
      <c r="I1517">
        <v>1</v>
      </c>
      <c r="J1517">
        <v>0</v>
      </c>
      <c r="K1517" s="2">
        <v>1</v>
      </c>
      <c r="L1517">
        <v>0</v>
      </c>
      <c r="M1517" s="7">
        <v>1.9765820000000001</v>
      </c>
      <c r="N1517" s="7">
        <v>0</v>
      </c>
      <c r="O1517">
        <v>0</v>
      </c>
      <c r="P1517" t="s">
        <v>14</v>
      </c>
      <c r="Q1517">
        <v>5</v>
      </c>
      <c r="R1517" s="8">
        <f>(Tabela2[[#This Row],[FAF_atividade_fisica_frequente_em_horas]]+ 0.1)</f>
        <v>2.0765820000000001</v>
      </c>
      <c r="S1517" s="1">
        <f>(Tabela2[[#This Row],[TUE_tempo_uso_aparelhos_em_horas]]/Tabela2[[#This Row],[FAF_Var]])</f>
        <v>0</v>
      </c>
      <c r="T1517">
        <f>(Tabela2[[#This Row],[CAEC_lanche_entre_refeicoes]]*Tabela2[[#This Row],[FAVC_consumo_frequente_de_alimentos_mt_caloricos]])</f>
        <v>1</v>
      </c>
      <c r="U1517" s="1">
        <f>IF(OR(Tabela2[[#This Row],[MTRANS]]="Walking",Tabela2[[#This Row],[MTRANS]]="Bike"),Tabela2[[#This Row],[FAF_atividade_fisica_frequente_em_horas]]+1,M1517)</f>
        <v>1.9765820000000001</v>
      </c>
      <c r="V1517">
        <f>(Tabela2[[#This Row],[SMOKE]]+Tabela2[[#This Row],[CALC_bebe_alcool_frequentemente]])</f>
        <v>0</v>
      </c>
      <c r="W1517" s="8">
        <f>(Tabela2[[#This Row],[Weight]]/(Tabela2[[#This Row],[Height]] ^2))</f>
        <v>37.138671497876828</v>
      </c>
    </row>
    <row r="1518" spans="1:23" x14ac:dyDescent="0.25">
      <c r="A1518" t="s">
        <v>15</v>
      </c>
      <c r="B1518" s="7">
        <v>32.707653000000001</v>
      </c>
      <c r="C1518" s="4">
        <v>1.6953469999999999</v>
      </c>
      <c r="D1518" s="7">
        <v>102.810704</v>
      </c>
      <c r="E1518">
        <v>1</v>
      </c>
      <c r="F1518">
        <v>1</v>
      </c>
      <c r="G1518" s="2">
        <v>2.795086</v>
      </c>
      <c r="H1518" s="2">
        <v>2.1299090000000001</v>
      </c>
      <c r="I1518">
        <v>1</v>
      </c>
      <c r="J1518">
        <v>0</v>
      </c>
      <c r="K1518" s="2">
        <v>1</v>
      </c>
      <c r="L1518">
        <v>0</v>
      </c>
      <c r="M1518" s="7">
        <v>1.9893160000000001</v>
      </c>
      <c r="N1518" s="7">
        <v>0</v>
      </c>
      <c r="O1518">
        <v>0</v>
      </c>
      <c r="P1518" t="s">
        <v>14</v>
      </c>
      <c r="Q1518">
        <v>5</v>
      </c>
      <c r="R1518" s="8">
        <f>(Tabela2[[#This Row],[FAF_atividade_fisica_frequente_em_horas]]+ 0.1)</f>
        <v>2.0893160000000002</v>
      </c>
      <c r="S1518" s="1">
        <f>(Tabela2[[#This Row],[TUE_tempo_uso_aparelhos_em_horas]]/Tabela2[[#This Row],[FAF_Var]])</f>
        <v>0</v>
      </c>
      <c r="T1518">
        <f>(Tabela2[[#This Row],[CAEC_lanche_entre_refeicoes]]*Tabela2[[#This Row],[FAVC_consumo_frequente_de_alimentos_mt_caloricos]])</f>
        <v>1</v>
      </c>
      <c r="U1518" s="1">
        <f>IF(OR(Tabela2[[#This Row],[MTRANS]]="Walking",Tabela2[[#This Row],[MTRANS]]="Bike"),Tabela2[[#This Row],[FAF_atividade_fisica_frequente_em_horas]]+1,M1518)</f>
        <v>1.9893160000000001</v>
      </c>
      <c r="V1518">
        <f>(Tabela2[[#This Row],[SMOKE]]+Tabela2[[#This Row],[CALC_bebe_alcool_frequentemente]])</f>
        <v>0</v>
      </c>
      <c r="W1518" s="8">
        <f>(Tabela2[[#This Row],[Weight]]/(Tabela2[[#This Row],[Height]] ^2))</f>
        <v>35.770180265329003</v>
      </c>
    </row>
    <row r="1519" spans="1:23" x14ac:dyDescent="0.25">
      <c r="A1519" t="s">
        <v>15</v>
      </c>
      <c r="B1519" s="7">
        <v>27.562425000000001</v>
      </c>
      <c r="C1519" s="4">
        <v>1.9086080000000001</v>
      </c>
      <c r="D1519" s="7">
        <v>128.82812200000001</v>
      </c>
      <c r="E1519">
        <v>1</v>
      </c>
      <c r="F1519">
        <v>1</v>
      </c>
      <c r="G1519" s="2">
        <v>2.2062759999999999</v>
      </c>
      <c r="H1519" s="2">
        <v>3</v>
      </c>
      <c r="I1519">
        <v>1</v>
      </c>
      <c r="J1519">
        <v>0</v>
      </c>
      <c r="K1519" s="2">
        <v>1.8130820000000001</v>
      </c>
      <c r="L1519">
        <v>0</v>
      </c>
      <c r="M1519" s="7">
        <v>1.94984</v>
      </c>
      <c r="N1519" s="7">
        <v>0</v>
      </c>
      <c r="O1519">
        <v>1</v>
      </c>
      <c r="P1519" t="s">
        <v>14</v>
      </c>
      <c r="Q1519">
        <v>5</v>
      </c>
      <c r="R1519" s="8">
        <f>(Tabela2[[#This Row],[FAF_atividade_fisica_frequente_em_horas]]+ 0.1)</f>
        <v>2.0498400000000001</v>
      </c>
      <c r="S1519" s="1">
        <f>(Tabela2[[#This Row],[TUE_tempo_uso_aparelhos_em_horas]]/Tabela2[[#This Row],[FAF_Var]])</f>
        <v>0</v>
      </c>
      <c r="T1519">
        <f>(Tabela2[[#This Row],[CAEC_lanche_entre_refeicoes]]*Tabela2[[#This Row],[FAVC_consumo_frequente_de_alimentos_mt_caloricos]])</f>
        <v>1</v>
      </c>
      <c r="U1519" s="1">
        <f>IF(OR(Tabela2[[#This Row],[MTRANS]]="Walking",Tabela2[[#This Row],[MTRANS]]="Bike"),Tabela2[[#This Row],[FAF_atividade_fisica_frequente_em_horas]]+1,M1519)</f>
        <v>1.94984</v>
      </c>
      <c r="V1519">
        <f>(Tabela2[[#This Row],[SMOKE]]+Tabela2[[#This Row],[CALC_bebe_alcool_frequentemente]])</f>
        <v>1</v>
      </c>
      <c r="W1519" s="8">
        <f>(Tabela2[[#This Row],[Weight]]/(Tabela2[[#This Row],[Height]] ^2))</f>
        <v>35.365287757926197</v>
      </c>
    </row>
    <row r="1520" spans="1:23" x14ac:dyDescent="0.25">
      <c r="A1520" t="s">
        <v>15</v>
      </c>
      <c r="B1520" s="7">
        <v>30.421596000000001</v>
      </c>
      <c r="C1520" s="4">
        <v>1.819296</v>
      </c>
      <c r="D1520" s="7">
        <v>122.137917</v>
      </c>
      <c r="E1520">
        <v>1</v>
      </c>
      <c r="F1520">
        <v>1</v>
      </c>
      <c r="G1520" s="2">
        <v>2</v>
      </c>
      <c r="H1520" s="2">
        <v>3</v>
      </c>
      <c r="I1520">
        <v>1</v>
      </c>
      <c r="J1520">
        <v>0</v>
      </c>
      <c r="K1520" s="2">
        <v>1.9843230000000001</v>
      </c>
      <c r="L1520">
        <v>0</v>
      </c>
      <c r="M1520" s="7">
        <v>0.79326200000000002</v>
      </c>
      <c r="N1520" s="7">
        <v>0</v>
      </c>
      <c r="O1520">
        <v>1</v>
      </c>
      <c r="P1520" t="s">
        <v>14</v>
      </c>
      <c r="Q1520">
        <v>5</v>
      </c>
      <c r="R1520" s="8">
        <f>(Tabela2[[#This Row],[FAF_atividade_fisica_frequente_em_horas]]+ 0.1)</f>
        <v>0.893262</v>
      </c>
      <c r="S1520" s="1">
        <f>(Tabela2[[#This Row],[TUE_tempo_uso_aparelhos_em_horas]]/Tabela2[[#This Row],[FAF_Var]])</f>
        <v>0</v>
      </c>
      <c r="T1520">
        <f>(Tabela2[[#This Row],[CAEC_lanche_entre_refeicoes]]*Tabela2[[#This Row],[FAVC_consumo_frequente_de_alimentos_mt_caloricos]])</f>
        <v>1</v>
      </c>
      <c r="U1520" s="1">
        <f>IF(OR(Tabela2[[#This Row],[MTRANS]]="Walking",Tabela2[[#This Row],[MTRANS]]="Bike"),Tabela2[[#This Row],[FAF_atividade_fisica_frequente_em_horas]]+1,M1520)</f>
        <v>0.79326200000000002</v>
      </c>
      <c r="V1520">
        <f>(Tabela2[[#This Row],[SMOKE]]+Tabela2[[#This Row],[CALC_bebe_alcool_frequentemente]])</f>
        <v>1</v>
      </c>
      <c r="W1520" s="8">
        <f>(Tabela2[[#This Row],[Weight]]/(Tabela2[[#This Row],[Height]] ^2))</f>
        <v>36.901479581739302</v>
      </c>
    </row>
    <row r="1521" spans="1:23" x14ac:dyDescent="0.25">
      <c r="A1521" t="s">
        <v>15</v>
      </c>
      <c r="B1521" s="7">
        <v>26.945139000000001</v>
      </c>
      <c r="C1521" s="4">
        <v>1.7732589999999999</v>
      </c>
      <c r="D1521" s="7">
        <v>118.15434500000001</v>
      </c>
      <c r="E1521">
        <v>1</v>
      </c>
      <c r="F1521">
        <v>0</v>
      </c>
      <c r="G1521" s="2">
        <v>2.1835399999999998</v>
      </c>
      <c r="H1521" s="2">
        <v>3</v>
      </c>
      <c r="I1521">
        <v>1</v>
      </c>
      <c r="J1521">
        <v>0</v>
      </c>
      <c r="K1521" s="2">
        <v>2.2779370000000001</v>
      </c>
      <c r="L1521">
        <v>0</v>
      </c>
      <c r="M1521" s="7">
        <v>0.68183000000000005</v>
      </c>
      <c r="N1521" s="7">
        <v>0</v>
      </c>
      <c r="O1521">
        <v>1</v>
      </c>
      <c r="P1521" t="s">
        <v>17</v>
      </c>
      <c r="Q1521">
        <v>5</v>
      </c>
      <c r="R1521" s="8">
        <f>(Tabela2[[#This Row],[FAF_atividade_fisica_frequente_em_horas]]+ 0.1)</f>
        <v>0.78183000000000002</v>
      </c>
      <c r="S1521" s="1">
        <f>(Tabela2[[#This Row],[TUE_tempo_uso_aparelhos_em_horas]]/Tabela2[[#This Row],[FAF_Var]])</f>
        <v>0</v>
      </c>
      <c r="T1521">
        <f>(Tabela2[[#This Row],[CAEC_lanche_entre_refeicoes]]*Tabela2[[#This Row],[FAVC_consumo_frequente_de_alimentos_mt_caloricos]])</f>
        <v>0</v>
      </c>
      <c r="U1521" s="1">
        <f>IF(OR(Tabela2[[#This Row],[MTRANS]]="Walking",Tabela2[[#This Row],[MTRANS]]="Bike"),Tabela2[[#This Row],[FAF_atividade_fisica_frequente_em_horas]]+1,M1521)</f>
        <v>0.68183000000000005</v>
      </c>
      <c r="V1521">
        <f>(Tabela2[[#This Row],[SMOKE]]+Tabela2[[#This Row],[CALC_bebe_alcool_frequentemente]])</f>
        <v>1</v>
      </c>
      <c r="W1521" s="8">
        <f>(Tabela2[[#This Row],[Weight]]/(Tabela2[[#This Row],[Height]] ^2))</f>
        <v>37.575550461851201</v>
      </c>
    </row>
    <row r="1522" spans="1:23" x14ac:dyDescent="0.25">
      <c r="A1522" t="s">
        <v>15</v>
      </c>
      <c r="B1522" s="7">
        <v>34.139453000000003</v>
      </c>
      <c r="C1522" s="4">
        <v>1.7746470000000001</v>
      </c>
      <c r="D1522" s="7">
        <v>120.151967</v>
      </c>
      <c r="E1522">
        <v>1</v>
      </c>
      <c r="F1522">
        <v>0</v>
      </c>
      <c r="G1522" s="2">
        <v>2.962415</v>
      </c>
      <c r="H1522" s="2">
        <v>3</v>
      </c>
      <c r="I1522">
        <v>1</v>
      </c>
      <c r="J1522">
        <v>0</v>
      </c>
      <c r="K1522" s="2">
        <v>2.1726489999999998</v>
      </c>
      <c r="L1522">
        <v>0</v>
      </c>
      <c r="M1522" s="7">
        <v>1.0979049999999999</v>
      </c>
      <c r="N1522" s="7">
        <v>0</v>
      </c>
      <c r="O1522">
        <v>1</v>
      </c>
      <c r="P1522" t="s">
        <v>17</v>
      </c>
      <c r="Q1522">
        <v>5</v>
      </c>
      <c r="R1522" s="8">
        <f>(Tabela2[[#This Row],[FAF_atividade_fisica_frequente_em_horas]]+ 0.1)</f>
        <v>1.197905</v>
      </c>
      <c r="S1522" s="1">
        <f>(Tabela2[[#This Row],[TUE_tempo_uso_aparelhos_em_horas]]/Tabela2[[#This Row],[FAF_Var]])</f>
        <v>0</v>
      </c>
      <c r="T1522">
        <f>(Tabela2[[#This Row],[CAEC_lanche_entre_refeicoes]]*Tabela2[[#This Row],[FAVC_consumo_frequente_de_alimentos_mt_caloricos]])</f>
        <v>0</v>
      </c>
      <c r="U1522" s="1">
        <f>IF(OR(Tabela2[[#This Row],[MTRANS]]="Walking",Tabela2[[#This Row],[MTRANS]]="Bike"),Tabela2[[#This Row],[FAF_atividade_fisica_frequente_em_horas]]+1,M1522)</f>
        <v>1.0979049999999999</v>
      </c>
      <c r="V1522">
        <f>(Tabela2[[#This Row],[SMOKE]]+Tabela2[[#This Row],[CALC_bebe_alcool_frequentemente]])</f>
        <v>1</v>
      </c>
      <c r="W1522" s="8">
        <f>(Tabela2[[#This Row],[Weight]]/(Tabela2[[#This Row],[Height]] ^2))</f>
        <v>38.151087889488529</v>
      </c>
    </row>
    <row r="1523" spans="1:23" x14ac:dyDescent="0.25">
      <c r="A1523" t="s">
        <v>15</v>
      </c>
      <c r="B1523" s="7">
        <v>26.225442000000001</v>
      </c>
      <c r="C1523" s="4">
        <v>1.7736639999999999</v>
      </c>
      <c r="D1523" s="7">
        <v>116.160329</v>
      </c>
      <c r="E1523">
        <v>1</v>
      </c>
      <c r="F1523">
        <v>1</v>
      </c>
      <c r="G1523" s="2">
        <v>2.442536</v>
      </c>
      <c r="H1523" s="2">
        <v>3</v>
      </c>
      <c r="I1523">
        <v>1</v>
      </c>
      <c r="J1523">
        <v>0</v>
      </c>
      <c r="K1523" s="2">
        <v>2.1743709999999998</v>
      </c>
      <c r="L1523">
        <v>0</v>
      </c>
      <c r="M1523" s="7">
        <v>0</v>
      </c>
      <c r="N1523" s="7">
        <v>1.9289719999999999</v>
      </c>
      <c r="O1523">
        <v>1</v>
      </c>
      <c r="P1523" t="s">
        <v>14</v>
      </c>
      <c r="Q1523">
        <v>5</v>
      </c>
      <c r="R1523" s="8">
        <f>(Tabela2[[#This Row],[FAF_atividade_fisica_frequente_em_horas]]+ 0.1)</f>
        <v>0.1</v>
      </c>
      <c r="S1523" s="1">
        <f>(Tabela2[[#This Row],[TUE_tempo_uso_aparelhos_em_horas]]/Tabela2[[#This Row],[FAF_Var]])</f>
        <v>19.289719999999999</v>
      </c>
      <c r="T1523">
        <f>(Tabela2[[#This Row],[CAEC_lanche_entre_refeicoes]]*Tabela2[[#This Row],[FAVC_consumo_frequente_de_alimentos_mt_caloricos]])</f>
        <v>1</v>
      </c>
      <c r="U1523" s="1">
        <f>IF(OR(Tabela2[[#This Row],[MTRANS]]="Walking",Tabela2[[#This Row],[MTRANS]]="Bike"),Tabela2[[#This Row],[FAF_atividade_fisica_frequente_em_horas]]+1,M1523)</f>
        <v>0</v>
      </c>
      <c r="V1523">
        <f>(Tabela2[[#This Row],[SMOKE]]+Tabela2[[#This Row],[CALC_bebe_alcool_frequentemente]])</f>
        <v>1</v>
      </c>
      <c r="W1523" s="8">
        <f>(Tabela2[[#This Row],[Weight]]/(Tabela2[[#This Row],[Height]] ^2))</f>
        <v>36.924543167423948</v>
      </c>
    </row>
    <row r="1524" spans="1:23" x14ac:dyDescent="0.25">
      <c r="A1524" t="s">
        <v>15</v>
      </c>
      <c r="B1524" s="7">
        <v>28.363149</v>
      </c>
      <c r="C1524" s="4">
        <v>1.7934760000000001</v>
      </c>
      <c r="D1524" s="7">
        <v>112.725005</v>
      </c>
      <c r="E1524">
        <v>1</v>
      </c>
      <c r="F1524">
        <v>1</v>
      </c>
      <c r="G1524" s="2">
        <v>1.9912399999999999</v>
      </c>
      <c r="H1524" s="2">
        <v>3</v>
      </c>
      <c r="I1524">
        <v>1</v>
      </c>
      <c r="J1524">
        <v>0</v>
      </c>
      <c r="K1524" s="2">
        <v>2</v>
      </c>
      <c r="L1524">
        <v>0</v>
      </c>
      <c r="M1524" s="7">
        <v>0</v>
      </c>
      <c r="N1524" s="7">
        <v>0.29295599999999999</v>
      </c>
      <c r="O1524">
        <v>1</v>
      </c>
      <c r="P1524" t="s">
        <v>14</v>
      </c>
      <c r="Q1524">
        <v>5</v>
      </c>
      <c r="R1524" s="8">
        <f>(Tabela2[[#This Row],[FAF_atividade_fisica_frequente_em_horas]]+ 0.1)</f>
        <v>0.1</v>
      </c>
      <c r="S1524" s="1">
        <f>(Tabela2[[#This Row],[TUE_tempo_uso_aparelhos_em_horas]]/Tabela2[[#This Row],[FAF_Var]])</f>
        <v>2.9295599999999999</v>
      </c>
      <c r="T1524">
        <f>(Tabela2[[#This Row],[CAEC_lanche_entre_refeicoes]]*Tabela2[[#This Row],[FAVC_consumo_frequente_de_alimentos_mt_caloricos]])</f>
        <v>1</v>
      </c>
      <c r="U1524" s="1">
        <f>IF(OR(Tabela2[[#This Row],[MTRANS]]="Walking",Tabela2[[#This Row],[MTRANS]]="Bike"),Tabela2[[#This Row],[FAF_atividade_fisica_frequente_em_horas]]+1,M1524)</f>
        <v>0</v>
      </c>
      <c r="V1524">
        <f>(Tabela2[[#This Row],[SMOKE]]+Tabela2[[#This Row],[CALC_bebe_alcool_frequentemente]])</f>
        <v>1</v>
      </c>
      <c r="W1524" s="8">
        <f>(Tabela2[[#This Row],[Weight]]/(Tabela2[[#This Row],[Height]] ^2))</f>
        <v>35.045246935692681</v>
      </c>
    </row>
    <row r="1525" spans="1:23" x14ac:dyDescent="0.25">
      <c r="A1525" t="s">
        <v>15</v>
      </c>
      <c r="B1525" s="7">
        <v>27.991467</v>
      </c>
      <c r="C1525" s="4">
        <v>1.82559</v>
      </c>
      <c r="D1525" s="7">
        <v>120.86038600000001</v>
      </c>
      <c r="E1525">
        <v>1</v>
      </c>
      <c r="F1525">
        <v>1</v>
      </c>
      <c r="G1525" s="2">
        <v>3</v>
      </c>
      <c r="H1525" s="2">
        <v>3</v>
      </c>
      <c r="I1525">
        <v>1</v>
      </c>
      <c r="J1525">
        <v>0</v>
      </c>
      <c r="K1525" s="2">
        <v>3</v>
      </c>
      <c r="L1525">
        <v>0</v>
      </c>
      <c r="M1525" s="7">
        <v>0.69136900000000001</v>
      </c>
      <c r="N1525" s="7">
        <v>1.4155359999999999</v>
      </c>
      <c r="O1525">
        <v>1</v>
      </c>
      <c r="P1525" t="s">
        <v>14</v>
      </c>
      <c r="Q1525">
        <v>5</v>
      </c>
      <c r="R1525" s="8">
        <f>(Tabela2[[#This Row],[FAF_atividade_fisica_frequente_em_horas]]+ 0.1)</f>
        <v>0.79136899999999999</v>
      </c>
      <c r="S1525" s="1">
        <f>(Tabela2[[#This Row],[TUE_tempo_uso_aparelhos_em_horas]]/Tabela2[[#This Row],[FAF_Var]])</f>
        <v>1.7887180316641162</v>
      </c>
      <c r="T1525">
        <f>(Tabela2[[#This Row],[CAEC_lanche_entre_refeicoes]]*Tabela2[[#This Row],[FAVC_consumo_frequente_de_alimentos_mt_caloricos]])</f>
        <v>1</v>
      </c>
      <c r="U1525" s="1">
        <f>IF(OR(Tabela2[[#This Row],[MTRANS]]="Walking",Tabela2[[#This Row],[MTRANS]]="Bike"),Tabela2[[#This Row],[FAF_atividade_fisica_frequente_em_horas]]+1,M1525)</f>
        <v>0.69136900000000001</v>
      </c>
      <c r="V1525">
        <f>(Tabela2[[#This Row],[SMOKE]]+Tabela2[[#This Row],[CALC_bebe_alcool_frequentemente]])</f>
        <v>1</v>
      </c>
      <c r="W1525" s="8">
        <f>(Tabela2[[#This Row],[Weight]]/(Tabela2[[#This Row],[Height]] ^2))</f>
        <v>36.26414818039963</v>
      </c>
    </row>
    <row r="1526" spans="1:23" x14ac:dyDescent="0.25">
      <c r="A1526" t="s">
        <v>15</v>
      </c>
      <c r="B1526" s="7">
        <v>25.498750999999999</v>
      </c>
      <c r="C1526" s="4">
        <v>1.885543</v>
      </c>
      <c r="D1526" s="7">
        <v>121.253083</v>
      </c>
      <c r="E1526">
        <v>1</v>
      </c>
      <c r="F1526">
        <v>1</v>
      </c>
      <c r="G1526" s="2">
        <v>2.4085610000000002</v>
      </c>
      <c r="H1526" s="2">
        <v>3</v>
      </c>
      <c r="I1526">
        <v>1</v>
      </c>
      <c r="J1526">
        <v>0</v>
      </c>
      <c r="K1526" s="2">
        <v>2.8519040000000002</v>
      </c>
      <c r="L1526">
        <v>0</v>
      </c>
      <c r="M1526" s="7">
        <v>1.320065</v>
      </c>
      <c r="N1526" s="7">
        <v>0</v>
      </c>
      <c r="O1526">
        <v>1</v>
      </c>
      <c r="P1526" t="s">
        <v>14</v>
      </c>
      <c r="Q1526">
        <v>5</v>
      </c>
      <c r="R1526" s="8">
        <f>(Tabela2[[#This Row],[FAF_atividade_fisica_frequente_em_horas]]+ 0.1)</f>
        <v>1.4200650000000001</v>
      </c>
      <c r="S1526" s="1">
        <f>(Tabela2[[#This Row],[TUE_tempo_uso_aparelhos_em_horas]]/Tabela2[[#This Row],[FAF_Var]])</f>
        <v>0</v>
      </c>
      <c r="T1526">
        <f>(Tabela2[[#This Row],[CAEC_lanche_entre_refeicoes]]*Tabela2[[#This Row],[FAVC_consumo_frequente_de_alimentos_mt_caloricos]])</f>
        <v>1</v>
      </c>
      <c r="U1526" s="1">
        <f>IF(OR(Tabela2[[#This Row],[MTRANS]]="Walking",Tabela2[[#This Row],[MTRANS]]="Bike"),Tabela2[[#This Row],[FAF_atividade_fisica_frequente_em_horas]]+1,M1526)</f>
        <v>1.320065</v>
      </c>
      <c r="V1526">
        <f>(Tabela2[[#This Row],[SMOKE]]+Tabela2[[#This Row],[CALC_bebe_alcool_frequentemente]])</f>
        <v>1</v>
      </c>
      <c r="W1526" s="8">
        <f>(Tabela2[[#This Row],[Weight]]/(Tabela2[[#This Row],[Height]] ^2))</f>
        <v>34.105145595770423</v>
      </c>
    </row>
    <row r="1527" spans="1:23" x14ac:dyDescent="0.25">
      <c r="A1527" t="s">
        <v>15</v>
      </c>
      <c r="B1527" s="7">
        <v>30.605225000000001</v>
      </c>
      <c r="C1527" s="4">
        <v>1.75</v>
      </c>
      <c r="D1527" s="7">
        <v>120</v>
      </c>
      <c r="E1527">
        <v>1</v>
      </c>
      <c r="F1527">
        <v>1</v>
      </c>
      <c r="G1527" s="2">
        <v>2.758394</v>
      </c>
      <c r="H1527" s="2">
        <v>3</v>
      </c>
      <c r="I1527">
        <v>1</v>
      </c>
      <c r="J1527">
        <v>1</v>
      </c>
      <c r="K1527" s="2">
        <v>2.174248</v>
      </c>
      <c r="L1527">
        <v>0</v>
      </c>
      <c r="M1527" s="7">
        <v>1.0795239999999999</v>
      </c>
      <c r="N1527" s="7">
        <v>1.358163</v>
      </c>
      <c r="O1527">
        <v>1</v>
      </c>
      <c r="P1527" t="s">
        <v>17</v>
      </c>
      <c r="Q1527">
        <v>5</v>
      </c>
      <c r="R1527" s="8">
        <f>(Tabela2[[#This Row],[FAF_atividade_fisica_frequente_em_horas]]+ 0.1)</f>
        <v>1.179524</v>
      </c>
      <c r="S1527" s="1">
        <f>(Tabela2[[#This Row],[TUE_tempo_uso_aparelhos_em_horas]]/Tabela2[[#This Row],[FAF_Var]])</f>
        <v>1.1514500764715259</v>
      </c>
      <c r="T1527">
        <f>(Tabela2[[#This Row],[CAEC_lanche_entre_refeicoes]]*Tabela2[[#This Row],[FAVC_consumo_frequente_de_alimentos_mt_caloricos]])</f>
        <v>1</v>
      </c>
      <c r="U1527" s="1">
        <f>IF(OR(Tabela2[[#This Row],[MTRANS]]="Walking",Tabela2[[#This Row],[MTRANS]]="Bike"),Tabela2[[#This Row],[FAF_atividade_fisica_frequente_em_horas]]+1,M1527)</f>
        <v>1.0795239999999999</v>
      </c>
      <c r="V1527">
        <f>(Tabela2[[#This Row],[SMOKE]]+Tabela2[[#This Row],[CALC_bebe_alcool_frequentemente]])</f>
        <v>2</v>
      </c>
      <c r="W1527" s="8">
        <f>(Tabela2[[#This Row],[Weight]]/(Tabela2[[#This Row],[Height]] ^2))</f>
        <v>39.183673469387756</v>
      </c>
    </row>
    <row r="1528" spans="1:23" x14ac:dyDescent="0.25">
      <c r="A1528" t="s">
        <v>15</v>
      </c>
      <c r="B1528" s="7">
        <v>31.457412999999999</v>
      </c>
      <c r="C1528" s="4">
        <v>1.8740699999999999</v>
      </c>
      <c r="D1528" s="7">
        <v>128.86744400000001</v>
      </c>
      <c r="E1528">
        <v>1</v>
      </c>
      <c r="F1528">
        <v>1</v>
      </c>
      <c r="G1528" s="2">
        <v>2.9562970000000002</v>
      </c>
      <c r="H1528" s="2">
        <v>3</v>
      </c>
      <c r="I1528">
        <v>1</v>
      </c>
      <c r="J1528">
        <v>1</v>
      </c>
      <c r="K1528" s="2">
        <v>1.2750999999999999</v>
      </c>
      <c r="L1528">
        <v>0</v>
      </c>
      <c r="M1528" s="7">
        <v>0.90192399999999995</v>
      </c>
      <c r="N1528" s="7">
        <v>1.8750230000000001</v>
      </c>
      <c r="O1528">
        <v>1</v>
      </c>
      <c r="P1528" t="s">
        <v>17</v>
      </c>
      <c r="Q1528">
        <v>5</v>
      </c>
      <c r="R1528" s="8">
        <f>(Tabela2[[#This Row],[FAF_atividade_fisica_frequente_em_horas]]+ 0.1)</f>
        <v>1.001924</v>
      </c>
      <c r="S1528" s="1">
        <f>(Tabela2[[#This Row],[TUE_tempo_uso_aparelhos_em_horas]]/Tabela2[[#This Row],[FAF_Var]])</f>
        <v>1.8714223833344645</v>
      </c>
      <c r="T1528">
        <f>(Tabela2[[#This Row],[CAEC_lanche_entre_refeicoes]]*Tabela2[[#This Row],[FAVC_consumo_frequente_de_alimentos_mt_caloricos]])</f>
        <v>1</v>
      </c>
      <c r="U1528" s="1">
        <f>IF(OR(Tabela2[[#This Row],[MTRANS]]="Walking",Tabela2[[#This Row],[MTRANS]]="Bike"),Tabela2[[#This Row],[FAF_atividade_fisica_frequente_em_horas]]+1,M1528)</f>
        <v>0.90192399999999995</v>
      </c>
      <c r="V1528">
        <f>(Tabela2[[#This Row],[SMOKE]]+Tabela2[[#This Row],[CALC_bebe_alcool_frequentemente]])</f>
        <v>2</v>
      </c>
      <c r="W1528" s="8">
        <f>(Tabela2[[#This Row],[Weight]]/(Tabela2[[#This Row],[Height]] ^2))</f>
        <v>36.692017970558858</v>
      </c>
    </row>
    <row r="1529" spans="1:23" x14ac:dyDescent="0.25">
      <c r="A1529" t="s">
        <v>15</v>
      </c>
      <c r="B1529" s="7">
        <v>24.82929</v>
      </c>
      <c r="C1529" s="4">
        <v>1.7559670000000001</v>
      </c>
      <c r="D1529" s="7">
        <v>112.256165</v>
      </c>
      <c r="E1529">
        <v>1</v>
      </c>
      <c r="F1529">
        <v>1</v>
      </c>
      <c r="G1529" s="2">
        <v>1.369529</v>
      </c>
      <c r="H1529" s="2">
        <v>3</v>
      </c>
      <c r="I1529">
        <v>1</v>
      </c>
      <c r="J1529">
        <v>0</v>
      </c>
      <c r="K1529" s="2">
        <v>2</v>
      </c>
      <c r="L1529">
        <v>0</v>
      </c>
      <c r="M1529" s="7">
        <v>1.596576</v>
      </c>
      <c r="N1529" s="7">
        <v>2.5999999999999999E-3</v>
      </c>
      <c r="O1529">
        <v>1</v>
      </c>
      <c r="P1529" t="s">
        <v>14</v>
      </c>
      <c r="Q1529">
        <v>5</v>
      </c>
      <c r="R1529" s="8">
        <f>(Tabela2[[#This Row],[FAF_atividade_fisica_frequente_em_horas]]+ 0.1)</f>
        <v>1.6965760000000001</v>
      </c>
      <c r="S1529" s="1">
        <f>(Tabela2[[#This Row],[TUE_tempo_uso_aparelhos_em_horas]]/Tabela2[[#This Row],[FAF_Var]])</f>
        <v>1.5324983967709078E-3</v>
      </c>
      <c r="T1529">
        <f>(Tabela2[[#This Row],[CAEC_lanche_entre_refeicoes]]*Tabela2[[#This Row],[FAVC_consumo_frequente_de_alimentos_mt_caloricos]])</f>
        <v>1</v>
      </c>
      <c r="U1529" s="1">
        <f>IF(OR(Tabela2[[#This Row],[MTRANS]]="Walking",Tabela2[[#This Row],[MTRANS]]="Bike"),Tabela2[[#This Row],[FAF_atividade_fisica_frequente_em_horas]]+1,M1529)</f>
        <v>1.596576</v>
      </c>
      <c r="V1529">
        <f>(Tabela2[[#This Row],[SMOKE]]+Tabela2[[#This Row],[CALC_bebe_alcool_frequentemente]])</f>
        <v>1</v>
      </c>
      <c r="W1529" s="8">
        <f>(Tabela2[[#This Row],[Weight]]/(Tabela2[[#This Row],[Height]] ^2))</f>
        <v>36.406380309555587</v>
      </c>
    </row>
    <row r="1530" spans="1:23" x14ac:dyDescent="0.25">
      <c r="A1530" t="s">
        <v>15</v>
      </c>
      <c r="B1530" s="7">
        <v>24.739421</v>
      </c>
      <c r="C1530" s="4">
        <v>1.757069</v>
      </c>
      <c r="D1530" s="7">
        <v>117.298233</v>
      </c>
      <c r="E1530">
        <v>1</v>
      </c>
      <c r="F1530">
        <v>1</v>
      </c>
      <c r="G1530" s="2">
        <v>1.392665</v>
      </c>
      <c r="H1530" s="2">
        <v>3</v>
      </c>
      <c r="I1530">
        <v>1</v>
      </c>
      <c r="J1530">
        <v>0</v>
      </c>
      <c r="K1530" s="2">
        <v>2</v>
      </c>
      <c r="L1530">
        <v>0</v>
      </c>
      <c r="M1530" s="7">
        <v>1.0979829999999999</v>
      </c>
      <c r="N1530" s="7">
        <v>0.63086600000000004</v>
      </c>
      <c r="O1530">
        <v>1</v>
      </c>
      <c r="P1530" t="s">
        <v>14</v>
      </c>
      <c r="Q1530">
        <v>5</v>
      </c>
      <c r="R1530" s="8">
        <f>(Tabela2[[#This Row],[FAF_atividade_fisica_frequente_em_horas]]+ 0.1)</f>
        <v>1.197983</v>
      </c>
      <c r="S1530" s="1">
        <f>(Tabela2[[#This Row],[TUE_tempo_uso_aparelhos_em_horas]]/Tabela2[[#This Row],[FAF_Var]])</f>
        <v>0.52660680493796663</v>
      </c>
      <c r="T1530">
        <f>(Tabela2[[#This Row],[CAEC_lanche_entre_refeicoes]]*Tabela2[[#This Row],[FAVC_consumo_frequente_de_alimentos_mt_caloricos]])</f>
        <v>1</v>
      </c>
      <c r="U1530" s="1">
        <f>IF(OR(Tabela2[[#This Row],[MTRANS]]="Walking",Tabela2[[#This Row],[MTRANS]]="Bike"),Tabela2[[#This Row],[FAF_atividade_fisica_frequente_em_horas]]+1,M1530)</f>
        <v>1.0979829999999999</v>
      </c>
      <c r="V1530">
        <f>(Tabela2[[#This Row],[SMOKE]]+Tabela2[[#This Row],[CALC_bebe_alcool_frequentemente]])</f>
        <v>1</v>
      </c>
      <c r="W1530" s="8">
        <f>(Tabela2[[#This Row],[Weight]]/(Tabela2[[#This Row],[Height]] ^2))</f>
        <v>37.99389662780581</v>
      </c>
    </row>
    <row r="1531" spans="1:23" x14ac:dyDescent="0.25">
      <c r="A1531" t="s">
        <v>15</v>
      </c>
      <c r="B1531" s="7">
        <v>41</v>
      </c>
      <c r="C1531" s="4">
        <v>1.75</v>
      </c>
      <c r="D1531" s="7">
        <v>116.594351</v>
      </c>
      <c r="E1531">
        <v>1</v>
      </c>
      <c r="F1531">
        <v>1</v>
      </c>
      <c r="G1531" s="2">
        <v>2</v>
      </c>
      <c r="H1531" s="2">
        <v>2.8317709999999998</v>
      </c>
      <c r="I1531">
        <v>1</v>
      </c>
      <c r="J1531">
        <v>0</v>
      </c>
      <c r="K1531" s="2">
        <v>1.7252259999999999</v>
      </c>
      <c r="L1531">
        <v>0</v>
      </c>
      <c r="M1531" s="7">
        <v>0.35628799999999999</v>
      </c>
      <c r="N1531" s="7">
        <v>0</v>
      </c>
      <c r="O1531">
        <v>1</v>
      </c>
      <c r="P1531" t="s">
        <v>17</v>
      </c>
      <c r="Q1531">
        <v>5</v>
      </c>
      <c r="R1531" s="8">
        <f>(Tabela2[[#This Row],[FAF_atividade_fisica_frequente_em_horas]]+ 0.1)</f>
        <v>0.45628800000000003</v>
      </c>
      <c r="S1531" s="1">
        <f>(Tabela2[[#This Row],[TUE_tempo_uso_aparelhos_em_horas]]/Tabela2[[#This Row],[FAF_Var]])</f>
        <v>0</v>
      </c>
      <c r="T1531">
        <f>(Tabela2[[#This Row],[CAEC_lanche_entre_refeicoes]]*Tabela2[[#This Row],[FAVC_consumo_frequente_de_alimentos_mt_caloricos]])</f>
        <v>1</v>
      </c>
      <c r="U1531" s="1">
        <f>IF(OR(Tabela2[[#This Row],[MTRANS]]="Walking",Tabela2[[#This Row],[MTRANS]]="Bike"),Tabela2[[#This Row],[FAF_atividade_fisica_frequente_em_horas]]+1,M1531)</f>
        <v>0.35628799999999999</v>
      </c>
      <c r="V1531">
        <f>(Tabela2[[#This Row],[SMOKE]]+Tabela2[[#This Row],[CALC_bebe_alcool_frequentemente]])</f>
        <v>1</v>
      </c>
      <c r="W1531" s="8">
        <f>(Tabela2[[#This Row],[Weight]]/(Tabela2[[#This Row],[Height]] ^2))</f>
        <v>38.071624816326533</v>
      </c>
    </row>
    <row r="1532" spans="1:23" x14ac:dyDescent="0.25">
      <c r="A1532" t="s">
        <v>15</v>
      </c>
      <c r="B1532" s="7">
        <v>27.83173</v>
      </c>
      <c r="C1532" s="4">
        <v>1.7040280000000001</v>
      </c>
      <c r="D1532" s="7">
        <v>101.63431300000001</v>
      </c>
      <c r="E1532">
        <v>1</v>
      </c>
      <c r="F1532">
        <v>1</v>
      </c>
      <c r="G1532" s="2">
        <v>2.630401</v>
      </c>
      <c r="H1532" s="2">
        <v>1</v>
      </c>
      <c r="I1532">
        <v>1</v>
      </c>
      <c r="J1532">
        <v>0</v>
      </c>
      <c r="K1532" s="2">
        <v>1</v>
      </c>
      <c r="L1532">
        <v>0</v>
      </c>
      <c r="M1532" s="7">
        <v>0.24535399999999999</v>
      </c>
      <c r="N1532" s="7">
        <v>0.31526100000000001</v>
      </c>
      <c r="O1532">
        <v>1</v>
      </c>
      <c r="P1532" t="s">
        <v>17</v>
      </c>
      <c r="Q1532">
        <v>5</v>
      </c>
      <c r="R1532" s="8">
        <f>(Tabela2[[#This Row],[FAF_atividade_fisica_frequente_em_horas]]+ 0.1)</f>
        <v>0.34535399999999999</v>
      </c>
      <c r="S1532" s="1">
        <f>(Tabela2[[#This Row],[TUE_tempo_uso_aparelhos_em_horas]]/Tabela2[[#This Row],[FAF_Var]])</f>
        <v>0.9128633228513352</v>
      </c>
      <c r="T1532">
        <f>(Tabela2[[#This Row],[CAEC_lanche_entre_refeicoes]]*Tabela2[[#This Row],[FAVC_consumo_frequente_de_alimentos_mt_caloricos]])</f>
        <v>1</v>
      </c>
      <c r="U1532" s="1">
        <f>IF(OR(Tabela2[[#This Row],[MTRANS]]="Walking",Tabela2[[#This Row],[MTRANS]]="Bike"),Tabela2[[#This Row],[FAF_atividade_fisica_frequente_em_horas]]+1,M1532)</f>
        <v>0.24535399999999999</v>
      </c>
      <c r="V1532">
        <f>(Tabela2[[#This Row],[SMOKE]]+Tabela2[[#This Row],[CALC_bebe_alcool_frequentemente]])</f>
        <v>1</v>
      </c>
      <c r="W1532" s="8">
        <f>(Tabela2[[#This Row],[Weight]]/(Tabela2[[#This Row],[Height]] ^2))</f>
        <v>35.001519824774022</v>
      </c>
    </row>
    <row r="1533" spans="1:23" x14ac:dyDescent="0.25">
      <c r="A1533" t="s">
        <v>15</v>
      </c>
      <c r="B1533" s="7">
        <v>23.260061</v>
      </c>
      <c r="C1533" s="4">
        <v>1.849003</v>
      </c>
      <c r="D1533" s="7">
        <v>121.414744</v>
      </c>
      <c r="E1533">
        <v>1</v>
      </c>
      <c r="F1533">
        <v>1</v>
      </c>
      <c r="G1533" s="2">
        <v>3</v>
      </c>
      <c r="H1533" s="2">
        <v>2.595126</v>
      </c>
      <c r="I1533">
        <v>1</v>
      </c>
      <c r="J1533">
        <v>0</v>
      </c>
      <c r="K1533" s="2">
        <v>2.0540720000000001</v>
      </c>
      <c r="L1533">
        <v>0</v>
      </c>
      <c r="M1533" s="7">
        <v>0.83527099999999999</v>
      </c>
      <c r="N1533" s="7">
        <v>0</v>
      </c>
      <c r="O1533">
        <v>1</v>
      </c>
      <c r="P1533" t="s">
        <v>14</v>
      </c>
      <c r="Q1533">
        <v>5</v>
      </c>
      <c r="R1533" s="8">
        <f>(Tabela2[[#This Row],[FAF_atividade_fisica_frequente_em_horas]]+ 0.1)</f>
        <v>0.93527099999999996</v>
      </c>
      <c r="S1533" s="1">
        <f>(Tabela2[[#This Row],[TUE_tempo_uso_aparelhos_em_horas]]/Tabela2[[#This Row],[FAF_Var]])</f>
        <v>0</v>
      </c>
      <c r="T1533">
        <f>(Tabela2[[#This Row],[CAEC_lanche_entre_refeicoes]]*Tabela2[[#This Row],[FAVC_consumo_frequente_de_alimentos_mt_caloricos]])</f>
        <v>1</v>
      </c>
      <c r="U1533" s="1">
        <f>IF(OR(Tabela2[[#This Row],[MTRANS]]="Walking",Tabela2[[#This Row],[MTRANS]]="Bike"),Tabela2[[#This Row],[FAF_atividade_fisica_frequente_em_horas]]+1,M1533)</f>
        <v>0.83527099999999999</v>
      </c>
      <c r="V1533">
        <f>(Tabela2[[#This Row],[SMOKE]]+Tabela2[[#This Row],[CALC_bebe_alcool_frequentemente]])</f>
        <v>1</v>
      </c>
      <c r="W1533" s="8">
        <f>(Tabela2[[#This Row],[Weight]]/(Tabela2[[#This Row],[Height]] ^2))</f>
        <v>35.513722504013231</v>
      </c>
    </row>
    <row r="1534" spans="1:23" x14ac:dyDescent="0.25">
      <c r="A1534" t="s">
        <v>15</v>
      </c>
      <c r="B1534" s="7">
        <v>22.705772</v>
      </c>
      <c r="C1534" s="4">
        <v>1.8419890000000001</v>
      </c>
      <c r="D1534" s="7">
        <v>122.02495399999999</v>
      </c>
      <c r="E1534">
        <v>1</v>
      </c>
      <c r="F1534">
        <v>1</v>
      </c>
      <c r="G1534" s="2">
        <v>3</v>
      </c>
      <c r="H1534" s="2">
        <v>2.5275099999999999</v>
      </c>
      <c r="I1534">
        <v>1</v>
      </c>
      <c r="J1534">
        <v>0</v>
      </c>
      <c r="K1534" s="2">
        <v>1.645338</v>
      </c>
      <c r="L1534">
        <v>0</v>
      </c>
      <c r="M1534" s="7">
        <v>1.0254380000000001</v>
      </c>
      <c r="N1534" s="7">
        <v>0</v>
      </c>
      <c r="O1534">
        <v>1</v>
      </c>
      <c r="P1534" t="s">
        <v>14</v>
      </c>
      <c r="Q1534">
        <v>5</v>
      </c>
      <c r="R1534" s="8">
        <f>(Tabela2[[#This Row],[FAF_atividade_fisica_frequente_em_horas]]+ 0.1)</f>
        <v>1.1254380000000002</v>
      </c>
      <c r="S1534" s="1">
        <f>(Tabela2[[#This Row],[TUE_tempo_uso_aparelhos_em_horas]]/Tabela2[[#This Row],[FAF_Var]])</f>
        <v>0</v>
      </c>
      <c r="T1534">
        <f>(Tabela2[[#This Row],[CAEC_lanche_entre_refeicoes]]*Tabela2[[#This Row],[FAVC_consumo_frequente_de_alimentos_mt_caloricos]])</f>
        <v>1</v>
      </c>
      <c r="U1534" s="1">
        <f>IF(OR(Tabela2[[#This Row],[MTRANS]]="Walking",Tabela2[[#This Row],[MTRANS]]="Bike"),Tabela2[[#This Row],[FAF_atividade_fisica_frequente_em_horas]]+1,M1534)</f>
        <v>1.0254380000000001</v>
      </c>
      <c r="V1534">
        <f>(Tabela2[[#This Row],[SMOKE]]+Tabela2[[#This Row],[CALC_bebe_alcool_frequentemente]])</f>
        <v>1</v>
      </c>
      <c r="W1534" s="8">
        <f>(Tabela2[[#This Row],[Weight]]/(Tabela2[[#This Row],[Height]] ^2))</f>
        <v>35.964546462305258</v>
      </c>
    </row>
    <row r="1535" spans="1:23" x14ac:dyDescent="0.25">
      <c r="A1535" t="s">
        <v>15</v>
      </c>
      <c r="B1535" s="7">
        <v>24.041042999999998</v>
      </c>
      <c r="C1535" s="4">
        <v>1.613491</v>
      </c>
      <c r="D1535" s="7">
        <v>98.490765999999994</v>
      </c>
      <c r="E1535">
        <v>1</v>
      </c>
      <c r="F1535">
        <v>1</v>
      </c>
      <c r="G1535" s="2">
        <v>3</v>
      </c>
      <c r="H1535" s="2">
        <v>2.1209359999999999</v>
      </c>
      <c r="I1535">
        <v>1</v>
      </c>
      <c r="J1535">
        <v>0</v>
      </c>
      <c r="K1535" s="2">
        <v>1</v>
      </c>
      <c r="L1535">
        <v>0</v>
      </c>
      <c r="M1535" s="7">
        <v>1.5433859999999999</v>
      </c>
      <c r="N1535" s="7">
        <v>0.89021300000000003</v>
      </c>
      <c r="O1535">
        <v>0</v>
      </c>
      <c r="P1535" t="s">
        <v>14</v>
      </c>
      <c r="Q1535">
        <v>5</v>
      </c>
      <c r="R1535" s="8">
        <f>(Tabela2[[#This Row],[FAF_atividade_fisica_frequente_em_horas]]+ 0.1)</f>
        <v>1.643386</v>
      </c>
      <c r="S1535" s="1">
        <f>(Tabela2[[#This Row],[TUE_tempo_uso_aparelhos_em_horas]]/Tabela2[[#This Row],[FAF_Var]])</f>
        <v>0.54169440411443204</v>
      </c>
      <c r="T1535">
        <f>(Tabela2[[#This Row],[CAEC_lanche_entre_refeicoes]]*Tabela2[[#This Row],[FAVC_consumo_frequente_de_alimentos_mt_caloricos]])</f>
        <v>1</v>
      </c>
      <c r="U1535" s="1">
        <f>IF(OR(Tabela2[[#This Row],[MTRANS]]="Walking",Tabela2[[#This Row],[MTRANS]]="Bike"),Tabela2[[#This Row],[FAF_atividade_fisica_frequente_em_horas]]+1,M1535)</f>
        <v>1.5433859999999999</v>
      </c>
      <c r="V1535">
        <f>(Tabela2[[#This Row],[SMOKE]]+Tabela2[[#This Row],[CALC_bebe_alcool_frequentemente]])</f>
        <v>0</v>
      </c>
      <c r="W1535" s="8">
        <f>(Tabela2[[#This Row],[Weight]]/(Tabela2[[#This Row],[Height]] ^2))</f>
        <v>37.832271753256407</v>
      </c>
    </row>
    <row r="1536" spans="1:23" x14ac:dyDescent="0.25">
      <c r="A1536" t="s">
        <v>15</v>
      </c>
      <c r="B1536" s="7">
        <v>20.013905999999999</v>
      </c>
      <c r="C1536" s="4">
        <v>1.647821</v>
      </c>
      <c r="D1536" s="7">
        <v>106.509947</v>
      </c>
      <c r="E1536">
        <v>1</v>
      </c>
      <c r="F1536">
        <v>1</v>
      </c>
      <c r="G1536" s="2">
        <v>2.8697780000000002</v>
      </c>
      <c r="H1536" s="2">
        <v>1.4689479999999999</v>
      </c>
      <c r="I1536">
        <v>1</v>
      </c>
      <c r="J1536">
        <v>0</v>
      </c>
      <c r="K1536" s="2">
        <v>1.6560820000000001</v>
      </c>
      <c r="L1536">
        <v>0</v>
      </c>
      <c r="M1536" s="7">
        <v>0</v>
      </c>
      <c r="N1536" s="7">
        <v>1.4440329999999999</v>
      </c>
      <c r="O1536">
        <v>0</v>
      </c>
      <c r="P1536" t="s">
        <v>14</v>
      </c>
      <c r="Q1536">
        <v>5</v>
      </c>
      <c r="R1536" s="8">
        <f>(Tabela2[[#This Row],[FAF_atividade_fisica_frequente_em_horas]]+ 0.1)</f>
        <v>0.1</v>
      </c>
      <c r="S1536" s="1">
        <f>(Tabela2[[#This Row],[TUE_tempo_uso_aparelhos_em_horas]]/Tabela2[[#This Row],[FAF_Var]])</f>
        <v>14.440329999999998</v>
      </c>
      <c r="T1536">
        <f>(Tabela2[[#This Row],[CAEC_lanche_entre_refeicoes]]*Tabela2[[#This Row],[FAVC_consumo_frequente_de_alimentos_mt_caloricos]])</f>
        <v>1</v>
      </c>
      <c r="U1536" s="1">
        <f>IF(OR(Tabela2[[#This Row],[MTRANS]]="Walking",Tabela2[[#This Row],[MTRANS]]="Bike"),Tabela2[[#This Row],[FAF_atividade_fisica_frequente_em_horas]]+1,M1536)</f>
        <v>0</v>
      </c>
      <c r="V1536">
        <f>(Tabela2[[#This Row],[SMOKE]]+Tabela2[[#This Row],[CALC_bebe_alcool_frequentemente]])</f>
        <v>0</v>
      </c>
      <c r="W1536" s="8">
        <f>(Tabela2[[#This Row],[Weight]]/(Tabela2[[#This Row],[Height]] ^2))</f>
        <v>39.225645768983163</v>
      </c>
    </row>
    <row r="1537" spans="1:23" x14ac:dyDescent="0.25">
      <c r="A1537" t="s">
        <v>15</v>
      </c>
      <c r="B1537" s="7">
        <v>30.020189999999999</v>
      </c>
      <c r="C1537" s="4">
        <v>1.75834</v>
      </c>
      <c r="D1537" s="7">
        <v>112.010504</v>
      </c>
      <c r="E1537">
        <v>1</v>
      </c>
      <c r="F1537">
        <v>1</v>
      </c>
      <c r="G1537" s="2">
        <v>1.868212</v>
      </c>
      <c r="H1537" s="2">
        <v>3</v>
      </c>
      <c r="I1537">
        <v>1</v>
      </c>
      <c r="J1537">
        <v>0</v>
      </c>
      <c r="K1537" s="2">
        <v>2.0233279999999998</v>
      </c>
      <c r="L1537">
        <v>0</v>
      </c>
      <c r="M1537" s="7">
        <v>0</v>
      </c>
      <c r="N1537" s="7">
        <v>0.61399199999999998</v>
      </c>
      <c r="O1537">
        <v>1</v>
      </c>
      <c r="P1537" t="s">
        <v>17</v>
      </c>
      <c r="Q1537">
        <v>5</v>
      </c>
      <c r="R1537" s="8">
        <f>(Tabela2[[#This Row],[FAF_atividade_fisica_frequente_em_horas]]+ 0.1)</f>
        <v>0.1</v>
      </c>
      <c r="S1537" s="1">
        <f>(Tabela2[[#This Row],[TUE_tempo_uso_aparelhos_em_horas]]/Tabela2[[#This Row],[FAF_Var]])</f>
        <v>6.1399199999999992</v>
      </c>
      <c r="T1537">
        <f>(Tabela2[[#This Row],[CAEC_lanche_entre_refeicoes]]*Tabela2[[#This Row],[FAVC_consumo_frequente_de_alimentos_mt_caloricos]])</f>
        <v>1</v>
      </c>
      <c r="U1537" s="1">
        <f>IF(OR(Tabela2[[#This Row],[MTRANS]]="Walking",Tabela2[[#This Row],[MTRANS]]="Bike"),Tabela2[[#This Row],[FAF_atividade_fisica_frequente_em_horas]]+1,M1537)</f>
        <v>0</v>
      </c>
      <c r="V1537">
        <f>(Tabela2[[#This Row],[SMOKE]]+Tabela2[[#This Row],[CALC_bebe_alcool_frequentemente]])</f>
        <v>1</v>
      </c>
      <c r="W1537" s="8">
        <f>(Tabela2[[#This Row],[Weight]]/(Tabela2[[#This Row],[Height]] ^2))</f>
        <v>36.228724124784911</v>
      </c>
    </row>
    <row r="1538" spans="1:23" x14ac:dyDescent="0.25">
      <c r="A1538" t="s">
        <v>15</v>
      </c>
      <c r="B1538" s="7">
        <v>25.154620000000001</v>
      </c>
      <c r="C1538" s="4">
        <v>1.7583979999999999</v>
      </c>
      <c r="D1538" s="7">
        <v>112.089022</v>
      </c>
      <c r="E1538">
        <v>1</v>
      </c>
      <c r="F1538">
        <v>1</v>
      </c>
      <c r="G1538" s="2">
        <v>1.108663</v>
      </c>
      <c r="H1538" s="2">
        <v>3</v>
      </c>
      <c r="I1538">
        <v>1</v>
      </c>
      <c r="J1538">
        <v>0</v>
      </c>
      <c r="K1538" s="2">
        <v>2</v>
      </c>
      <c r="L1538">
        <v>0</v>
      </c>
      <c r="M1538" s="7">
        <v>1.230219</v>
      </c>
      <c r="N1538" s="7">
        <v>1.7160000000000001E-3</v>
      </c>
      <c r="O1538">
        <v>1</v>
      </c>
      <c r="P1538" t="s">
        <v>17</v>
      </c>
      <c r="Q1538">
        <v>5</v>
      </c>
      <c r="R1538" s="8">
        <f>(Tabela2[[#This Row],[FAF_atividade_fisica_frequente_em_horas]]+ 0.1)</f>
        <v>1.330219</v>
      </c>
      <c r="S1538" s="1">
        <f>(Tabela2[[#This Row],[TUE_tempo_uso_aparelhos_em_horas]]/Tabela2[[#This Row],[FAF_Var]])</f>
        <v>1.2900131482109338E-3</v>
      </c>
      <c r="T1538">
        <f>(Tabela2[[#This Row],[CAEC_lanche_entre_refeicoes]]*Tabela2[[#This Row],[FAVC_consumo_frequente_de_alimentos_mt_caloricos]])</f>
        <v>1</v>
      </c>
      <c r="U1538" s="1">
        <f>IF(OR(Tabela2[[#This Row],[MTRANS]]="Walking",Tabela2[[#This Row],[MTRANS]]="Bike"),Tabela2[[#This Row],[FAF_atividade_fisica_frequente_em_horas]]+1,M1538)</f>
        <v>1.230219</v>
      </c>
      <c r="V1538">
        <f>(Tabela2[[#This Row],[SMOKE]]+Tabela2[[#This Row],[CALC_bebe_alcool_frequentemente]])</f>
        <v>1</v>
      </c>
      <c r="W1538" s="8">
        <f>(Tabela2[[#This Row],[Weight]]/(Tabela2[[#This Row],[Height]] ^2))</f>
        <v>36.251728405852582</v>
      </c>
    </row>
    <row r="1539" spans="1:23" x14ac:dyDescent="0.25">
      <c r="A1539" t="s">
        <v>15</v>
      </c>
      <c r="B1539" s="7">
        <v>30.870723999999999</v>
      </c>
      <c r="C1539" s="4">
        <v>1.670774</v>
      </c>
      <c r="D1539" s="7">
        <v>101.626189</v>
      </c>
      <c r="E1539">
        <v>1</v>
      </c>
      <c r="F1539">
        <v>1</v>
      </c>
      <c r="G1539" s="2">
        <v>2.9077440000000001</v>
      </c>
      <c r="H1539" s="2">
        <v>3.9909249999999998</v>
      </c>
      <c r="I1539">
        <v>1</v>
      </c>
      <c r="J1539">
        <v>0</v>
      </c>
      <c r="K1539" s="2">
        <v>1</v>
      </c>
      <c r="L1539">
        <v>0</v>
      </c>
      <c r="M1539" s="7">
        <v>1.9997499999999999</v>
      </c>
      <c r="N1539" s="7">
        <v>0</v>
      </c>
      <c r="O1539">
        <v>0</v>
      </c>
      <c r="P1539" t="s">
        <v>14</v>
      </c>
      <c r="Q1539">
        <v>5</v>
      </c>
      <c r="R1539" s="8">
        <f>(Tabela2[[#This Row],[FAF_atividade_fisica_frequente_em_horas]]+ 0.1)</f>
        <v>2.0997499999999998</v>
      </c>
      <c r="S1539" s="1">
        <f>(Tabela2[[#This Row],[TUE_tempo_uso_aparelhos_em_horas]]/Tabela2[[#This Row],[FAF_Var]])</f>
        <v>0</v>
      </c>
      <c r="T1539">
        <f>(Tabela2[[#This Row],[CAEC_lanche_entre_refeicoes]]*Tabela2[[#This Row],[FAVC_consumo_frequente_de_alimentos_mt_caloricos]])</f>
        <v>1</v>
      </c>
      <c r="U1539" s="1">
        <f>IF(OR(Tabela2[[#This Row],[MTRANS]]="Walking",Tabela2[[#This Row],[MTRANS]]="Bike"),Tabela2[[#This Row],[FAF_atividade_fisica_frequente_em_horas]]+1,M1539)</f>
        <v>1.9997499999999999</v>
      </c>
      <c r="V1539">
        <f>(Tabela2[[#This Row],[SMOKE]]+Tabela2[[#This Row],[CALC_bebe_alcool_frequentemente]])</f>
        <v>0</v>
      </c>
      <c r="W1539" s="8">
        <f>(Tabela2[[#This Row],[Weight]]/(Tabela2[[#This Row],[Height]] ^2))</f>
        <v>36.405770177971078</v>
      </c>
    </row>
    <row r="1540" spans="1:23" x14ac:dyDescent="0.25">
      <c r="A1540" t="s">
        <v>15</v>
      </c>
      <c r="B1540" s="7">
        <v>28.712994999999999</v>
      </c>
      <c r="C1540" s="4">
        <v>1.6655850000000001</v>
      </c>
      <c r="D1540" s="7">
        <v>98.661760000000001</v>
      </c>
      <c r="E1540">
        <v>1</v>
      </c>
      <c r="F1540">
        <v>1</v>
      </c>
      <c r="G1540" s="2">
        <v>2.9580099999999998</v>
      </c>
      <c r="H1540" s="2">
        <v>2.8342529999999999</v>
      </c>
      <c r="I1540">
        <v>1</v>
      </c>
      <c r="J1540">
        <v>0</v>
      </c>
      <c r="K1540" s="2">
        <v>1</v>
      </c>
      <c r="L1540">
        <v>0</v>
      </c>
      <c r="M1540" s="7">
        <v>1.9998860000000001</v>
      </c>
      <c r="N1540" s="7">
        <v>0</v>
      </c>
      <c r="O1540">
        <v>0</v>
      </c>
      <c r="P1540" t="s">
        <v>14</v>
      </c>
      <c r="Q1540">
        <v>5</v>
      </c>
      <c r="R1540" s="8">
        <f>(Tabela2[[#This Row],[FAF_atividade_fisica_frequente_em_horas]]+ 0.1)</f>
        <v>2.0998860000000001</v>
      </c>
      <c r="S1540" s="1">
        <f>(Tabela2[[#This Row],[TUE_tempo_uso_aparelhos_em_horas]]/Tabela2[[#This Row],[FAF_Var]])</f>
        <v>0</v>
      </c>
      <c r="T1540">
        <f>(Tabela2[[#This Row],[CAEC_lanche_entre_refeicoes]]*Tabela2[[#This Row],[FAVC_consumo_frequente_de_alimentos_mt_caloricos]])</f>
        <v>1</v>
      </c>
      <c r="U1540" s="1">
        <f>IF(OR(Tabela2[[#This Row],[MTRANS]]="Walking",Tabela2[[#This Row],[MTRANS]]="Bike"),Tabela2[[#This Row],[FAF_atividade_fisica_frequente_em_horas]]+1,M1540)</f>
        <v>1.9998860000000001</v>
      </c>
      <c r="V1540">
        <f>(Tabela2[[#This Row],[SMOKE]]+Tabela2[[#This Row],[CALC_bebe_alcool_frequentemente]])</f>
        <v>0</v>
      </c>
      <c r="W1540" s="8">
        <f>(Tabela2[[#This Row],[Weight]]/(Tabela2[[#This Row],[Height]] ^2))</f>
        <v>35.564381187027841</v>
      </c>
    </row>
    <row r="1541" spans="1:23" x14ac:dyDescent="0.25">
      <c r="A1541" t="s">
        <v>15</v>
      </c>
      <c r="B1541" s="7">
        <v>30.710511</v>
      </c>
      <c r="C1541" s="4">
        <v>1.9141859999999999</v>
      </c>
      <c r="D1541" s="7">
        <v>129.852531</v>
      </c>
      <c r="E1541">
        <v>1</v>
      </c>
      <c r="F1541">
        <v>1</v>
      </c>
      <c r="G1541" s="2">
        <v>2.1972610000000001</v>
      </c>
      <c r="H1541" s="2">
        <v>3</v>
      </c>
      <c r="I1541">
        <v>1</v>
      </c>
      <c r="J1541">
        <v>0</v>
      </c>
      <c r="K1541" s="2">
        <v>1.1118399999999999</v>
      </c>
      <c r="L1541">
        <v>0</v>
      </c>
      <c r="M1541" s="7">
        <v>0.90684299999999995</v>
      </c>
      <c r="N1541" s="7">
        <v>0.97647300000000004</v>
      </c>
      <c r="O1541">
        <v>1</v>
      </c>
      <c r="P1541" t="s">
        <v>14</v>
      </c>
      <c r="Q1541">
        <v>5</v>
      </c>
      <c r="R1541" s="8">
        <f>(Tabela2[[#This Row],[FAF_atividade_fisica_frequente_em_horas]]+ 0.1)</f>
        <v>1.0068429999999999</v>
      </c>
      <c r="S1541" s="1">
        <f>(Tabela2[[#This Row],[TUE_tempo_uso_aparelhos_em_horas]]/Tabela2[[#This Row],[FAF_Var]])</f>
        <v>0.96983640945013283</v>
      </c>
      <c r="T1541">
        <f>(Tabela2[[#This Row],[CAEC_lanche_entre_refeicoes]]*Tabela2[[#This Row],[FAVC_consumo_frequente_de_alimentos_mt_caloricos]])</f>
        <v>1</v>
      </c>
      <c r="U1541" s="1">
        <f>IF(OR(Tabela2[[#This Row],[MTRANS]]="Walking",Tabela2[[#This Row],[MTRANS]]="Bike"),Tabela2[[#This Row],[FAF_atividade_fisica_frequente_em_horas]]+1,M1541)</f>
        <v>0.90684299999999995</v>
      </c>
      <c r="V1541">
        <f>(Tabela2[[#This Row],[SMOKE]]+Tabela2[[#This Row],[CALC_bebe_alcool_frequentemente]])</f>
        <v>1</v>
      </c>
      <c r="W1541" s="8">
        <f>(Tabela2[[#This Row],[Weight]]/(Tabela2[[#This Row],[Height]] ^2))</f>
        <v>35.439056242457362</v>
      </c>
    </row>
    <row r="1542" spans="1:23" x14ac:dyDescent="0.25">
      <c r="A1542" t="s">
        <v>15</v>
      </c>
      <c r="B1542" s="7">
        <v>29.827480999999999</v>
      </c>
      <c r="C1542" s="4">
        <v>1.8995880000000001</v>
      </c>
      <c r="D1542" s="7">
        <v>124.269251</v>
      </c>
      <c r="E1542">
        <v>1</v>
      </c>
      <c r="F1542">
        <v>1</v>
      </c>
      <c r="G1542" s="2">
        <v>2.048962</v>
      </c>
      <c r="H1542" s="2">
        <v>3</v>
      </c>
      <c r="I1542">
        <v>1</v>
      </c>
      <c r="J1542">
        <v>0</v>
      </c>
      <c r="K1542" s="2">
        <v>2.8228710000000001</v>
      </c>
      <c r="L1542">
        <v>0</v>
      </c>
      <c r="M1542" s="7">
        <v>1.0661689999999999</v>
      </c>
      <c r="N1542" s="7">
        <v>0</v>
      </c>
      <c r="O1542">
        <v>1</v>
      </c>
      <c r="P1542" t="s">
        <v>14</v>
      </c>
      <c r="Q1542">
        <v>5</v>
      </c>
      <c r="R1542" s="8">
        <f>(Tabela2[[#This Row],[FAF_atividade_fisica_frequente_em_horas]]+ 0.1)</f>
        <v>1.166169</v>
      </c>
      <c r="S1542" s="1">
        <f>(Tabela2[[#This Row],[TUE_tempo_uso_aparelhos_em_horas]]/Tabela2[[#This Row],[FAF_Var]])</f>
        <v>0</v>
      </c>
      <c r="T1542">
        <f>(Tabela2[[#This Row],[CAEC_lanche_entre_refeicoes]]*Tabela2[[#This Row],[FAVC_consumo_frequente_de_alimentos_mt_caloricos]])</f>
        <v>1</v>
      </c>
      <c r="U1542" s="1">
        <f>IF(OR(Tabela2[[#This Row],[MTRANS]]="Walking",Tabela2[[#This Row],[MTRANS]]="Bike"),Tabela2[[#This Row],[FAF_atividade_fisica_frequente_em_horas]]+1,M1542)</f>
        <v>1.0661689999999999</v>
      </c>
      <c r="V1542">
        <f>(Tabela2[[#This Row],[SMOKE]]+Tabela2[[#This Row],[CALC_bebe_alcool_frequentemente]])</f>
        <v>1</v>
      </c>
      <c r="W1542" s="8">
        <f>(Tabela2[[#This Row],[Weight]]/(Tabela2[[#This Row],[Height]] ^2))</f>
        <v>34.438549071104887</v>
      </c>
    </row>
    <row r="1543" spans="1:23" x14ac:dyDescent="0.25">
      <c r="A1543" t="s">
        <v>15</v>
      </c>
      <c r="B1543" s="7">
        <v>31.868929999999999</v>
      </c>
      <c r="C1543" s="4">
        <v>1.75</v>
      </c>
      <c r="D1543" s="7">
        <v>118.102897</v>
      </c>
      <c r="E1543">
        <v>1</v>
      </c>
      <c r="F1543">
        <v>1</v>
      </c>
      <c r="G1543" s="2">
        <v>2.1391960000000001</v>
      </c>
      <c r="H1543" s="2">
        <v>3</v>
      </c>
      <c r="I1543">
        <v>1</v>
      </c>
      <c r="J1543">
        <v>0</v>
      </c>
      <c r="K1543" s="2">
        <v>2.0484300000000002</v>
      </c>
      <c r="L1543">
        <v>0</v>
      </c>
      <c r="M1543" s="7">
        <v>0.36802600000000002</v>
      </c>
      <c r="N1543" s="7">
        <v>0.36098599999999997</v>
      </c>
      <c r="O1543">
        <v>1</v>
      </c>
      <c r="P1543" t="s">
        <v>17</v>
      </c>
      <c r="Q1543">
        <v>5</v>
      </c>
      <c r="R1543" s="8">
        <f>(Tabela2[[#This Row],[FAF_atividade_fisica_frequente_em_horas]]+ 0.1)</f>
        <v>0.46802600000000005</v>
      </c>
      <c r="S1543" s="1">
        <f>(Tabela2[[#This Row],[TUE_tempo_uso_aparelhos_em_horas]]/Tabela2[[#This Row],[FAF_Var]])</f>
        <v>0.7712947571288773</v>
      </c>
      <c r="T1543">
        <f>(Tabela2[[#This Row],[CAEC_lanche_entre_refeicoes]]*Tabela2[[#This Row],[FAVC_consumo_frequente_de_alimentos_mt_caloricos]])</f>
        <v>1</v>
      </c>
      <c r="U1543" s="1">
        <f>IF(OR(Tabela2[[#This Row],[MTRANS]]="Walking",Tabela2[[#This Row],[MTRANS]]="Bike"),Tabela2[[#This Row],[FAF_atividade_fisica_frequente_em_horas]]+1,M1543)</f>
        <v>0.36802600000000002</v>
      </c>
      <c r="V1543">
        <f>(Tabela2[[#This Row],[SMOKE]]+Tabela2[[#This Row],[CALC_bebe_alcool_frequentemente]])</f>
        <v>1</v>
      </c>
      <c r="W1543" s="8">
        <f>(Tabela2[[#This Row],[Weight]]/(Tabela2[[#This Row],[Height]] ^2))</f>
        <v>38.56421126530612</v>
      </c>
    </row>
    <row r="1544" spans="1:23" x14ac:dyDescent="0.25">
      <c r="A1544" t="s">
        <v>15</v>
      </c>
      <c r="B1544" s="7">
        <v>36.542884999999998</v>
      </c>
      <c r="C1544" s="4">
        <v>1.75</v>
      </c>
      <c r="D1544" s="7">
        <v>119.434645</v>
      </c>
      <c r="E1544">
        <v>1</v>
      </c>
      <c r="F1544">
        <v>1</v>
      </c>
      <c r="G1544" s="2">
        <v>2.7298900000000001</v>
      </c>
      <c r="H1544" s="2">
        <v>3</v>
      </c>
      <c r="I1544">
        <v>1</v>
      </c>
      <c r="J1544">
        <v>0</v>
      </c>
      <c r="K1544" s="2">
        <v>2.030084</v>
      </c>
      <c r="L1544">
        <v>0</v>
      </c>
      <c r="M1544" s="7">
        <v>0.59260699999999999</v>
      </c>
      <c r="N1544" s="7">
        <v>0.754417</v>
      </c>
      <c r="O1544">
        <v>1</v>
      </c>
      <c r="P1544" t="s">
        <v>17</v>
      </c>
      <c r="Q1544">
        <v>5</v>
      </c>
      <c r="R1544" s="8">
        <f>(Tabela2[[#This Row],[FAF_atividade_fisica_frequente_em_horas]]+ 0.1)</f>
        <v>0.69260699999999997</v>
      </c>
      <c r="S1544" s="1">
        <f>(Tabela2[[#This Row],[TUE_tempo_uso_aparelhos_em_horas]]/Tabela2[[#This Row],[FAF_Var]])</f>
        <v>1.0892425285912501</v>
      </c>
      <c r="T1544">
        <f>(Tabela2[[#This Row],[CAEC_lanche_entre_refeicoes]]*Tabela2[[#This Row],[FAVC_consumo_frequente_de_alimentos_mt_caloricos]])</f>
        <v>1</v>
      </c>
      <c r="U1544" s="1">
        <f>IF(OR(Tabela2[[#This Row],[MTRANS]]="Walking",Tabela2[[#This Row],[MTRANS]]="Bike"),Tabela2[[#This Row],[FAF_atividade_fisica_frequente_em_horas]]+1,M1544)</f>
        <v>0.59260699999999999</v>
      </c>
      <c r="V1544">
        <f>(Tabela2[[#This Row],[SMOKE]]+Tabela2[[#This Row],[CALC_bebe_alcool_frequentemente]])</f>
        <v>1</v>
      </c>
      <c r="W1544" s="8">
        <f>(Tabela2[[#This Row],[Weight]]/(Tabela2[[#This Row],[Height]] ^2))</f>
        <v>38.99906775510204</v>
      </c>
    </row>
    <row r="1545" spans="1:23" x14ac:dyDescent="0.25">
      <c r="A1545" t="s">
        <v>15</v>
      </c>
      <c r="B1545" s="7">
        <v>21.556360999999999</v>
      </c>
      <c r="C1545" s="4">
        <v>1.7736639999999999</v>
      </c>
      <c r="D1545" s="7">
        <v>116.160329</v>
      </c>
      <c r="E1545">
        <v>1</v>
      </c>
      <c r="F1545">
        <v>1</v>
      </c>
      <c r="G1545" s="2">
        <v>2</v>
      </c>
      <c r="H1545" s="2">
        <v>3</v>
      </c>
      <c r="I1545">
        <v>1</v>
      </c>
      <c r="J1545">
        <v>0</v>
      </c>
      <c r="K1545" s="2">
        <v>2</v>
      </c>
      <c r="L1545">
        <v>0</v>
      </c>
      <c r="M1545" s="7">
        <v>1.3991830000000001</v>
      </c>
      <c r="N1545" s="7">
        <v>1</v>
      </c>
      <c r="O1545">
        <v>1</v>
      </c>
      <c r="P1545" t="s">
        <v>14</v>
      </c>
      <c r="Q1545">
        <v>5</v>
      </c>
      <c r="R1545" s="8">
        <f>(Tabela2[[#This Row],[FAF_atividade_fisica_frequente_em_horas]]+ 0.1)</f>
        <v>1.4991830000000002</v>
      </c>
      <c r="S1545" s="1">
        <f>(Tabela2[[#This Row],[TUE_tempo_uso_aparelhos_em_horas]]/Tabela2[[#This Row],[FAF_Var]])</f>
        <v>0.66702997566007616</v>
      </c>
      <c r="T1545">
        <f>(Tabela2[[#This Row],[CAEC_lanche_entre_refeicoes]]*Tabela2[[#This Row],[FAVC_consumo_frequente_de_alimentos_mt_caloricos]])</f>
        <v>1</v>
      </c>
      <c r="U1545" s="1">
        <f>IF(OR(Tabela2[[#This Row],[MTRANS]]="Walking",Tabela2[[#This Row],[MTRANS]]="Bike"),Tabela2[[#This Row],[FAF_atividade_fisica_frequente_em_horas]]+1,M1545)</f>
        <v>1.3991830000000001</v>
      </c>
      <c r="V1545">
        <f>(Tabela2[[#This Row],[SMOKE]]+Tabela2[[#This Row],[CALC_bebe_alcool_frequentemente]])</f>
        <v>1</v>
      </c>
      <c r="W1545" s="8">
        <f>(Tabela2[[#This Row],[Weight]]/(Tabela2[[#This Row],[Height]] ^2))</f>
        <v>36.924543167423948</v>
      </c>
    </row>
    <row r="1546" spans="1:23" x14ac:dyDescent="0.25">
      <c r="A1546" t="s">
        <v>15</v>
      </c>
      <c r="B1546" s="7">
        <v>23.963649</v>
      </c>
      <c r="C1546" s="4">
        <v>1.7929980000000001</v>
      </c>
      <c r="D1546" s="7">
        <v>116.102615</v>
      </c>
      <c r="E1546">
        <v>1</v>
      </c>
      <c r="F1546">
        <v>1</v>
      </c>
      <c r="G1546" s="2">
        <v>1.9946790000000001</v>
      </c>
      <c r="H1546" s="2">
        <v>3</v>
      </c>
      <c r="I1546">
        <v>1</v>
      </c>
      <c r="J1546">
        <v>0</v>
      </c>
      <c r="K1546" s="2">
        <v>2</v>
      </c>
      <c r="L1546">
        <v>0</v>
      </c>
      <c r="M1546" s="7">
        <v>0.96661699999999995</v>
      </c>
      <c r="N1546" s="7">
        <v>0.73900600000000005</v>
      </c>
      <c r="O1546">
        <v>1</v>
      </c>
      <c r="P1546" t="s">
        <v>14</v>
      </c>
      <c r="Q1546">
        <v>5</v>
      </c>
      <c r="R1546" s="8">
        <f>(Tabela2[[#This Row],[FAF_atividade_fisica_frequente_em_horas]]+ 0.1)</f>
        <v>1.0666169999999999</v>
      </c>
      <c r="S1546" s="1">
        <f>(Tabela2[[#This Row],[TUE_tempo_uso_aparelhos_em_horas]]/Tabela2[[#This Row],[FAF_Var]])</f>
        <v>0.69285038584609104</v>
      </c>
      <c r="T1546">
        <f>(Tabela2[[#This Row],[CAEC_lanche_entre_refeicoes]]*Tabela2[[#This Row],[FAVC_consumo_frequente_de_alimentos_mt_caloricos]])</f>
        <v>1</v>
      </c>
      <c r="U1546" s="1">
        <f>IF(OR(Tabela2[[#This Row],[MTRANS]]="Walking",Tabela2[[#This Row],[MTRANS]]="Bike"),Tabela2[[#This Row],[FAF_atividade_fisica_frequente_em_horas]]+1,M1546)</f>
        <v>0.96661699999999995</v>
      </c>
      <c r="V1546">
        <f>(Tabela2[[#This Row],[SMOKE]]+Tabela2[[#This Row],[CALC_bebe_alcool_frequentemente]])</f>
        <v>1</v>
      </c>
      <c r="W1546" s="8">
        <f>(Tabela2[[#This Row],[Weight]]/(Tabela2[[#This Row],[Height]] ^2))</f>
        <v>36.114565260613354</v>
      </c>
    </row>
    <row r="1547" spans="1:23" x14ac:dyDescent="0.25">
      <c r="A1547" t="s">
        <v>15</v>
      </c>
      <c r="B1547" s="7">
        <v>24.145295000000001</v>
      </c>
      <c r="C1547" s="4">
        <v>1.82559</v>
      </c>
      <c r="D1547" s="7">
        <v>120.86038600000001</v>
      </c>
      <c r="E1547">
        <v>1</v>
      </c>
      <c r="F1547">
        <v>1</v>
      </c>
      <c r="G1547" s="2">
        <v>2.4034209999999998</v>
      </c>
      <c r="H1547" s="2">
        <v>3</v>
      </c>
      <c r="I1547">
        <v>1</v>
      </c>
      <c r="J1547">
        <v>0</v>
      </c>
      <c r="K1547" s="2">
        <v>2.4906130000000002</v>
      </c>
      <c r="L1547">
        <v>0</v>
      </c>
      <c r="M1547" s="7">
        <v>2</v>
      </c>
      <c r="N1547" s="7">
        <v>0.70776799999999995</v>
      </c>
      <c r="O1547">
        <v>1</v>
      </c>
      <c r="P1547" t="s">
        <v>14</v>
      </c>
      <c r="Q1547">
        <v>5</v>
      </c>
      <c r="R1547" s="8">
        <f>(Tabela2[[#This Row],[FAF_atividade_fisica_frequente_em_horas]]+ 0.1)</f>
        <v>2.1</v>
      </c>
      <c r="S1547" s="1">
        <f>(Tabela2[[#This Row],[TUE_tempo_uso_aparelhos_em_horas]]/Tabela2[[#This Row],[FAF_Var]])</f>
        <v>0.33703238095238092</v>
      </c>
      <c r="T1547">
        <f>(Tabela2[[#This Row],[CAEC_lanche_entre_refeicoes]]*Tabela2[[#This Row],[FAVC_consumo_frequente_de_alimentos_mt_caloricos]])</f>
        <v>1</v>
      </c>
      <c r="U1547" s="1">
        <f>IF(OR(Tabela2[[#This Row],[MTRANS]]="Walking",Tabela2[[#This Row],[MTRANS]]="Bike"),Tabela2[[#This Row],[FAF_atividade_fisica_frequente_em_horas]]+1,M1547)</f>
        <v>2</v>
      </c>
      <c r="V1547">
        <f>(Tabela2[[#This Row],[SMOKE]]+Tabela2[[#This Row],[CALC_bebe_alcool_frequentemente]])</f>
        <v>1</v>
      </c>
      <c r="W1547" s="8">
        <f>(Tabela2[[#This Row],[Weight]]/(Tabela2[[#This Row],[Height]] ^2))</f>
        <v>36.26414818039963</v>
      </c>
    </row>
    <row r="1548" spans="1:23" x14ac:dyDescent="0.25">
      <c r="A1548" t="s">
        <v>15</v>
      </c>
      <c r="B1548" s="7">
        <v>25.298400000000001</v>
      </c>
      <c r="C1548" s="4">
        <v>1.8272790000000001</v>
      </c>
      <c r="D1548" s="7">
        <v>120.99607399999999</v>
      </c>
      <c r="E1548">
        <v>1</v>
      </c>
      <c r="F1548">
        <v>1</v>
      </c>
      <c r="G1548" s="2">
        <v>3</v>
      </c>
      <c r="H1548" s="2">
        <v>3</v>
      </c>
      <c r="I1548">
        <v>1</v>
      </c>
      <c r="J1548">
        <v>0</v>
      </c>
      <c r="K1548" s="2">
        <v>3</v>
      </c>
      <c r="L1548">
        <v>0</v>
      </c>
      <c r="M1548" s="7">
        <v>1.110215</v>
      </c>
      <c r="N1548" s="7">
        <v>0.39635199999999998</v>
      </c>
      <c r="O1548">
        <v>1</v>
      </c>
      <c r="P1548" t="s">
        <v>14</v>
      </c>
      <c r="Q1548">
        <v>5</v>
      </c>
      <c r="R1548" s="8">
        <f>(Tabela2[[#This Row],[FAF_atividade_fisica_frequente_em_horas]]+ 0.1)</f>
        <v>1.210215</v>
      </c>
      <c r="S1548" s="1">
        <f>(Tabela2[[#This Row],[TUE_tempo_uso_aparelhos_em_horas]]/Tabela2[[#This Row],[FAF_Var]])</f>
        <v>0.32750544324768738</v>
      </c>
      <c r="T1548">
        <f>(Tabela2[[#This Row],[CAEC_lanche_entre_refeicoes]]*Tabela2[[#This Row],[FAVC_consumo_frequente_de_alimentos_mt_caloricos]])</f>
        <v>1</v>
      </c>
      <c r="U1548" s="1">
        <f>IF(OR(Tabela2[[#This Row],[MTRANS]]="Walking",Tabela2[[#This Row],[MTRANS]]="Bike"),Tabela2[[#This Row],[FAF_atividade_fisica_frequente_em_horas]]+1,M1548)</f>
        <v>1.110215</v>
      </c>
      <c r="V1548">
        <f>(Tabela2[[#This Row],[SMOKE]]+Tabela2[[#This Row],[CALC_bebe_alcool_frequentemente]])</f>
        <v>1</v>
      </c>
      <c r="W1548" s="8">
        <f>(Tabela2[[#This Row],[Weight]]/(Tabela2[[#This Row],[Height]] ^2))</f>
        <v>36.237777375511953</v>
      </c>
    </row>
    <row r="1549" spans="1:23" x14ac:dyDescent="0.25">
      <c r="A1549" t="s">
        <v>15</v>
      </c>
      <c r="B1549" s="7">
        <v>31.755386999999999</v>
      </c>
      <c r="C1549" s="4">
        <v>1.7754160000000001</v>
      </c>
      <c r="D1549" s="7">
        <v>121.204668</v>
      </c>
      <c r="E1549">
        <v>1</v>
      </c>
      <c r="F1549">
        <v>1</v>
      </c>
      <c r="G1549" s="2">
        <v>2.758394</v>
      </c>
      <c r="H1549" s="2">
        <v>3</v>
      </c>
      <c r="I1549">
        <v>1</v>
      </c>
      <c r="J1549">
        <v>0</v>
      </c>
      <c r="K1549" s="2">
        <v>2.1613030000000002</v>
      </c>
      <c r="L1549">
        <v>0</v>
      </c>
      <c r="M1549" s="7">
        <v>0.42817300000000003</v>
      </c>
      <c r="N1549" s="7">
        <v>0.71632700000000005</v>
      </c>
      <c r="O1549">
        <v>1</v>
      </c>
      <c r="P1549" t="s">
        <v>17</v>
      </c>
      <c r="Q1549">
        <v>5</v>
      </c>
      <c r="R1549" s="8">
        <f>(Tabela2[[#This Row],[FAF_atividade_fisica_frequente_em_horas]]+ 0.1)</f>
        <v>0.528173</v>
      </c>
      <c r="S1549" s="1">
        <f>(Tabela2[[#This Row],[TUE_tempo_uso_aparelhos_em_horas]]/Tabela2[[#This Row],[FAF_Var]])</f>
        <v>1.3562355516090372</v>
      </c>
      <c r="T1549">
        <f>(Tabela2[[#This Row],[CAEC_lanche_entre_refeicoes]]*Tabela2[[#This Row],[FAVC_consumo_frequente_de_alimentos_mt_caloricos]])</f>
        <v>1</v>
      </c>
      <c r="U1549" s="1">
        <f>IF(OR(Tabela2[[#This Row],[MTRANS]]="Walking",Tabela2[[#This Row],[MTRANS]]="Bike"),Tabela2[[#This Row],[FAF_atividade_fisica_frequente_em_horas]]+1,M1549)</f>
        <v>0.42817300000000003</v>
      </c>
      <c r="V1549">
        <f>(Tabela2[[#This Row],[SMOKE]]+Tabela2[[#This Row],[CALC_bebe_alcool_frequentemente]])</f>
        <v>1</v>
      </c>
      <c r="W1549" s="8">
        <f>(Tabela2[[#This Row],[Weight]]/(Tabela2[[#This Row],[Height]] ^2))</f>
        <v>38.452013620133819</v>
      </c>
    </row>
    <row r="1550" spans="1:23" x14ac:dyDescent="0.25">
      <c r="A1550" t="s">
        <v>15</v>
      </c>
      <c r="B1550" s="7">
        <v>30.62865</v>
      </c>
      <c r="C1550" s="4">
        <v>1.766975</v>
      </c>
      <c r="D1550" s="7">
        <v>118.363376</v>
      </c>
      <c r="E1550">
        <v>1</v>
      </c>
      <c r="F1550">
        <v>1</v>
      </c>
      <c r="G1550" s="2">
        <v>2.9643190000000001</v>
      </c>
      <c r="H1550" s="2">
        <v>3</v>
      </c>
      <c r="I1550">
        <v>1</v>
      </c>
      <c r="J1550">
        <v>0</v>
      </c>
      <c r="K1550" s="2">
        <v>2.3772570000000002</v>
      </c>
      <c r="L1550">
        <v>0</v>
      </c>
      <c r="M1550" s="7">
        <v>0.61495900000000003</v>
      </c>
      <c r="N1550" s="7">
        <v>1.8750230000000001</v>
      </c>
      <c r="O1550">
        <v>1</v>
      </c>
      <c r="P1550" t="s">
        <v>17</v>
      </c>
      <c r="Q1550">
        <v>5</v>
      </c>
      <c r="R1550" s="8">
        <f>(Tabela2[[#This Row],[FAF_atividade_fisica_frequente_em_horas]]+ 0.1)</f>
        <v>0.71495900000000001</v>
      </c>
      <c r="S1550" s="1">
        <f>(Tabela2[[#This Row],[TUE_tempo_uso_aparelhos_em_horas]]/Tabela2[[#This Row],[FAF_Var]])</f>
        <v>2.6225601747792533</v>
      </c>
      <c r="T1550">
        <f>(Tabela2[[#This Row],[CAEC_lanche_entre_refeicoes]]*Tabela2[[#This Row],[FAVC_consumo_frequente_de_alimentos_mt_caloricos]])</f>
        <v>1</v>
      </c>
      <c r="U1550" s="1">
        <f>IF(OR(Tabela2[[#This Row],[MTRANS]]="Walking",Tabela2[[#This Row],[MTRANS]]="Bike"),Tabela2[[#This Row],[FAF_atividade_fisica_frequente_em_horas]]+1,M1550)</f>
        <v>0.61495900000000003</v>
      </c>
      <c r="V1550">
        <f>(Tabela2[[#This Row],[SMOKE]]+Tabela2[[#This Row],[CALC_bebe_alcool_frequentemente]])</f>
        <v>1</v>
      </c>
      <c r="W1550" s="8">
        <f>(Tabela2[[#This Row],[Weight]]/(Tabela2[[#This Row],[Height]] ^2))</f>
        <v>37.910240002129939</v>
      </c>
    </row>
    <row r="1551" spans="1:23" x14ac:dyDescent="0.25">
      <c r="A1551" t="s">
        <v>15</v>
      </c>
      <c r="B1551" s="7">
        <v>23.454557999999999</v>
      </c>
      <c r="C1551" s="4">
        <v>1.7542180000000001</v>
      </c>
      <c r="D1551" s="7">
        <v>117.384745</v>
      </c>
      <c r="E1551">
        <v>1</v>
      </c>
      <c r="F1551">
        <v>1</v>
      </c>
      <c r="G1551" s="2">
        <v>1.6170929999999999</v>
      </c>
      <c r="H1551" s="2">
        <v>3</v>
      </c>
      <c r="I1551">
        <v>1</v>
      </c>
      <c r="J1551">
        <v>0</v>
      </c>
      <c r="K1551" s="2">
        <v>2</v>
      </c>
      <c r="L1551">
        <v>0</v>
      </c>
      <c r="M1551" s="7">
        <v>1.818052</v>
      </c>
      <c r="N1551" s="7">
        <v>0.63182499999999997</v>
      </c>
      <c r="O1551">
        <v>1</v>
      </c>
      <c r="P1551" t="s">
        <v>14</v>
      </c>
      <c r="Q1551">
        <v>5</v>
      </c>
      <c r="R1551" s="8">
        <f>(Tabela2[[#This Row],[FAF_atividade_fisica_frequente_em_horas]]+ 0.1)</f>
        <v>1.9180520000000001</v>
      </c>
      <c r="S1551" s="1">
        <f>(Tabela2[[#This Row],[TUE_tempo_uso_aparelhos_em_horas]]/Tabela2[[#This Row],[FAF_Var]])</f>
        <v>0.32940973445975391</v>
      </c>
      <c r="T1551">
        <f>(Tabela2[[#This Row],[CAEC_lanche_entre_refeicoes]]*Tabela2[[#This Row],[FAVC_consumo_frequente_de_alimentos_mt_caloricos]])</f>
        <v>1</v>
      </c>
      <c r="U1551" s="1">
        <f>IF(OR(Tabela2[[#This Row],[MTRANS]]="Walking",Tabela2[[#This Row],[MTRANS]]="Bike"),Tabela2[[#This Row],[FAF_atividade_fisica_frequente_em_horas]]+1,M1551)</f>
        <v>1.818052</v>
      </c>
      <c r="V1551">
        <f>(Tabela2[[#This Row],[SMOKE]]+Tabela2[[#This Row],[CALC_bebe_alcool_frequentemente]])</f>
        <v>1</v>
      </c>
      <c r="W1551" s="8">
        <f>(Tabela2[[#This Row],[Weight]]/(Tabela2[[#This Row],[Height]] ^2))</f>
        <v>38.14560742176085</v>
      </c>
    </row>
    <row r="1552" spans="1:23" x14ac:dyDescent="0.25">
      <c r="A1552" t="s">
        <v>15</v>
      </c>
      <c r="B1552" s="7">
        <v>23.432227000000001</v>
      </c>
      <c r="C1552" s="4">
        <v>1.754996</v>
      </c>
      <c r="D1552" s="7">
        <v>119.087557</v>
      </c>
      <c r="E1552">
        <v>1</v>
      </c>
      <c r="F1552">
        <v>1</v>
      </c>
      <c r="G1552" s="2">
        <v>1.6311439999999999</v>
      </c>
      <c r="H1552" s="2">
        <v>3</v>
      </c>
      <c r="I1552">
        <v>1</v>
      </c>
      <c r="J1552">
        <v>0</v>
      </c>
      <c r="K1552" s="2">
        <v>2</v>
      </c>
      <c r="L1552">
        <v>0</v>
      </c>
      <c r="M1552" s="7">
        <v>1.593183</v>
      </c>
      <c r="N1552" s="7">
        <v>0.86373999999999995</v>
      </c>
      <c r="O1552">
        <v>1</v>
      </c>
      <c r="P1552" t="s">
        <v>14</v>
      </c>
      <c r="Q1552">
        <v>5</v>
      </c>
      <c r="R1552" s="8">
        <f>(Tabela2[[#This Row],[FAF_atividade_fisica_frequente_em_horas]]+ 0.1)</f>
        <v>1.6931830000000001</v>
      </c>
      <c r="S1552" s="1">
        <f>(Tabela2[[#This Row],[TUE_tempo_uso_aparelhos_em_horas]]/Tabela2[[#This Row],[FAF_Var]])</f>
        <v>0.51012796608517796</v>
      </c>
      <c r="T1552">
        <f>(Tabela2[[#This Row],[CAEC_lanche_entre_refeicoes]]*Tabela2[[#This Row],[FAVC_consumo_frequente_de_alimentos_mt_caloricos]])</f>
        <v>1</v>
      </c>
      <c r="U1552" s="1">
        <f>IF(OR(Tabela2[[#This Row],[MTRANS]]="Walking",Tabela2[[#This Row],[MTRANS]]="Bike"),Tabela2[[#This Row],[FAF_atividade_fisica_frequente_em_horas]]+1,M1552)</f>
        <v>1.593183</v>
      </c>
      <c r="V1552">
        <f>(Tabela2[[#This Row],[SMOKE]]+Tabela2[[#This Row],[CALC_bebe_alcool_frequentemente]])</f>
        <v>1</v>
      </c>
      <c r="W1552" s="8">
        <f>(Tabela2[[#This Row],[Weight]]/(Tabela2[[#This Row],[Height]] ^2))</f>
        <v>38.664653647654994</v>
      </c>
    </row>
    <row r="1553" spans="1:23" x14ac:dyDescent="0.25">
      <c r="A1553" t="s">
        <v>15</v>
      </c>
      <c r="B1553" s="7">
        <v>40.500210000000003</v>
      </c>
      <c r="C1553" s="4">
        <v>1.748103</v>
      </c>
      <c r="D1553" s="7">
        <v>108.30811199999999</v>
      </c>
      <c r="E1553">
        <v>1</v>
      </c>
      <c r="F1553">
        <v>1</v>
      </c>
      <c r="G1553" s="2">
        <v>2.3174589999999999</v>
      </c>
      <c r="H1553" s="2">
        <v>3.7343229999999998</v>
      </c>
      <c r="I1553">
        <v>1</v>
      </c>
      <c r="J1553">
        <v>0</v>
      </c>
      <c r="K1553" s="2">
        <v>1</v>
      </c>
      <c r="L1553">
        <v>0</v>
      </c>
      <c r="M1553" s="7">
        <v>1.6286369999999999</v>
      </c>
      <c r="N1553" s="7">
        <v>0</v>
      </c>
      <c r="O1553">
        <v>0</v>
      </c>
      <c r="P1553" t="s">
        <v>17</v>
      </c>
      <c r="Q1553">
        <v>5</v>
      </c>
      <c r="R1553" s="8">
        <f>(Tabela2[[#This Row],[FAF_atividade_fisica_frequente_em_horas]]+ 0.1)</f>
        <v>1.728637</v>
      </c>
      <c r="S1553" s="1">
        <f>(Tabela2[[#This Row],[TUE_tempo_uso_aparelhos_em_horas]]/Tabela2[[#This Row],[FAF_Var]])</f>
        <v>0</v>
      </c>
      <c r="T1553">
        <f>(Tabela2[[#This Row],[CAEC_lanche_entre_refeicoes]]*Tabela2[[#This Row],[FAVC_consumo_frequente_de_alimentos_mt_caloricos]])</f>
        <v>1</v>
      </c>
      <c r="U1553" s="1">
        <f>IF(OR(Tabela2[[#This Row],[MTRANS]]="Walking",Tabela2[[#This Row],[MTRANS]]="Bike"),Tabela2[[#This Row],[FAF_atividade_fisica_frequente_em_horas]]+1,M1553)</f>
        <v>1.6286369999999999</v>
      </c>
      <c r="V1553">
        <f>(Tabela2[[#This Row],[SMOKE]]+Tabela2[[#This Row],[CALC_bebe_alcool_frequentemente]])</f>
        <v>0</v>
      </c>
      <c r="W1553" s="8">
        <f>(Tabela2[[#This Row],[Weight]]/(Tabela2[[#This Row],[Height]] ^2))</f>
        <v>35.442712275490528</v>
      </c>
    </row>
    <row r="1554" spans="1:23" x14ac:dyDescent="0.25">
      <c r="A1554" t="s">
        <v>15</v>
      </c>
      <c r="B1554" s="7">
        <v>34.576714000000003</v>
      </c>
      <c r="C1554" s="4">
        <v>1.73325</v>
      </c>
      <c r="D1554" s="7">
        <v>103.669116</v>
      </c>
      <c r="E1554">
        <v>1</v>
      </c>
      <c r="F1554">
        <v>1</v>
      </c>
      <c r="G1554" s="2">
        <v>2.5012240000000001</v>
      </c>
      <c r="H1554" s="2">
        <v>2.0495649999999999</v>
      </c>
      <c r="I1554">
        <v>1</v>
      </c>
      <c r="J1554">
        <v>0</v>
      </c>
      <c r="K1554" s="2">
        <v>1</v>
      </c>
      <c r="L1554">
        <v>0</v>
      </c>
      <c r="M1554" s="7">
        <v>1.746583</v>
      </c>
      <c r="N1554" s="7">
        <v>0</v>
      </c>
      <c r="O1554">
        <v>0</v>
      </c>
      <c r="P1554" t="s">
        <v>17</v>
      </c>
      <c r="Q1554">
        <v>5</v>
      </c>
      <c r="R1554" s="8">
        <f>(Tabela2[[#This Row],[FAF_atividade_fisica_frequente_em_horas]]+ 0.1)</f>
        <v>1.8465830000000001</v>
      </c>
      <c r="S1554" s="1">
        <f>(Tabela2[[#This Row],[TUE_tempo_uso_aparelhos_em_horas]]/Tabela2[[#This Row],[FAF_Var]])</f>
        <v>0</v>
      </c>
      <c r="T1554">
        <f>(Tabela2[[#This Row],[CAEC_lanche_entre_refeicoes]]*Tabela2[[#This Row],[FAVC_consumo_frequente_de_alimentos_mt_caloricos]])</f>
        <v>1</v>
      </c>
      <c r="U1554" s="1">
        <f>IF(OR(Tabela2[[#This Row],[MTRANS]]="Walking",Tabela2[[#This Row],[MTRANS]]="Bike"),Tabela2[[#This Row],[FAF_atividade_fisica_frequente_em_horas]]+1,M1554)</f>
        <v>1.746583</v>
      </c>
      <c r="V1554">
        <f>(Tabela2[[#This Row],[SMOKE]]+Tabela2[[#This Row],[CALC_bebe_alcool_frequentemente]])</f>
        <v>0</v>
      </c>
      <c r="W1554" s="8">
        <f>(Tabela2[[#This Row],[Weight]]/(Tabela2[[#This Row],[Height]] ^2))</f>
        <v>34.508571158588268</v>
      </c>
    </row>
    <row r="1555" spans="1:23" x14ac:dyDescent="0.25">
      <c r="A1555" t="s">
        <v>15</v>
      </c>
      <c r="B1555" s="7">
        <v>22.276969000000001</v>
      </c>
      <c r="C1555" s="4">
        <v>1.84995</v>
      </c>
      <c r="D1555" s="7">
        <v>121.786485</v>
      </c>
      <c r="E1555">
        <v>1</v>
      </c>
      <c r="F1555">
        <v>1</v>
      </c>
      <c r="G1555" s="2">
        <v>3</v>
      </c>
      <c r="H1555" s="2">
        <v>2.272214</v>
      </c>
      <c r="I1555">
        <v>1</v>
      </c>
      <c r="J1555">
        <v>0</v>
      </c>
      <c r="K1555" s="2">
        <v>1.555534</v>
      </c>
      <c r="L1555">
        <v>0</v>
      </c>
      <c r="M1555" s="7">
        <v>0.34883900000000001</v>
      </c>
      <c r="N1555" s="7">
        <v>0</v>
      </c>
      <c r="O1555">
        <v>1</v>
      </c>
      <c r="P1555" t="s">
        <v>14</v>
      </c>
      <c r="Q1555">
        <v>5</v>
      </c>
      <c r="R1555" s="8">
        <f>(Tabela2[[#This Row],[FAF_atividade_fisica_frequente_em_horas]]+ 0.1)</f>
        <v>0.44883899999999999</v>
      </c>
      <c r="S1555" s="1">
        <f>(Tabela2[[#This Row],[TUE_tempo_uso_aparelhos_em_horas]]/Tabela2[[#This Row],[FAF_Var]])</f>
        <v>0</v>
      </c>
      <c r="T1555">
        <f>(Tabela2[[#This Row],[CAEC_lanche_entre_refeicoes]]*Tabela2[[#This Row],[FAVC_consumo_frequente_de_alimentos_mt_caloricos]])</f>
        <v>1</v>
      </c>
      <c r="U1555" s="1">
        <f>IF(OR(Tabela2[[#This Row],[MTRANS]]="Walking",Tabela2[[#This Row],[MTRANS]]="Bike"),Tabela2[[#This Row],[FAF_atividade_fisica_frequente_em_horas]]+1,M1555)</f>
        <v>0.34883900000000001</v>
      </c>
      <c r="V1555">
        <f>(Tabela2[[#This Row],[SMOKE]]+Tabela2[[#This Row],[CALC_bebe_alcool_frequentemente]])</f>
        <v>1</v>
      </c>
      <c r="W1555" s="8">
        <f>(Tabela2[[#This Row],[Weight]]/(Tabela2[[#This Row],[Height]] ^2))</f>
        <v>35.585995126408591</v>
      </c>
    </row>
    <row r="1556" spans="1:23" x14ac:dyDescent="0.25">
      <c r="A1556" t="s">
        <v>15</v>
      </c>
      <c r="B1556" s="7">
        <v>21.963787</v>
      </c>
      <c r="C1556" s="4">
        <v>1.8496010000000001</v>
      </c>
      <c r="D1556" s="7">
        <v>122.33342500000001</v>
      </c>
      <c r="E1556">
        <v>1</v>
      </c>
      <c r="F1556">
        <v>1</v>
      </c>
      <c r="G1556" s="2">
        <v>3</v>
      </c>
      <c r="H1556" s="2">
        <v>2.2182849999999998</v>
      </c>
      <c r="I1556">
        <v>1</v>
      </c>
      <c r="J1556">
        <v>0</v>
      </c>
      <c r="K1556" s="2">
        <v>1.340117</v>
      </c>
      <c r="L1556">
        <v>0</v>
      </c>
      <c r="M1556" s="7">
        <v>0.428259</v>
      </c>
      <c r="N1556" s="7">
        <v>0</v>
      </c>
      <c r="O1556">
        <v>1</v>
      </c>
      <c r="P1556" t="s">
        <v>14</v>
      </c>
      <c r="Q1556">
        <v>5</v>
      </c>
      <c r="R1556" s="8">
        <f>(Tabela2[[#This Row],[FAF_atividade_fisica_frequente_em_horas]]+ 0.1)</f>
        <v>0.52825900000000003</v>
      </c>
      <c r="S1556" s="1">
        <f>(Tabela2[[#This Row],[TUE_tempo_uso_aparelhos_em_horas]]/Tabela2[[#This Row],[FAF_Var]])</f>
        <v>0</v>
      </c>
      <c r="T1556">
        <f>(Tabela2[[#This Row],[CAEC_lanche_entre_refeicoes]]*Tabela2[[#This Row],[FAVC_consumo_frequente_de_alimentos_mt_caloricos]])</f>
        <v>1</v>
      </c>
      <c r="U1556" s="1">
        <f>IF(OR(Tabela2[[#This Row],[MTRANS]]="Walking",Tabela2[[#This Row],[MTRANS]]="Bike"),Tabela2[[#This Row],[FAF_atividade_fisica_frequente_em_horas]]+1,M1556)</f>
        <v>0.428259</v>
      </c>
      <c r="V1556">
        <f>(Tabela2[[#This Row],[SMOKE]]+Tabela2[[#This Row],[CALC_bebe_alcool_frequentemente]])</f>
        <v>1</v>
      </c>
      <c r="W1556" s="8">
        <f>(Tabela2[[#This Row],[Weight]]/(Tabela2[[#This Row],[Height]] ^2))</f>
        <v>35.759301903428316</v>
      </c>
    </row>
    <row r="1557" spans="1:23" x14ac:dyDescent="0.25">
      <c r="A1557" t="s">
        <v>15</v>
      </c>
      <c r="B1557" s="7">
        <v>24.001684999999998</v>
      </c>
      <c r="C1557" s="4">
        <v>1.606066</v>
      </c>
      <c r="D1557" s="7">
        <v>99.961731</v>
      </c>
      <c r="E1557">
        <v>1</v>
      </c>
      <c r="F1557">
        <v>1</v>
      </c>
      <c r="G1557" s="2">
        <v>3</v>
      </c>
      <c r="H1557" s="2">
        <v>1.418833</v>
      </c>
      <c r="I1557">
        <v>1</v>
      </c>
      <c r="J1557">
        <v>0</v>
      </c>
      <c r="K1557" s="2">
        <v>1</v>
      </c>
      <c r="L1557">
        <v>0</v>
      </c>
      <c r="M1557" s="7">
        <v>1.19102</v>
      </c>
      <c r="N1557" s="7">
        <v>1.3841859999999999</v>
      </c>
      <c r="O1557">
        <v>0</v>
      </c>
      <c r="P1557" t="s">
        <v>14</v>
      </c>
      <c r="Q1557">
        <v>5</v>
      </c>
      <c r="R1557" s="8">
        <f>(Tabela2[[#This Row],[FAF_atividade_fisica_frequente_em_horas]]+ 0.1)</f>
        <v>1.2910200000000001</v>
      </c>
      <c r="S1557" s="1">
        <f>(Tabela2[[#This Row],[TUE_tempo_uso_aparelhos_em_horas]]/Tabela2[[#This Row],[FAF_Var]])</f>
        <v>1.0721646450093723</v>
      </c>
      <c r="T1557">
        <f>(Tabela2[[#This Row],[CAEC_lanche_entre_refeicoes]]*Tabela2[[#This Row],[FAVC_consumo_frequente_de_alimentos_mt_caloricos]])</f>
        <v>1</v>
      </c>
      <c r="U1557" s="1">
        <f>IF(OR(Tabela2[[#This Row],[MTRANS]]="Walking",Tabela2[[#This Row],[MTRANS]]="Bike"),Tabela2[[#This Row],[FAF_atividade_fisica_frequente_em_horas]]+1,M1557)</f>
        <v>1.19102</v>
      </c>
      <c r="V1557">
        <f>(Tabela2[[#This Row],[SMOKE]]+Tabela2[[#This Row],[CALC_bebe_alcool_frequentemente]])</f>
        <v>0</v>
      </c>
      <c r="W1557" s="8">
        <f>(Tabela2[[#This Row],[Weight]]/(Tabela2[[#This Row],[Height]] ^2))</f>
        <v>38.753148402765426</v>
      </c>
    </row>
    <row r="1558" spans="1:23" x14ac:dyDescent="0.25">
      <c r="A1558" t="s">
        <v>15</v>
      </c>
      <c r="B1558" s="7">
        <v>20.027764000000001</v>
      </c>
      <c r="C1558" s="4">
        <v>1.611434</v>
      </c>
      <c r="D1558" s="7">
        <v>103.175516</v>
      </c>
      <c r="E1558">
        <v>1</v>
      </c>
      <c r="F1558">
        <v>1</v>
      </c>
      <c r="G1558" s="2">
        <v>2.9830420000000002</v>
      </c>
      <c r="H1558" s="2">
        <v>1.1099559999999999</v>
      </c>
      <c r="I1558">
        <v>1</v>
      </c>
      <c r="J1558">
        <v>0</v>
      </c>
      <c r="K1558" s="2">
        <v>1.430444</v>
      </c>
      <c r="L1558">
        <v>0</v>
      </c>
      <c r="M1558" s="7">
        <v>0</v>
      </c>
      <c r="N1558" s="7">
        <v>1.690901</v>
      </c>
      <c r="O1558">
        <v>0</v>
      </c>
      <c r="P1558" t="s">
        <v>14</v>
      </c>
      <c r="Q1558">
        <v>5</v>
      </c>
      <c r="R1558" s="8">
        <f>(Tabela2[[#This Row],[FAF_atividade_fisica_frequente_em_horas]]+ 0.1)</f>
        <v>0.1</v>
      </c>
      <c r="S1558" s="1">
        <f>(Tabela2[[#This Row],[TUE_tempo_uso_aparelhos_em_horas]]/Tabela2[[#This Row],[FAF_Var]])</f>
        <v>16.909009999999999</v>
      </c>
      <c r="T1558">
        <f>(Tabela2[[#This Row],[CAEC_lanche_entre_refeicoes]]*Tabela2[[#This Row],[FAVC_consumo_frequente_de_alimentos_mt_caloricos]])</f>
        <v>1</v>
      </c>
      <c r="U1558" s="1">
        <f>IF(OR(Tabela2[[#This Row],[MTRANS]]="Walking",Tabela2[[#This Row],[MTRANS]]="Bike"),Tabela2[[#This Row],[FAF_atividade_fisica_frequente_em_horas]]+1,M1558)</f>
        <v>0</v>
      </c>
      <c r="V1558">
        <f>(Tabela2[[#This Row],[SMOKE]]+Tabela2[[#This Row],[CALC_bebe_alcool_frequentemente]])</f>
        <v>0</v>
      </c>
      <c r="W1558" s="8">
        <f>(Tabela2[[#This Row],[Weight]]/(Tabela2[[#This Row],[Height]] ^2))</f>
        <v>39.733022590798207</v>
      </c>
    </row>
    <row r="1559" spans="1:23" x14ac:dyDescent="0.25">
      <c r="A1559" t="s">
        <v>15</v>
      </c>
      <c r="B1559" s="7">
        <v>28.704461999999999</v>
      </c>
      <c r="C1559" s="4">
        <v>1.7628870000000001</v>
      </c>
      <c r="D1559" s="7">
        <v>113.90197999999999</v>
      </c>
      <c r="E1559">
        <v>1</v>
      </c>
      <c r="F1559">
        <v>1</v>
      </c>
      <c r="G1559" s="2">
        <v>2.3233510000000002</v>
      </c>
      <c r="H1559" s="2">
        <v>3</v>
      </c>
      <c r="I1559">
        <v>1</v>
      </c>
      <c r="J1559">
        <v>0</v>
      </c>
      <c r="K1559" s="2">
        <v>2.1650480000000001</v>
      </c>
      <c r="L1559">
        <v>0</v>
      </c>
      <c r="M1559" s="7">
        <v>0</v>
      </c>
      <c r="N1559" s="7">
        <v>1.493716</v>
      </c>
      <c r="O1559">
        <v>1</v>
      </c>
      <c r="P1559" t="s">
        <v>17</v>
      </c>
      <c r="Q1559">
        <v>5</v>
      </c>
      <c r="R1559" s="8">
        <f>(Tabela2[[#This Row],[FAF_atividade_fisica_frequente_em_horas]]+ 0.1)</f>
        <v>0.1</v>
      </c>
      <c r="S1559" s="1">
        <f>(Tabela2[[#This Row],[TUE_tempo_uso_aparelhos_em_horas]]/Tabela2[[#This Row],[FAF_Var]])</f>
        <v>14.93716</v>
      </c>
      <c r="T1559">
        <f>(Tabela2[[#This Row],[CAEC_lanche_entre_refeicoes]]*Tabela2[[#This Row],[FAVC_consumo_frequente_de_alimentos_mt_caloricos]])</f>
        <v>1</v>
      </c>
      <c r="U1559" s="1">
        <f>IF(OR(Tabela2[[#This Row],[MTRANS]]="Walking",Tabela2[[#This Row],[MTRANS]]="Bike"),Tabela2[[#This Row],[FAF_atividade_fisica_frequente_em_horas]]+1,M1559)</f>
        <v>0</v>
      </c>
      <c r="V1559">
        <f>(Tabela2[[#This Row],[SMOKE]]+Tabela2[[#This Row],[CALC_bebe_alcool_frequentemente]])</f>
        <v>1</v>
      </c>
      <c r="W1559" s="8">
        <f>(Tabela2[[#This Row],[Weight]]/(Tabela2[[#This Row],[Height]] ^2))</f>
        <v>36.650704181555071</v>
      </c>
    </row>
    <row r="1560" spans="1:23" x14ac:dyDescent="0.25">
      <c r="A1560" t="s">
        <v>15</v>
      </c>
      <c r="B1560" s="7">
        <v>26.774114999999998</v>
      </c>
      <c r="C1560" s="4">
        <v>1.755938</v>
      </c>
      <c r="D1560" s="7">
        <v>112.287678</v>
      </c>
      <c r="E1560">
        <v>1</v>
      </c>
      <c r="F1560">
        <v>1</v>
      </c>
      <c r="G1560" s="2">
        <v>1.4282889999999999</v>
      </c>
      <c r="H1560" s="2">
        <v>3</v>
      </c>
      <c r="I1560">
        <v>1</v>
      </c>
      <c r="J1560">
        <v>0</v>
      </c>
      <c r="K1560" s="2">
        <v>2.1177329999999999</v>
      </c>
      <c r="L1560">
        <v>0</v>
      </c>
      <c r="M1560" s="7">
        <v>0.48532199999999998</v>
      </c>
      <c r="N1560" s="7">
        <v>0.69694800000000001</v>
      </c>
      <c r="O1560">
        <v>1</v>
      </c>
      <c r="P1560" t="s">
        <v>17</v>
      </c>
      <c r="Q1560">
        <v>5</v>
      </c>
      <c r="R1560" s="8">
        <f>(Tabela2[[#This Row],[FAF_atividade_fisica_frequente_em_horas]]+ 0.1)</f>
        <v>0.58532200000000001</v>
      </c>
      <c r="S1560" s="1">
        <f>(Tabela2[[#This Row],[TUE_tempo_uso_aparelhos_em_horas]]/Tabela2[[#This Row],[FAF_Var]])</f>
        <v>1.1907087039270692</v>
      </c>
      <c r="T1560">
        <f>(Tabela2[[#This Row],[CAEC_lanche_entre_refeicoes]]*Tabela2[[#This Row],[FAVC_consumo_frequente_de_alimentos_mt_caloricos]])</f>
        <v>1</v>
      </c>
      <c r="U1560" s="1">
        <f>IF(OR(Tabela2[[#This Row],[MTRANS]]="Walking",Tabela2[[#This Row],[MTRANS]]="Bike"),Tabela2[[#This Row],[FAF_atividade_fisica_frequente_em_horas]]+1,M1560)</f>
        <v>0.48532199999999998</v>
      </c>
      <c r="V1560">
        <f>(Tabela2[[#This Row],[SMOKE]]+Tabela2[[#This Row],[CALC_bebe_alcool_frequentemente]])</f>
        <v>1</v>
      </c>
      <c r="W1560" s="8">
        <f>(Tabela2[[#This Row],[Weight]]/(Tabela2[[#This Row],[Height]] ^2))</f>
        <v>36.417803332984896</v>
      </c>
    </row>
    <row r="1561" spans="1:23" x14ac:dyDescent="0.25">
      <c r="A1561" t="s">
        <v>15</v>
      </c>
      <c r="B1561" s="7">
        <v>25.539411000000001</v>
      </c>
      <c r="C1561" s="4">
        <v>1.7870520000000001</v>
      </c>
      <c r="D1561" s="7">
        <v>115.428276</v>
      </c>
      <c r="E1561">
        <v>1</v>
      </c>
      <c r="F1561">
        <v>1</v>
      </c>
      <c r="G1561" s="2">
        <v>1.9928889999999999</v>
      </c>
      <c r="H1561" s="2">
        <v>3</v>
      </c>
      <c r="I1561">
        <v>1</v>
      </c>
      <c r="J1561">
        <v>0</v>
      </c>
      <c r="K1561" s="2">
        <v>2.1412710000000001</v>
      </c>
      <c r="L1561">
        <v>0</v>
      </c>
      <c r="M1561" s="7">
        <v>1.121038</v>
      </c>
      <c r="N1561" s="7">
        <v>0</v>
      </c>
      <c r="O1561">
        <v>1</v>
      </c>
      <c r="P1561" t="s">
        <v>14</v>
      </c>
      <c r="Q1561">
        <v>5</v>
      </c>
      <c r="R1561" s="8">
        <f>(Tabela2[[#This Row],[FAF_atividade_fisica_frequente_em_horas]]+ 0.1)</f>
        <v>1.2210380000000001</v>
      </c>
      <c r="S1561" s="1">
        <f>(Tabela2[[#This Row],[TUE_tempo_uso_aparelhos_em_horas]]/Tabela2[[#This Row],[FAF_Var]])</f>
        <v>0</v>
      </c>
      <c r="T1561">
        <f>(Tabela2[[#This Row],[CAEC_lanche_entre_refeicoes]]*Tabela2[[#This Row],[FAVC_consumo_frequente_de_alimentos_mt_caloricos]])</f>
        <v>1</v>
      </c>
      <c r="U1561" s="1">
        <f>IF(OR(Tabela2[[#This Row],[MTRANS]]="Walking",Tabela2[[#This Row],[MTRANS]]="Bike"),Tabela2[[#This Row],[FAF_atividade_fisica_frequente_em_horas]]+1,M1561)</f>
        <v>1.121038</v>
      </c>
      <c r="V1561">
        <f>(Tabela2[[#This Row],[SMOKE]]+Tabela2[[#This Row],[CALC_bebe_alcool_frequentemente]])</f>
        <v>1</v>
      </c>
      <c r="W1561" s="8">
        <f>(Tabela2[[#This Row],[Weight]]/(Tabela2[[#This Row],[Height]] ^2))</f>
        <v>36.144134482160062</v>
      </c>
    </row>
    <row r="1562" spans="1:23" x14ac:dyDescent="0.25">
      <c r="A1562" t="s">
        <v>15</v>
      </c>
      <c r="B1562" s="7">
        <v>25.300208000000001</v>
      </c>
      <c r="C1562" s="4">
        <v>1.765258</v>
      </c>
      <c r="D1562" s="7">
        <v>114.330023</v>
      </c>
      <c r="E1562">
        <v>1</v>
      </c>
      <c r="F1562">
        <v>1</v>
      </c>
      <c r="G1562" s="2">
        <v>1.5628040000000001</v>
      </c>
      <c r="H1562" s="2">
        <v>3</v>
      </c>
      <c r="I1562">
        <v>1</v>
      </c>
      <c r="J1562">
        <v>0</v>
      </c>
      <c r="K1562" s="2">
        <v>2.0754929999999998</v>
      </c>
      <c r="L1562">
        <v>0</v>
      </c>
      <c r="M1562" s="7">
        <v>1.5537339999999999</v>
      </c>
      <c r="N1562" s="7">
        <v>4.3600000000000003E-4</v>
      </c>
      <c r="O1562">
        <v>1</v>
      </c>
      <c r="P1562" t="s">
        <v>14</v>
      </c>
      <c r="Q1562">
        <v>5</v>
      </c>
      <c r="R1562" s="8">
        <f>(Tabela2[[#This Row],[FAF_atividade_fisica_frequente_em_horas]]+ 0.1)</f>
        <v>1.653734</v>
      </c>
      <c r="S1562" s="1">
        <f>(Tabela2[[#This Row],[TUE_tempo_uso_aparelhos_em_horas]]/Tabela2[[#This Row],[FAF_Var]])</f>
        <v>2.6364578583980253E-4</v>
      </c>
      <c r="T1562">
        <f>(Tabela2[[#This Row],[CAEC_lanche_entre_refeicoes]]*Tabela2[[#This Row],[FAVC_consumo_frequente_de_alimentos_mt_caloricos]])</f>
        <v>1</v>
      </c>
      <c r="U1562" s="1">
        <f>IF(OR(Tabela2[[#This Row],[MTRANS]]="Walking",Tabela2[[#This Row],[MTRANS]]="Bike"),Tabela2[[#This Row],[FAF_atividade_fisica_frequente_em_horas]]+1,M1562)</f>
        <v>1.5537339999999999</v>
      </c>
      <c r="V1562">
        <f>(Tabela2[[#This Row],[SMOKE]]+Tabela2[[#This Row],[CALC_bebe_alcool_frequentemente]])</f>
        <v>1</v>
      </c>
      <c r="W1562" s="8">
        <f>(Tabela2[[#This Row],[Weight]]/(Tabela2[[#This Row],[Height]] ^2))</f>
        <v>36.689679172252042</v>
      </c>
    </row>
    <row r="1563" spans="1:23" x14ac:dyDescent="0.25">
      <c r="A1563" t="s">
        <v>15</v>
      </c>
      <c r="B1563" s="7">
        <v>31.194458000000001</v>
      </c>
      <c r="C1563" s="4">
        <v>1.7262789999999999</v>
      </c>
      <c r="D1563" s="7">
        <v>110.71471099999999</v>
      </c>
      <c r="E1563">
        <v>1</v>
      </c>
      <c r="F1563">
        <v>1</v>
      </c>
      <c r="G1563" s="2">
        <v>1.7948249999999999</v>
      </c>
      <c r="H1563" s="2">
        <v>3.9144540000000001</v>
      </c>
      <c r="I1563">
        <v>1</v>
      </c>
      <c r="J1563">
        <v>0</v>
      </c>
      <c r="K1563" s="2">
        <v>1.972016</v>
      </c>
      <c r="L1563">
        <v>0</v>
      </c>
      <c r="M1563" s="7">
        <v>0.66896299999999997</v>
      </c>
      <c r="N1563" s="7">
        <v>0</v>
      </c>
      <c r="O1563">
        <v>0</v>
      </c>
      <c r="P1563" t="s">
        <v>17</v>
      </c>
      <c r="Q1563">
        <v>5</v>
      </c>
      <c r="R1563" s="8">
        <f>(Tabela2[[#This Row],[FAF_atividade_fisica_frequente_em_horas]]+ 0.1)</f>
        <v>0.76896299999999995</v>
      </c>
      <c r="S1563" s="1">
        <f>(Tabela2[[#This Row],[TUE_tempo_uso_aparelhos_em_horas]]/Tabela2[[#This Row],[FAF_Var]])</f>
        <v>0</v>
      </c>
      <c r="T1563">
        <f>(Tabela2[[#This Row],[CAEC_lanche_entre_refeicoes]]*Tabela2[[#This Row],[FAVC_consumo_frequente_de_alimentos_mt_caloricos]])</f>
        <v>1</v>
      </c>
      <c r="U1563" s="1">
        <f>IF(OR(Tabela2[[#This Row],[MTRANS]]="Walking",Tabela2[[#This Row],[MTRANS]]="Bike"),Tabela2[[#This Row],[FAF_atividade_fisica_frequente_em_horas]]+1,M1563)</f>
        <v>0.66896299999999997</v>
      </c>
      <c r="V1563">
        <f>(Tabela2[[#This Row],[SMOKE]]+Tabela2[[#This Row],[CALC_bebe_alcool_frequentemente]])</f>
        <v>0</v>
      </c>
      <c r="W1563" s="8">
        <f>(Tabela2[[#This Row],[Weight]]/(Tabela2[[#This Row],[Height]] ^2))</f>
        <v>37.152099048239563</v>
      </c>
    </row>
    <row r="1564" spans="1:23" x14ac:dyDescent="0.25">
      <c r="A1564" t="s">
        <v>15</v>
      </c>
      <c r="B1564" s="7">
        <v>40.794057000000002</v>
      </c>
      <c r="C1564" s="4">
        <v>1.735851</v>
      </c>
      <c r="D1564" s="7">
        <v>109.88933400000001</v>
      </c>
      <c r="E1564">
        <v>1</v>
      </c>
      <c r="F1564">
        <v>1</v>
      </c>
      <c r="G1564" s="2">
        <v>2.3053490000000001</v>
      </c>
      <c r="H1564" s="2">
        <v>3.169089</v>
      </c>
      <c r="I1564">
        <v>1</v>
      </c>
      <c r="J1564">
        <v>0</v>
      </c>
      <c r="K1564" s="2">
        <v>1.0216099999999999</v>
      </c>
      <c r="L1564">
        <v>0</v>
      </c>
      <c r="M1564" s="7">
        <v>0.90898100000000004</v>
      </c>
      <c r="N1564" s="7">
        <v>0</v>
      </c>
      <c r="O1564">
        <v>0</v>
      </c>
      <c r="P1564" t="s">
        <v>17</v>
      </c>
      <c r="Q1564">
        <v>5</v>
      </c>
      <c r="R1564" s="8">
        <f>(Tabela2[[#This Row],[FAF_atividade_fisica_frequente_em_horas]]+ 0.1)</f>
        <v>1.0089810000000001</v>
      </c>
      <c r="S1564" s="1">
        <f>(Tabela2[[#This Row],[TUE_tempo_uso_aparelhos_em_horas]]/Tabela2[[#This Row],[FAF_Var]])</f>
        <v>0</v>
      </c>
      <c r="T1564">
        <f>(Tabela2[[#This Row],[CAEC_lanche_entre_refeicoes]]*Tabela2[[#This Row],[FAVC_consumo_frequente_de_alimentos_mt_caloricos]])</f>
        <v>1</v>
      </c>
      <c r="U1564" s="1">
        <f>IF(OR(Tabela2[[#This Row],[MTRANS]]="Walking",Tabela2[[#This Row],[MTRANS]]="Bike"),Tabela2[[#This Row],[FAF_atividade_fisica_frequente_em_horas]]+1,M1564)</f>
        <v>0.90898100000000004</v>
      </c>
      <c r="V1564">
        <f>(Tabela2[[#This Row],[SMOKE]]+Tabela2[[#This Row],[CALC_bebe_alcool_frequentemente]])</f>
        <v>0</v>
      </c>
      <c r="W1564" s="8">
        <f>(Tabela2[[#This Row],[Weight]]/(Tabela2[[#This Row],[Height]] ^2))</f>
        <v>36.469570892521922</v>
      </c>
    </row>
    <row r="1565" spans="1:23" x14ac:dyDescent="0.25">
      <c r="A1565" t="s">
        <v>15</v>
      </c>
      <c r="B1565" s="7">
        <v>33.553359999999998</v>
      </c>
      <c r="C1565" s="4">
        <v>1.6997930000000001</v>
      </c>
      <c r="D1565" s="7">
        <v>103.841672</v>
      </c>
      <c r="E1565">
        <v>1</v>
      </c>
      <c r="F1565">
        <v>1</v>
      </c>
      <c r="G1565" s="2">
        <v>2.5764490000000002</v>
      </c>
      <c r="H1565" s="2">
        <v>2.4196559999999998</v>
      </c>
      <c r="I1565">
        <v>1</v>
      </c>
      <c r="J1565">
        <v>0</v>
      </c>
      <c r="K1565" s="2">
        <v>1</v>
      </c>
      <c r="L1565">
        <v>0</v>
      </c>
      <c r="M1565" s="7">
        <v>1.9823789999999999</v>
      </c>
      <c r="N1565" s="7">
        <v>0</v>
      </c>
      <c r="O1565">
        <v>0</v>
      </c>
      <c r="P1565" t="s">
        <v>14</v>
      </c>
      <c r="Q1565">
        <v>5</v>
      </c>
      <c r="R1565" s="8">
        <f>(Tabela2[[#This Row],[FAF_atividade_fisica_frequente_em_horas]]+ 0.1)</f>
        <v>2.082379</v>
      </c>
      <c r="S1565" s="1">
        <f>(Tabela2[[#This Row],[TUE_tempo_uso_aparelhos_em_horas]]/Tabela2[[#This Row],[FAF_Var]])</f>
        <v>0</v>
      </c>
      <c r="T1565">
        <f>(Tabela2[[#This Row],[CAEC_lanche_entre_refeicoes]]*Tabela2[[#This Row],[FAVC_consumo_frequente_de_alimentos_mt_caloricos]])</f>
        <v>1</v>
      </c>
      <c r="U1565" s="1">
        <f>IF(OR(Tabela2[[#This Row],[MTRANS]]="Walking",Tabela2[[#This Row],[MTRANS]]="Bike"),Tabela2[[#This Row],[FAF_atividade_fisica_frequente_em_horas]]+1,M1565)</f>
        <v>1.9823789999999999</v>
      </c>
      <c r="V1565">
        <f>(Tabela2[[#This Row],[SMOKE]]+Tabela2[[#This Row],[CALC_bebe_alcool_frequentemente]])</f>
        <v>0</v>
      </c>
      <c r="W1565" s="8">
        <f>(Tabela2[[#This Row],[Weight]]/(Tabela2[[#This Row],[Height]] ^2))</f>
        <v>35.940126339418406</v>
      </c>
    </row>
    <row r="1566" spans="1:23" x14ac:dyDescent="0.25">
      <c r="A1566" t="s">
        <v>15</v>
      </c>
      <c r="B1566" s="7">
        <v>30.304203000000001</v>
      </c>
      <c r="C1566" s="4">
        <v>1.7032020000000001</v>
      </c>
      <c r="D1566" s="7">
        <v>103.03440000000001</v>
      </c>
      <c r="E1566">
        <v>1</v>
      </c>
      <c r="F1566">
        <v>1</v>
      </c>
      <c r="G1566" s="2">
        <v>2.754645</v>
      </c>
      <c r="H1566" s="2">
        <v>2.1754319999999998</v>
      </c>
      <c r="I1566">
        <v>1</v>
      </c>
      <c r="J1566">
        <v>0</v>
      </c>
      <c r="K1566" s="2">
        <v>1.541733</v>
      </c>
      <c r="L1566">
        <v>0</v>
      </c>
      <c r="M1566" s="7">
        <v>0.358709</v>
      </c>
      <c r="N1566" s="7">
        <v>1.0739000000000001</v>
      </c>
      <c r="O1566">
        <v>0</v>
      </c>
      <c r="P1566" t="s">
        <v>14</v>
      </c>
      <c r="Q1566">
        <v>5</v>
      </c>
      <c r="R1566" s="8">
        <f>(Tabela2[[#This Row],[FAF_atividade_fisica_frequente_em_horas]]+ 0.1)</f>
        <v>0.45870900000000003</v>
      </c>
      <c r="S1566" s="1">
        <f>(Tabela2[[#This Row],[TUE_tempo_uso_aparelhos_em_horas]]/Tabela2[[#This Row],[FAF_Var]])</f>
        <v>2.3411356655308704</v>
      </c>
      <c r="T1566">
        <f>(Tabela2[[#This Row],[CAEC_lanche_entre_refeicoes]]*Tabela2[[#This Row],[FAVC_consumo_frequente_de_alimentos_mt_caloricos]])</f>
        <v>1</v>
      </c>
      <c r="U1566" s="1">
        <f>IF(OR(Tabela2[[#This Row],[MTRANS]]="Walking",Tabela2[[#This Row],[MTRANS]]="Bike"),Tabela2[[#This Row],[FAF_atividade_fisica_frequente_em_horas]]+1,M1566)</f>
        <v>0.358709</v>
      </c>
      <c r="V1566">
        <f>(Tabela2[[#This Row],[SMOKE]]+Tabela2[[#This Row],[CALC_bebe_alcool_frequentemente]])</f>
        <v>0</v>
      </c>
      <c r="W1566" s="8">
        <f>(Tabela2[[#This Row],[Weight]]/(Tabela2[[#This Row],[Height]] ^2))</f>
        <v>35.51811668063408</v>
      </c>
    </row>
    <row r="1567" spans="1:23" x14ac:dyDescent="0.25">
      <c r="A1567" t="s">
        <v>15</v>
      </c>
      <c r="B1567" s="7">
        <v>30.958051000000001</v>
      </c>
      <c r="C1567" s="4">
        <v>1.9068210000000001</v>
      </c>
      <c r="D1567" s="7">
        <v>128.85667699999999</v>
      </c>
      <c r="E1567">
        <v>1</v>
      </c>
      <c r="F1567">
        <v>1</v>
      </c>
      <c r="G1567" s="2">
        <v>2.6338550000000001</v>
      </c>
      <c r="H1567" s="2">
        <v>3</v>
      </c>
      <c r="I1567">
        <v>1</v>
      </c>
      <c r="J1567">
        <v>0</v>
      </c>
      <c r="K1567" s="2">
        <v>1.619305</v>
      </c>
      <c r="L1567">
        <v>0</v>
      </c>
      <c r="M1567" s="7">
        <v>1.8478019999999999</v>
      </c>
      <c r="N1567" s="7">
        <v>0.42461199999999999</v>
      </c>
      <c r="O1567">
        <v>1</v>
      </c>
      <c r="P1567" t="s">
        <v>14</v>
      </c>
      <c r="Q1567">
        <v>5</v>
      </c>
      <c r="R1567" s="8">
        <f>(Tabela2[[#This Row],[FAF_atividade_fisica_frequente_em_horas]]+ 0.1)</f>
        <v>1.947802</v>
      </c>
      <c r="S1567" s="1">
        <f>(Tabela2[[#This Row],[TUE_tempo_uso_aparelhos_em_horas]]/Tabela2[[#This Row],[FAF_Var]])</f>
        <v>0.21799546360461688</v>
      </c>
      <c r="T1567">
        <f>(Tabela2[[#This Row],[CAEC_lanche_entre_refeicoes]]*Tabela2[[#This Row],[FAVC_consumo_frequente_de_alimentos_mt_caloricos]])</f>
        <v>1</v>
      </c>
      <c r="U1567" s="1">
        <f>IF(OR(Tabela2[[#This Row],[MTRANS]]="Walking",Tabela2[[#This Row],[MTRANS]]="Bike"),Tabela2[[#This Row],[FAF_atividade_fisica_frequente_em_horas]]+1,M1567)</f>
        <v>1.8478019999999999</v>
      </c>
      <c r="V1567">
        <f>(Tabela2[[#This Row],[SMOKE]]+Tabela2[[#This Row],[CALC_bebe_alcool_frequentemente]])</f>
        <v>1</v>
      </c>
      <c r="W1567" s="8">
        <f>(Tabela2[[#This Row],[Weight]]/(Tabela2[[#This Row],[Height]] ^2))</f>
        <v>35.439458302218327</v>
      </c>
    </row>
    <row r="1568" spans="1:23" x14ac:dyDescent="0.25">
      <c r="A1568" t="s">
        <v>15</v>
      </c>
      <c r="B1568" s="7">
        <v>29.429687000000001</v>
      </c>
      <c r="C1568" s="4">
        <v>1.910987</v>
      </c>
      <c r="D1568" s="7">
        <v>129.935666</v>
      </c>
      <c r="E1568">
        <v>1</v>
      </c>
      <c r="F1568">
        <v>1</v>
      </c>
      <c r="G1568" s="2">
        <v>2.2005880000000002</v>
      </c>
      <c r="H1568" s="2">
        <v>3</v>
      </c>
      <c r="I1568">
        <v>1</v>
      </c>
      <c r="J1568">
        <v>0</v>
      </c>
      <c r="K1568" s="2">
        <v>1.2956970000000001</v>
      </c>
      <c r="L1568">
        <v>0</v>
      </c>
      <c r="M1568" s="7">
        <v>1.058378</v>
      </c>
      <c r="N1568" s="7">
        <v>0</v>
      </c>
      <c r="O1568">
        <v>1</v>
      </c>
      <c r="P1568" t="s">
        <v>14</v>
      </c>
      <c r="Q1568">
        <v>5</v>
      </c>
      <c r="R1568" s="8">
        <f>(Tabela2[[#This Row],[FAF_atividade_fisica_frequente_em_horas]]+ 0.1)</f>
        <v>1.1583780000000001</v>
      </c>
      <c r="S1568" s="1">
        <f>(Tabela2[[#This Row],[TUE_tempo_uso_aparelhos_em_horas]]/Tabela2[[#This Row],[FAF_Var]])</f>
        <v>0</v>
      </c>
      <c r="T1568">
        <f>(Tabela2[[#This Row],[CAEC_lanche_entre_refeicoes]]*Tabela2[[#This Row],[FAVC_consumo_frequente_de_alimentos_mt_caloricos]])</f>
        <v>1</v>
      </c>
      <c r="U1568" s="1">
        <f>IF(OR(Tabela2[[#This Row],[MTRANS]]="Walking",Tabela2[[#This Row],[MTRANS]]="Bike"),Tabela2[[#This Row],[FAF_atividade_fisica_frequente_em_horas]]+1,M1568)</f>
        <v>1.058378</v>
      </c>
      <c r="V1568">
        <f>(Tabela2[[#This Row],[SMOKE]]+Tabela2[[#This Row],[CALC_bebe_alcool_frequentemente]])</f>
        <v>1</v>
      </c>
      <c r="W1568" s="8">
        <f>(Tabela2[[#This Row],[Weight]]/(Tabela2[[#This Row],[Height]] ^2))</f>
        <v>35.580570842093721</v>
      </c>
    </row>
    <row r="1569" spans="1:23" x14ac:dyDescent="0.25">
      <c r="A1569" t="s">
        <v>15</v>
      </c>
      <c r="B1569" s="7">
        <v>30.520854</v>
      </c>
      <c r="C1569" s="4">
        <v>1.784049</v>
      </c>
      <c r="D1569" s="7">
        <v>120.644178</v>
      </c>
      <c r="E1569">
        <v>1</v>
      </c>
      <c r="F1569">
        <v>1</v>
      </c>
      <c r="G1569" s="2">
        <v>2.4991080000000001</v>
      </c>
      <c r="H1569" s="2">
        <v>3</v>
      </c>
      <c r="I1569">
        <v>1</v>
      </c>
      <c r="J1569">
        <v>0</v>
      </c>
      <c r="K1569" s="2">
        <v>2.0409519999999999</v>
      </c>
      <c r="L1569">
        <v>0</v>
      </c>
      <c r="M1569" s="7">
        <v>0.83873900000000001</v>
      </c>
      <c r="N1569" s="7">
        <v>0.48985400000000001</v>
      </c>
      <c r="O1569">
        <v>1</v>
      </c>
      <c r="P1569" t="s">
        <v>17</v>
      </c>
      <c r="Q1569">
        <v>5</v>
      </c>
      <c r="R1569" s="8">
        <f>(Tabela2[[#This Row],[FAF_atividade_fisica_frequente_em_horas]]+ 0.1)</f>
        <v>0.93873899999999999</v>
      </c>
      <c r="S1569" s="1">
        <f>(Tabela2[[#This Row],[TUE_tempo_uso_aparelhos_em_horas]]/Tabela2[[#This Row],[FAF_Var]])</f>
        <v>0.52182129431077229</v>
      </c>
      <c r="T1569">
        <f>(Tabela2[[#This Row],[CAEC_lanche_entre_refeicoes]]*Tabela2[[#This Row],[FAVC_consumo_frequente_de_alimentos_mt_caloricos]])</f>
        <v>1</v>
      </c>
      <c r="U1569" s="1">
        <f>IF(OR(Tabela2[[#This Row],[MTRANS]]="Walking",Tabela2[[#This Row],[MTRANS]]="Bike"),Tabela2[[#This Row],[FAF_atividade_fisica_frequente_em_horas]]+1,M1569)</f>
        <v>0.83873900000000001</v>
      </c>
      <c r="V1569">
        <f>(Tabela2[[#This Row],[SMOKE]]+Tabela2[[#This Row],[CALC_bebe_alcool_frequentemente]])</f>
        <v>1</v>
      </c>
      <c r="W1569" s="8">
        <f>(Tabela2[[#This Row],[Weight]]/(Tabela2[[#This Row],[Height]] ^2))</f>
        <v>37.90467802939483</v>
      </c>
    </row>
    <row r="1570" spans="1:23" x14ac:dyDescent="0.25">
      <c r="A1570" t="s">
        <v>15</v>
      </c>
      <c r="B1570" s="7">
        <v>30.610436</v>
      </c>
      <c r="C1570" s="4">
        <v>1.783914</v>
      </c>
      <c r="D1570" s="7">
        <v>120.549592</v>
      </c>
      <c r="E1570">
        <v>1</v>
      </c>
      <c r="F1570">
        <v>1</v>
      </c>
      <c r="G1570" s="2">
        <v>2.05687</v>
      </c>
      <c r="H1570" s="2">
        <v>3</v>
      </c>
      <c r="I1570">
        <v>1</v>
      </c>
      <c r="J1570">
        <v>0</v>
      </c>
      <c r="K1570" s="2">
        <v>2.358088</v>
      </c>
      <c r="L1570">
        <v>0</v>
      </c>
      <c r="M1570" s="7">
        <v>9.3418000000000001E-2</v>
      </c>
      <c r="N1570" s="7">
        <v>1.759954</v>
      </c>
      <c r="O1570">
        <v>1</v>
      </c>
      <c r="P1570" t="s">
        <v>17</v>
      </c>
      <c r="Q1570">
        <v>5</v>
      </c>
      <c r="R1570" s="8">
        <f>(Tabela2[[#This Row],[FAF_atividade_fisica_frequente_em_horas]]+ 0.1)</f>
        <v>0.19341800000000001</v>
      </c>
      <c r="S1570" s="1">
        <f>(Tabela2[[#This Row],[TUE_tempo_uso_aparelhos_em_horas]]/Tabela2[[#This Row],[FAF_Var]])</f>
        <v>9.0992255115863045</v>
      </c>
      <c r="T1570">
        <f>(Tabela2[[#This Row],[CAEC_lanche_entre_refeicoes]]*Tabela2[[#This Row],[FAVC_consumo_frequente_de_alimentos_mt_caloricos]])</f>
        <v>1</v>
      </c>
      <c r="U1570" s="1">
        <f>IF(OR(Tabela2[[#This Row],[MTRANS]]="Walking",Tabela2[[#This Row],[MTRANS]]="Bike"),Tabela2[[#This Row],[FAF_atividade_fisica_frequente_em_horas]]+1,M1570)</f>
        <v>9.3418000000000001E-2</v>
      </c>
      <c r="V1570">
        <f>(Tabela2[[#This Row],[SMOKE]]+Tabela2[[#This Row],[CALC_bebe_alcool_frequentemente]])</f>
        <v>1</v>
      </c>
      <c r="W1570" s="8">
        <f>(Tabela2[[#This Row],[Weight]]/(Tabela2[[#This Row],[Height]] ^2))</f>
        <v>37.880693148981791</v>
      </c>
    </row>
    <row r="1571" spans="1:23" x14ac:dyDescent="0.25">
      <c r="A1571" t="s">
        <v>15</v>
      </c>
      <c r="B1571" s="7">
        <v>26.740655</v>
      </c>
      <c r="C1571" s="4">
        <v>1.863883</v>
      </c>
      <c r="D1571" s="7">
        <v>120.202596</v>
      </c>
      <c r="E1571">
        <v>1</v>
      </c>
      <c r="F1571">
        <v>1</v>
      </c>
      <c r="G1571" s="2">
        <v>2.247795</v>
      </c>
      <c r="H1571" s="2">
        <v>3</v>
      </c>
      <c r="I1571">
        <v>1</v>
      </c>
      <c r="J1571">
        <v>0</v>
      </c>
      <c r="K1571" s="2">
        <v>2.8160150000000002</v>
      </c>
      <c r="L1571">
        <v>0</v>
      </c>
      <c r="M1571" s="7">
        <v>0.71272599999999997</v>
      </c>
      <c r="N1571" s="7">
        <v>0</v>
      </c>
      <c r="O1571">
        <v>1</v>
      </c>
      <c r="P1571" t="s">
        <v>14</v>
      </c>
      <c r="Q1571">
        <v>5</v>
      </c>
      <c r="R1571" s="8">
        <f>(Tabela2[[#This Row],[FAF_atividade_fisica_frequente_em_horas]]+ 0.1)</f>
        <v>0.81272599999999995</v>
      </c>
      <c r="S1571" s="1">
        <f>(Tabela2[[#This Row],[TUE_tempo_uso_aparelhos_em_horas]]/Tabela2[[#This Row],[FAF_Var]])</f>
        <v>0</v>
      </c>
      <c r="T1571">
        <f>(Tabela2[[#This Row],[CAEC_lanche_entre_refeicoes]]*Tabela2[[#This Row],[FAVC_consumo_frequente_de_alimentos_mt_caloricos]])</f>
        <v>1</v>
      </c>
      <c r="U1571" s="1">
        <f>IF(OR(Tabela2[[#This Row],[MTRANS]]="Walking",Tabela2[[#This Row],[MTRANS]]="Bike"),Tabela2[[#This Row],[FAF_atividade_fisica_frequente_em_horas]]+1,M1571)</f>
        <v>0.71272599999999997</v>
      </c>
      <c r="V1571">
        <f>(Tabela2[[#This Row],[SMOKE]]+Tabela2[[#This Row],[CALC_bebe_alcool_frequentemente]])</f>
        <v>1</v>
      </c>
      <c r="W1571" s="8">
        <f>(Tabela2[[#This Row],[Weight]]/(Tabela2[[#This Row],[Height]] ^2))</f>
        <v>34.600036158260501</v>
      </c>
    </row>
    <row r="1572" spans="1:23" x14ac:dyDescent="0.25">
      <c r="A1572" t="s">
        <v>15</v>
      </c>
      <c r="B1572" s="7">
        <v>26.680375999999999</v>
      </c>
      <c r="C1572" s="4">
        <v>1.8122590000000001</v>
      </c>
      <c r="D1572" s="7">
        <v>118.277657</v>
      </c>
      <c r="E1572">
        <v>1</v>
      </c>
      <c r="F1572">
        <v>1</v>
      </c>
      <c r="G1572" s="2">
        <v>2.2396340000000001</v>
      </c>
      <c r="H1572" s="2">
        <v>3</v>
      </c>
      <c r="I1572">
        <v>1</v>
      </c>
      <c r="J1572">
        <v>0</v>
      </c>
      <c r="K1572" s="2">
        <v>2.6842640000000002</v>
      </c>
      <c r="L1572">
        <v>0</v>
      </c>
      <c r="M1572" s="7">
        <v>0.97930600000000001</v>
      </c>
      <c r="N1572" s="7">
        <v>0</v>
      </c>
      <c r="O1572">
        <v>1</v>
      </c>
      <c r="P1572" t="s">
        <v>14</v>
      </c>
      <c r="Q1572">
        <v>5</v>
      </c>
      <c r="R1572" s="8">
        <f>(Tabela2[[#This Row],[FAF_atividade_fisica_frequente_em_horas]]+ 0.1)</f>
        <v>1.0793060000000001</v>
      </c>
      <c r="S1572" s="1">
        <f>(Tabela2[[#This Row],[TUE_tempo_uso_aparelhos_em_horas]]/Tabela2[[#This Row],[FAF_Var]])</f>
        <v>0</v>
      </c>
      <c r="T1572">
        <f>(Tabela2[[#This Row],[CAEC_lanche_entre_refeicoes]]*Tabela2[[#This Row],[FAVC_consumo_frequente_de_alimentos_mt_caloricos]])</f>
        <v>1</v>
      </c>
      <c r="U1572" s="1">
        <f>IF(OR(Tabela2[[#This Row],[MTRANS]]="Walking",Tabela2[[#This Row],[MTRANS]]="Bike"),Tabela2[[#This Row],[FAF_atividade_fisica_frequente_em_horas]]+1,M1572)</f>
        <v>0.97930600000000001</v>
      </c>
      <c r="V1572">
        <f>(Tabela2[[#This Row],[SMOKE]]+Tabela2[[#This Row],[CALC_bebe_alcool_frequentemente]])</f>
        <v>1</v>
      </c>
      <c r="W1572" s="8">
        <f>(Tabela2[[#This Row],[Weight]]/(Tabela2[[#This Row],[Height]] ^2))</f>
        <v>36.01323893625478</v>
      </c>
    </row>
    <row r="1573" spans="1:23" x14ac:dyDescent="0.25">
      <c r="A1573" t="s">
        <v>15</v>
      </c>
      <c r="B1573" s="7">
        <v>37.056193</v>
      </c>
      <c r="C1573" s="4">
        <v>1.7501500000000001</v>
      </c>
      <c r="D1573" s="7">
        <v>118.206565</v>
      </c>
      <c r="E1573">
        <v>1</v>
      </c>
      <c r="F1573">
        <v>1</v>
      </c>
      <c r="G1573" s="2">
        <v>2.0928300000000002</v>
      </c>
      <c r="H1573" s="2">
        <v>3</v>
      </c>
      <c r="I1573">
        <v>1</v>
      </c>
      <c r="J1573">
        <v>0</v>
      </c>
      <c r="K1573" s="2">
        <v>2.0777040000000002</v>
      </c>
      <c r="L1573">
        <v>0</v>
      </c>
      <c r="M1573" s="7">
        <v>0.59865500000000005</v>
      </c>
      <c r="N1573" s="7">
        <v>0</v>
      </c>
      <c r="O1573">
        <v>1</v>
      </c>
      <c r="P1573" t="s">
        <v>17</v>
      </c>
      <c r="Q1573">
        <v>5</v>
      </c>
      <c r="R1573" s="8">
        <f>(Tabela2[[#This Row],[FAF_atividade_fisica_frequente_em_horas]]+ 0.1)</f>
        <v>0.69865500000000003</v>
      </c>
      <c r="S1573" s="1">
        <f>(Tabela2[[#This Row],[TUE_tempo_uso_aparelhos_em_horas]]/Tabela2[[#This Row],[FAF_Var]])</f>
        <v>0</v>
      </c>
      <c r="T1573">
        <f>(Tabela2[[#This Row],[CAEC_lanche_entre_refeicoes]]*Tabela2[[#This Row],[FAVC_consumo_frequente_de_alimentos_mt_caloricos]])</f>
        <v>1</v>
      </c>
      <c r="U1573" s="1">
        <f>IF(OR(Tabela2[[#This Row],[MTRANS]]="Walking",Tabela2[[#This Row],[MTRANS]]="Bike"),Tabela2[[#This Row],[FAF_atividade_fisica_frequente_em_horas]]+1,M1573)</f>
        <v>0.59865500000000005</v>
      </c>
      <c r="V1573">
        <f>(Tabela2[[#This Row],[SMOKE]]+Tabela2[[#This Row],[CALC_bebe_alcool_frequentemente]])</f>
        <v>1</v>
      </c>
      <c r="W1573" s="8">
        <f>(Tabela2[[#This Row],[Weight]]/(Tabela2[[#This Row],[Height]] ^2))</f>
        <v>38.591446080816333</v>
      </c>
    </row>
    <row r="1574" spans="1:23" x14ac:dyDescent="0.25">
      <c r="A1574" t="s">
        <v>15</v>
      </c>
      <c r="B1574" s="7">
        <v>28.825278999999998</v>
      </c>
      <c r="C1574" s="4">
        <v>1.815347</v>
      </c>
      <c r="D1574" s="7">
        <v>120.39975800000001</v>
      </c>
      <c r="E1574">
        <v>1</v>
      </c>
      <c r="F1574">
        <v>1</v>
      </c>
      <c r="G1574" s="2">
        <v>2.9672999999999998</v>
      </c>
      <c r="H1574" s="2">
        <v>3</v>
      </c>
      <c r="I1574">
        <v>1</v>
      </c>
      <c r="J1574">
        <v>0</v>
      </c>
      <c r="K1574" s="2">
        <v>2.5300349999999998</v>
      </c>
      <c r="L1574">
        <v>0</v>
      </c>
      <c r="M1574" s="7">
        <v>1.045107</v>
      </c>
      <c r="N1574" s="7">
        <v>0.94786599999999999</v>
      </c>
      <c r="O1574">
        <v>1</v>
      </c>
      <c r="P1574" t="s">
        <v>17</v>
      </c>
      <c r="Q1574">
        <v>5</v>
      </c>
      <c r="R1574" s="8">
        <f>(Tabela2[[#This Row],[FAF_atividade_fisica_frequente_em_horas]]+ 0.1)</f>
        <v>1.1451070000000001</v>
      </c>
      <c r="S1574" s="1">
        <f>(Tabela2[[#This Row],[TUE_tempo_uso_aparelhos_em_horas]]/Tabela2[[#This Row],[FAF_Var]])</f>
        <v>0.82775321432844262</v>
      </c>
      <c r="T1574">
        <f>(Tabela2[[#This Row],[CAEC_lanche_entre_refeicoes]]*Tabela2[[#This Row],[FAVC_consumo_frequente_de_alimentos_mt_caloricos]])</f>
        <v>1</v>
      </c>
      <c r="U1574" s="1">
        <f>IF(OR(Tabela2[[#This Row],[MTRANS]]="Walking",Tabela2[[#This Row],[MTRANS]]="Bike"),Tabela2[[#This Row],[FAF_atividade_fisica_frequente_em_horas]]+1,M1574)</f>
        <v>1.045107</v>
      </c>
      <c r="V1574">
        <f>(Tabela2[[#This Row],[SMOKE]]+Tabela2[[#This Row],[CALC_bebe_alcool_frequentemente]])</f>
        <v>1</v>
      </c>
      <c r="W1574" s="8">
        <f>(Tabela2[[#This Row],[Weight]]/(Tabela2[[#This Row],[Height]] ^2))</f>
        <v>36.53476433649179</v>
      </c>
    </row>
    <row r="1575" spans="1:23" x14ac:dyDescent="0.25">
      <c r="A1575" t="s">
        <v>15</v>
      </c>
      <c r="B1575" s="7">
        <v>25.883749000000002</v>
      </c>
      <c r="C1575" s="4">
        <v>1.767077</v>
      </c>
      <c r="D1575" s="7">
        <v>114.133149</v>
      </c>
      <c r="E1575">
        <v>1</v>
      </c>
      <c r="F1575">
        <v>1</v>
      </c>
      <c r="G1575" s="2">
        <v>2.2257310000000001</v>
      </c>
      <c r="H1575" s="2">
        <v>3</v>
      </c>
      <c r="I1575">
        <v>1</v>
      </c>
      <c r="J1575">
        <v>0</v>
      </c>
      <c r="K1575" s="2">
        <v>2.1543260000000002</v>
      </c>
      <c r="L1575">
        <v>0</v>
      </c>
      <c r="M1575" s="7">
        <v>1.266866</v>
      </c>
      <c r="N1575" s="7">
        <v>0.39017800000000002</v>
      </c>
      <c r="O1575">
        <v>1</v>
      </c>
      <c r="P1575" t="s">
        <v>14</v>
      </c>
      <c r="Q1575">
        <v>5</v>
      </c>
      <c r="R1575" s="8">
        <f>(Tabela2[[#This Row],[FAF_atividade_fisica_frequente_em_horas]]+ 0.1)</f>
        <v>1.3668660000000001</v>
      </c>
      <c r="S1575" s="1">
        <f>(Tabela2[[#This Row],[TUE_tempo_uso_aparelhos_em_horas]]/Tabela2[[#This Row],[FAF_Var]])</f>
        <v>0.28545446298320393</v>
      </c>
      <c r="T1575">
        <f>(Tabela2[[#This Row],[CAEC_lanche_entre_refeicoes]]*Tabela2[[#This Row],[FAVC_consumo_frequente_de_alimentos_mt_caloricos]])</f>
        <v>1</v>
      </c>
      <c r="U1575" s="1">
        <f>IF(OR(Tabela2[[#This Row],[MTRANS]]="Walking",Tabela2[[#This Row],[MTRANS]]="Bike"),Tabela2[[#This Row],[FAF_atividade_fisica_frequente_em_horas]]+1,M1575)</f>
        <v>1.266866</v>
      </c>
      <c r="V1575">
        <f>(Tabela2[[#This Row],[SMOKE]]+Tabela2[[#This Row],[CALC_bebe_alcool_frequentemente]])</f>
        <v>1</v>
      </c>
      <c r="W1575" s="8">
        <f>(Tabela2[[#This Row],[Weight]]/(Tabela2[[#This Row],[Height]] ^2))</f>
        <v>36.551133659279856</v>
      </c>
    </row>
    <row r="1576" spans="1:23" x14ac:dyDescent="0.25">
      <c r="A1576" t="s">
        <v>15</v>
      </c>
      <c r="B1576" s="7">
        <v>25.486521</v>
      </c>
      <c r="C1576" s="4">
        <v>1.7624610000000001</v>
      </c>
      <c r="D1576" s="7">
        <v>115.531622</v>
      </c>
      <c r="E1576">
        <v>1</v>
      </c>
      <c r="F1576">
        <v>1</v>
      </c>
      <c r="G1576" s="2">
        <v>2.1783079999999999</v>
      </c>
      <c r="H1576" s="2">
        <v>3</v>
      </c>
      <c r="I1576">
        <v>1</v>
      </c>
      <c r="J1576">
        <v>0</v>
      </c>
      <c r="K1576" s="2">
        <v>2.1658040000000001</v>
      </c>
      <c r="L1576">
        <v>0</v>
      </c>
      <c r="M1576" s="7">
        <v>1.4206749999999999</v>
      </c>
      <c r="N1576" s="7">
        <v>1.875683</v>
      </c>
      <c r="O1576">
        <v>1</v>
      </c>
      <c r="P1576" t="s">
        <v>14</v>
      </c>
      <c r="Q1576">
        <v>5</v>
      </c>
      <c r="R1576" s="8">
        <f>(Tabela2[[#This Row],[FAF_atividade_fisica_frequente_em_horas]]+ 0.1)</f>
        <v>1.520675</v>
      </c>
      <c r="S1576" s="1">
        <f>(Tabela2[[#This Row],[TUE_tempo_uso_aparelhos_em_horas]]/Tabela2[[#This Row],[FAF_Var]])</f>
        <v>1.2334542226313971</v>
      </c>
      <c r="T1576">
        <f>(Tabela2[[#This Row],[CAEC_lanche_entre_refeicoes]]*Tabela2[[#This Row],[FAVC_consumo_frequente_de_alimentos_mt_caloricos]])</f>
        <v>1</v>
      </c>
      <c r="U1576" s="1">
        <f>IF(OR(Tabela2[[#This Row],[MTRANS]]="Walking",Tabela2[[#This Row],[MTRANS]]="Bike"),Tabela2[[#This Row],[FAF_atividade_fisica_frequente_em_horas]]+1,M1576)</f>
        <v>1.4206749999999999</v>
      </c>
      <c r="V1576">
        <f>(Tabela2[[#This Row],[SMOKE]]+Tabela2[[#This Row],[CALC_bebe_alcool_frequentemente]])</f>
        <v>1</v>
      </c>
      <c r="W1576" s="8">
        <f>(Tabela2[[#This Row],[Weight]]/(Tabela2[[#This Row],[Height]] ^2))</f>
        <v>37.193053889365821</v>
      </c>
    </row>
    <row r="1577" spans="1:23" x14ac:dyDescent="0.25">
      <c r="A1577" t="s">
        <v>15</v>
      </c>
      <c r="B1577" s="7">
        <v>29.883020999999999</v>
      </c>
      <c r="C1577" s="4">
        <v>1.7790490000000001</v>
      </c>
      <c r="D1577" s="7">
        <v>112.438508</v>
      </c>
      <c r="E1577">
        <v>1</v>
      </c>
      <c r="F1577">
        <v>1</v>
      </c>
      <c r="G1577" s="2">
        <v>2.0657519999999998</v>
      </c>
      <c r="H1577" s="2">
        <v>3</v>
      </c>
      <c r="I1577">
        <v>1</v>
      </c>
      <c r="J1577">
        <v>0</v>
      </c>
      <c r="K1577" s="2">
        <v>2.0782970000000001</v>
      </c>
      <c r="L1577">
        <v>0</v>
      </c>
      <c r="M1577" s="7">
        <v>0</v>
      </c>
      <c r="N1577" s="7">
        <v>0.67735400000000001</v>
      </c>
      <c r="O1577">
        <v>1</v>
      </c>
      <c r="P1577" t="s">
        <v>17</v>
      </c>
      <c r="Q1577">
        <v>5</v>
      </c>
      <c r="R1577" s="8">
        <f>(Tabela2[[#This Row],[FAF_atividade_fisica_frequente_em_horas]]+ 0.1)</f>
        <v>0.1</v>
      </c>
      <c r="S1577" s="1">
        <f>(Tabela2[[#This Row],[TUE_tempo_uso_aparelhos_em_horas]]/Tabela2[[#This Row],[FAF_Var]])</f>
        <v>6.7735399999999997</v>
      </c>
      <c r="T1577">
        <f>(Tabela2[[#This Row],[CAEC_lanche_entre_refeicoes]]*Tabela2[[#This Row],[FAVC_consumo_frequente_de_alimentos_mt_caloricos]])</f>
        <v>1</v>
      </c>
      <c r="U1577" s="1">
        <f>IF(OR(Tabela2[[#This Row],[MTRANS]]="Walking",Tabela2[[#This Row],[MTRANS]]="Bike"),Tabela2[[#This Row],[FAF_atividade_fisica_frequente_em_horas]]+1,M1577)</f>
        <v>0</v>
      </c>
      <c r="V1577">
        <f>(Tabela2[[#This Row],[SMOKE]]+Tabela2[[#This Row],[CALC_bebe_alcool_frequentemente]])</f>
        <v>1</v>
      </c>
      <c r="W1577" s="8">
        <f>(Tabela2[[#This Row],[Weight]]/(Tabela2[[#This Row],[Height]] ^2))</f>
        <v>35.525422712059459</v>
      </c>
    </row>
    <row r="1578" spans="1:23" x14ac:dyDescent="0.25">
      <c r="A1578" t="s">
        <v>15</v>
      </c>
      <c r="B1578" s="7">
        <v>26.957644999999999</v>
      </c>
      <c r="C1578" s="4">
        <v>1.7807310000000001</v>
      </c>
      <c r="D1578" s="7">
        <v>112.957922</v>
      </c>
      <c r="E1578">
        <v>1</v>
      </c>
      <c r="F1578">
        <v>1</v>
      </c>
      <c r="G1578" s="2">
        <v>2.263245</v>
      </c>
      <c r="H1578" s="2">
        <v>3</v>
      </c>
      <c r="I1578">
        <v>1</v>
      </c>
      <c r="J1578">
        <v>0</v>
      </c>
      <c r="K1578" s="2">
        <v>2.0925090000000002</v>
      </c>
      <c r="L1578">
        <v>0</v>
      </c>
      <c r="M1578" s="7">
        <v>0</v>
      </c>
      <c r="N1578" s="7">
        <v>1.8368530000000001</v>
      </c>
      <c r="O1578">
        <v>1</v>
      </c>
      <c r="P1578" t="s">
        <v>17</v>
      </c>
      <c r="Q1578">
        <v>5</v>
      </c>
      <c r="R1578" s="8">
        <f>(Tabela2[[#This Row],[FAF_atividade_fisica_frequente_em_horas]]+ 0.1)</f>
        <v>0.1</v>
      </c>
      <c r="S1578" s="1">
        <f>(Tabela2[[#This Row],[TUE_tempo_uso_aparelhos_em_horas]]/Tabela2[[#This Row],[FAF_Var]])</f>
        <v>18.36853</v>
      </c>
      <c r="T1578">
        <f>(Tabela2[[#This Row],[CAEC_lanche_entre_refeicoes]]*Tabela2[[#This Row],[FAVC_consumo_frequente_de_alimentos_mt_caloricos]])</f>
        <v>1</v>
      </c>
      <c r="U1578" s="1">
        <f>IF(OR(Tabela2[[#This Row],[MTRANS]]="Walking",Tabela2[[#This Row],[MTRANS]]="Bike"),Tabela2[[#This Row],[FAF_atividade_fisica_frequente_em_horas]]+1,M1578)</f>
        <v>0</v>
      </c>
      <c r="V1578">
        <f>(Tabela2[[#This Row],[SMOKE]]+Tabela2[[#This Row],[CALC_bebe_alcool_frequentemente]])</f>
        <v>1</v>
      </c>
      <c r="W1578" s="8">
        <f>(Tabela2[[#This Row],[Weight]]/(Tabela2[[#This Row],[Height]] ^2))</f>
        <v>35.622144085984047</v>
      </c>
    </row>
    <row r="1579" spans="1:23" x14ac:dyDescent="0.25">
      <c r="A1579" t="s">
        <v>15</v>
      </c>
      <c r="B1579" s="7">
        <v>26.490926000000002</v>
      </c>
      <c r="C1579" s="4">
        <v>1.872517</v>
      </c>
      <c r="D1579" s="7">
        <v>120.898397</v>
      </c>
      <c r="E1579">
        <v>1</v>
      </c>
      <c r="F1579">
        <v>1</v>
      </c>
      <c r="G1579" s="2">
        <v>2.4435380000000002</v>
      </c>
      <c r="H1579" s="2">
        <v>3</v>
      </c>
      <c r="I1579">
        <v>1</v>
      </c>
      <c r="J1579">
        <v>0</v>
      </c>
      <c r="K1579" s="2">
        <v>2.939492</v>
      </c>
      <c r="L1579">
        <v>0</v>
      </c>
      <c r="M1579" s="7">
        <v>1.208142</v>
      </c>
      <c r="N1579" s="7">
        <v>0.73893500000000001</v>
      </c>
      <c r="O1579">
        <v>1</v>
      </c>
      <c r="P1579" t="s">
        <v>14</v>
      </c>
      <c r="Q1579">
        <v>5</v>
      </c>
      <c r="R1579" s="8">
        <f>(Tabela2[[#This Row],[FAF_atividade_fisica_frequente_em_horas]]+ 0.1)</f>
        <v>1.3081420000000001</v>
      </c>
      <c r="S1579" s="1">
        <f>(Tabela2[[#This Row],[TUE_tempo_uso_aparelhos_em_horas]]/Tabela2[[#This Row],[FAF_Var]])</f>
        <v>0.56487369108246654</v>
      </c>
      <c r="T1579">
        <f>(Tabela2[[#This Row],[CAEC_lanche_entre_refeicoes]]*Tabela2[[#This Row],[FAVC_consumo_frequente_de_alimentos_mt_caloricos]])</f>
        <v>1</v>
      </c>
      <c r="U1579" s="1">
        <f>IF(OR(Tabela2[[#This Row],[MTRANS]]="Walking",Tabela2[[#This Row],[MTRANS]]="Bike"),Tabela2[[#This Row],[FAF_atividade_fisica_frequente_em_horas]]+1,M1579)</f>
        <v>1.208142</v>
      </c>
      <c r="V1579">
        <f>(Tabela2[[#This Row],[SMOKE]]+Tabela2[[#This Row],[CALC_bebe_alcool_frequentemente]])</f>
        <v>1</v>
      </c>
      <c r="W1579" s="8">
        <f>(Tabela2[[#This Row],[Weight]]/(Tabela2[[#This Row],[Height]] ^2))</f>
        <v>34.480138698363817</v>
      </c>
    </row>
    <row r="1580" spans="1:23" x14ac:dyDescent="0.25">
      <c r="A1580" t="s">
        <v>15</v>
      </c>
      <c r="B1580" s="7">
        <v>27.558800999999999</v>
      </c>
      <c r="C1580" s="4">
        <v>1.8012239999999999</v>
      </c>
      <c r="D1580" s="7">
        <v>119.050381</v>
      </c>
      <c r="E1580">
        <v>1</v>
      </c>
      <c r="F1580">
        <v>1</v>
      </c>
      <c r="G1580" s="2">
        <v>2.7449940000000002</v>
      </c>
      <c r="H1580" s="2">
        <v>3</v>
      </c>
      <c r="I1580">
        <v>1</v>
      </c>
      <c r="J1580">
        <v>0</v>
      </c>
      <c r="K1580" s="2">
        <v>2.4788380000000001</v>
      </c>
      <c r="L1580">
        <v>0</v>
      </c>
      <c r="M1580" s="7">
        <v>0.68448699999999996</v>
      </c>
      <c r="N1580" s="7">
        <v>0.67790899999999998</v>
      </c>
      <c r="O1580">
        <v>1</v>
      </c>
      <c r="P1580" t="s">
        <v>14</v>
      </c>
      <c r="Q1580">
        <v>5</v>
      </c>
      <c r="R1580" s="8">
        <f>(Tabela2[[#This Row],[FAF_atividade_fisica_frequente_em_horas]]+ 0.1)</f>
        <v>0.78448699999999993</v>
      </c>
      <c r="S1580" s="1">
        <f>(Tabela2[[#This Row],[TUE_tempo_uso_aparelhos_em_horas]]/Tabela2[[#This Row],[FAF_Var]])</f>
        <v>0.86414306419354314</v>
      </c>
      <c r="T1580">
        <f>(Tabela2[[#This Row],[CAEC_lanche_entre_refeicoes]]*Tabela2[[#This Row],[FAVC_consumo_frequente_de_alimentos_mt_caloricos]])</f>
        <v>1</v>
      </c>
      <c r="U1580" s="1">
        <f>IF(OR(Tabela2[[#This Row],[MTRANS]]="Walking",Tabela2[[#This Row],[MTRANS]]="Bike"),Tabela2[[#This Row],[FAF_atividade_fisica_frequente_em_horas]]+1,M1580)</f>
        <v>0.68448699999999996</v>
      </c>
      <c r="V1580">
        <f>(Tabela2[[#This Row],[SMOKE]]+Tabela2[[#This Row],[CALC_bebe_alcool_frequentemente]])</f>
        <v>1</v>
      </c>
      <c r="W1580" s="8">
        <f>(Tabela2[[#This Row],[Weight]]/(Tabela2[[#This Row],[Height]] ^2))</f>
        <v>36.694023913247747</v>
      </c>
    </row>
    <row r="1581" spans="1:23" x14ac:dyDescent="0.25">
      <c r="A1581" t="s">
        <v>15</v>
      </c>
      <c r="B1581" s="7">
        <v>22.908878999999999</v>
      </c>
      <c r="C1581" s="4">
        <v>1.876898</v>
      </c>
      <c r="D1581" s="7">
        <v>121.277832</v>
      </c>
      <c r="E1581">
        <v>1</v>
      </c>
      <c r="F1581">
        <v>1</v>
      </c>
      <c r="G1581" s="2">
        <v>2.6301369999999999</v>
      </c>
      <c r="H1581" s="2">
        <v>2.806298</v>
      </c>
      <c r="I1581">
        <v>1</v>
      </c>
      <c r="J1581">
        <v>0</v>
      </c>
      <c r="K1581" s="2">
        <v>1.9705079999999999</v>
      </c>
      <c r="L1581">
        <v>0</v>
      </c>
      <c r="M1581" s="7">
        <v>1.3042910000000001</v>
      </c>
      <c r="N1581" s="7">
        <v>0</v>
      </c>
      <c r="O1581">
        <v>1</v>
      </c>
      <c r="P1581" t="s">
        <v>14</v>
      </c>
      <c r="Q1581">
        <v>5</v>
      </c>
      <c r="R1581" s="8">
        <f>(Tabela2[[#This Row],[FAF_atividade_fisica_frequente_em_horas]]+ 0.1)</f>
        <v>1.4042910000000002</v>
      </c>
      <c r="S1581" s="1">
        <f>(Tabela2[[#This Row],[TUE_tempo_uso_aparelhos_em_horas]]/Tabela2[[#This Row],[FAF_Var]])</f>
        <v>0</v>
      </c>
      <c r="T1581">
        <f>(Tabela2[[#This Row],[CAEC_lanche_entre_refeicoes]]*Tabela2[[#This Row],[FAVC_consumo_frequente_de_alimentos_mt_caloricos]])</f>
        <v>1</v>
      </c>
      <c r="U1581" s="1">
        <f>IF(OR(Tabela2[[#This Row],[MTRANS]]="Walking",Tabela2[[#This Row],[MTRANS]]="Bike"),Tabela2[[#This Row],[FAF_atividade_fisica_frequente_em_horas]]+1,M1581)</f>
        <v>1.3042910000000001</v>
      </c>
      <c r="V1581">
        <f>(Tabela2[[#This Row],[SMOKE]]+Tabela2[[#This Row],[CALC_bebe_alcool_frequentemente]])</f>
        <v>1</v>
      </c>
      <c r="W1581" s="8">
        <f>(Tabela2[[#This Row],[Weight]]/(Tabela2[[#This Row],[Height]] ^2))</f>
        <v>34.427071515950963</v>
      </c>
    </row>
    <row r="1582" spans="1:23" x14ac:dyDescent="0.25">
      <c r="A1582" t="s">
        <v>15</v>
      </c>
      <c r="B1582" s="7">
        <v>24.201622</v>
      </c>
      <c r="C1582" s="4">
        <v>1.7755799999999999</v>
      </c>
      <c r="D1582" s="7">
        <v>120.58941900000001</v>
      </c>
      <c r="E1582">
        <v>1</v>
      </c>
      <c r="F1582">
        <v>1</v>
      </c>
      <c r="G1582" s="2">
        <v>2.1138430000000001</v>
      </c>
      <c r="H1582" s="2">
        <v>3</v>
      </c>
      <c r="I1582">
        <v>1</v>
      </c>
      <c r="J1582">
        <v>0</v>
      </c>
      <c r="K1582" s="2">
        <v>2.3160690000000002</v>
      </c>
      <c r="L1582">
        <v>0</v>
      </c>
      <c r="M1582" s="7">
        <v>1.804157</v>
      </c>
      <c r="N1582" s="7">
        <v>0.35731400000000002</v>
      </c>
      <c r="O1582">
        <v>1</v>
      </c>
      <c r="P1582" t="s">
        <v>14</v>
      </c>
      <c r="Q1582">
        <v>5</v>
      </c>
      <c r="R1582" s="8">
        <f>(Tabela2[[#This Row],[FAF_atividade_fisica_frequente_em_horas]]+ 0.1)</f>
        <v>1.9041570000000001</v>
      </c>
      <c r="S1582" s="1">
        <f>(Tabela2[[#This Row],[TUE_tempo_uso_aparelhos_em_horas]]/Tabela2[[#This Row],[FAF_Var]])</f>
        <v>0.18764944277178824</v>
      </c>
      <c r="T1582">
        <f>(Tabela2[[#This Row],[CAEC_lanche_entre_refeicoes]]*Tabela2[[#This Row],[FAVC_consumo_frequente_de_alimentos_mt_caloricos]])</f>
        <v>1</v>
      </c>
      <c r="U1582" s="1">
        <f>IF(OR(Tabela2[[#This Row],[MTRANS]]="Walking",Tabela2[[#This Row],[MTRANS]]="Bike"),Tabela2[[#This Row],[FAF_atividade_fisica_frequente_em_horas]]+1,M1582)</f>
        <v>1.804157</v>
      </c>
      <c r="V1582">
        <f>(Tabela2[[#This Row],[SMOKE]]+Tabela2[[#This Row],[CALC_bebe_alcool_frequentemente]])</f>
        <v>1</v>
      </c>
      <c r="W1582" s="8">
        <f>(Tabela2[[#This Row],[Weight]]/(Tabela2[[#This Row],[Height]] ^2))</f>
        <v>38.249759929247837</v>
      </c>
    </row>
    <row r="1583" spans="1:23" x14ac:dyDescent="0.25">
      <c r="A1583" t="s">
        <v>15</v>
      </c>
      <c r="B1583" s="7">
        <v>31.689772999999999</v>
      </c>
      <c r="C1583" s="4">
        <v>1.76569</v>
      </c>
      <c r="D1583" s="7">
        <v>120.08294100000001</v>
      </c>
      <c r="E1583">
        <v>1</v>
      </c>
      <c r="F1583">
        <v>1</v>
      </c>
      <c r="G1583" s="2">
        <v>2.8217270000000001</v>
      </c>
      <c r="H1583" s="2">
        <v>3</v>
      </c>
      <c r="I1583">
        <v>1</v>
      </c>
      <c r="J1583">
        <v>0</v>
      </c>
      <c r="K1583" s="2">
        <v>2.173279</v>
      </c>
      <c r="L1583">
        <v>0</v>
      </c>
      <c r="M1583" s="7">
        <v>1.0965560000000001</v>
      </c>
      <c r="N1583" s="7">
        <v>0.23285800000000001</v>
      </c>
      <c r="O1583">
        <v>1</v>
      </c>
      <c r="P1583" t="s">
        <v>17</v>
      </c>
      <c r="Q1583">
        <v>5</v>
      </c>
      <c r="R1583" s="8">
        <f>(Tabela2[[#This Row],[FAF_atividade_fisica_frequente_em_horas]]+ 0.1)</f>
        <v>1.1965560000000002</v>
      </c>
      <c r="S1583" s="1">
        <f>(Tabela2[[#This Row],[TUE_tempo_uso_aparelhos_em_horas]]/Tabela2[[#This Row],[FAF_Var]])</f>
        <v>0.19460685500720398</v>
      </c>
      <c r="T1583">
        <f>(Tabela2[[#This Row],[CAEC_lanche_entre_refeicoes]]*Tabela2[[#This Row],[FAVC_consumo_frequente_de_alimentos_mt_caloricos]])</f>
        <v>1</v>
      </c>
      <c r="U1583" s="1">
        <f>IF(OR(Tabela2[[#This Row],[MTRANS]]="Walking",Tabela2[[#This Row],[MTRANS]]="Bike"),Tabela2[[#This Row],[FAF_atividade_fisica_frequente_em_horas]]+1,M1583)</f>
        <v>1.0965560000000001</v>
      </c>
      <c r="V1583">
        <f>(Tabela2[[#This Row],[SMOKE]]+Tabela2[[#This Row],[CALC_bebe_alcool_frequentemente]])</f>
        <v>1</v>
      </c>
      <c r="W1583" s="8">
        <f>(Tabela2[[#This Row],[Weight]]/(Tabela2[[#This Row],[Height]] ^2))</f>
        <v>38.516995342712733</v>
      </c>
    </row>
    <row r="1584" spans="1:23" x14ac:dyDescent="0.25">
      <c r="A1584" t="s">
        <v>15</v>
      </c>
      <c r="B1584" s="7">
        <v>30.242597</v>
      </c>
      <c r="C1584" s="4">
        <v>1.7597719999999999</v>
      </c>
      <c r="D1584" s="7">
        <v>118.382361</v>
      </c>
      <c r="E1584">
        <v>1</v>
      </c>
      <c r="F1584">
        <v>1</v>
      </c>
      <c r="G1584" s="2">
        <v>2.3125279999999999</v>
      </c>
      <c r="H1584" s="2">
        <v>3</v>
      </c>
      <c r="I1584">
        <v>1</v>
      </c>
      <c r="J1584">
        <v>0</v>
      </c>
      <c r="K1584" s="2">
        <v>2.2080679999999999</v>
      </c>
      <c r="L1584">
        <v>0</v>
      </c>
      <c r="M1584" s="7">
        <v>1.0767199999999999</v>
      </c>
      <c r="N1584" s="7">
        <v>1.035711</v>
      </c>
      <c r="O1584">
        <v>1</v>
      </c>
      <c r="P1584" t="s">
        <v>17</v>
      </c>
      <c r="Q1584">
        <v>5</v>
      </c>
      <c r="R1584" s="8">
        <f>(Tabela2[[#This Row],[FAF_atividade_fisica_frequente_em_horas]]+ 0.1)</f>
        <v>1.17672</v>
      </c>
      <c r="S1584" s="1">
        <f>(Tabela2[[#This Row],[TUE_tempo_uso_aparelhos_em_horas]]/Tabela2[[#This Row],[FAF_Var]])</f>
        <v>0.88016775443605966</v>
      </c>
      <c r="T1584">
        <f>(Tabela2[[#This Row],[CAEC_lanche_entre_refeicoes]]*Tabela2[[#This Row],[FAVC_consumo_frequente_de_alimentos_mt_caloricos]])</f>
        <v>1</v>
      </c>
      <c r="U1584" s="1">
        <f>IF(OR(Tabela2[[#This Row],[MTRANS]]="Walking",Tabela2[[#This Row],[MTRANS]]="Bike"),Tabela2[[#This Row],[FAF_atividade_fisica_frequente_em_horas]]+1,M1584)</f>
        <v>1.0767199999999999</v>
      </c>
      <c r="V1584">
        <f>(Tabela2[[#This Row],[SMOKE]]+Tabela2[[#This Row],[CALC_bebe_alcool_frequentemente]])</f>
        <v>1</v>
      </c>
      <c r="W1584" s="8">
        <f>(Tabela2[[#This Row],[Weight]]/(Tabela2[[#This Row],[Height]] ^2))</f>
        <v>38.227349804574061</v>
      </c>
    </row>
    <row r="1585" spans="1:23" x14ac:dyDescent="0.25">
      <c r="A1585" t="s">
        <v>15</v>
      </c>
      <c r="B1585" s="7">
        <v>31.346844999999998</v>
      </c>
      <c r="C1585" s="4">
        <v>1.823545</v>
      </c>
      <c r="D1585" s="7">
        <v>126.460936</v>
      </c>
      <c r="E1585">
        <v>1</v>
      </c>
      <c r="F1585">
        <v>1</v>
      </c>
      <c r="G1585" s="2">
        <v>2.9388010000000002</v>
      </c>
      <c r="H1585" s="2">
        <v>3</v>
      </c>
      <c r="I1585">
        <v>1</v>
      </c>
      <c r="J1585">
        <v>1</v>
      </c>
      <c r="K1585" s="2">
        <v>1.4789939999999999</v>
      </c>
      <c r="L1585">
        <v>0</v>
      </c>
      <c r="M1585" s="7">
        <v>0.94676300000000002</v>
      </c>
      <c r="N1585" s="7">
        <v>1.360463</v>
      </c>
      <c r="O1585">
        <v>1</v>
      </c>
      <c r="P1585" t="s">
        <v>14</v>
      </c>
      <c r="Q1585">
        <v>5</v>
      </c>
      <c r="R1585" s="8">
        <f>(Tabela2[[#This Row],[FAF_atividade_fisica_frequente_em_horas]]+ 0.1)</f>
        <v>1.0467630000000001</v>
      </c>
      <c r="S1585" s="1">
        <f>(Tabela2[[#This Row],[TUE_tempo_uso_aparelhos_em_horas]]/Tabela2[[#This Row],[FAF_Var]])</f>
        <v>1.2996857932502388</v>
      </c>
      <c r="T1585">
        <f>(Tabela2[[#This Row],[CAEC_lanche_entre_refeicoes]]*Tabela2[[#This Row],[FAVC_consumo_frequente_de_alimentos_mt_caloricos]])</f>
        <v>1</v>
      </c>
      <c r="U1585" s="1">
        <f>IF(OR(Tabela2[[#This Row],[MTRANS]]="Walking",Tabela2[[#This Row],[MTRANS]]="Bike"),Tabela2[[#This Row],[FAF_atividade_fisica_frequente_em_horas]]+1,M1585)</f>
        <v>0.94676300000000002</v>
      </c>
      <c r="V1585">
        <f>(Tabela2[[#This Row],[SMOKE]]+Tabela2[[#This Row],[CALC_bebe_alcool_frequentemente]])</f>
        <v>2</v>
      </c>
      <c r="W1585" s="8">
        <f>(Tabela2[[#This Row],[Weight]]/(Tabela2[[#This Row],[Height]] ^2))</f>
        <v>38.029745757134833</v>
      </c>
    </row>
    <row r="1586" spans="1:23" x14ac:dyDescent="0.25">
      <c r="A1586" t="s">
        <v>15</v>
      </c>
      <c r="B1586" s="7">
        <v>30.577342999999999</v>
      </c>
      <c r="C1586" s="4">
        <v>1.8689229999999999</v>
      </c>
      <c r="D1586" s="7">
        <v>125.06426399999999</v>
      </c>
      <c r="E1586">
        <v>1</v>
      </c>
      <c r="F1586">
        <v>1</v>
      </c>
      <c r="G1586" s="2">
        <v>2.0506190000000002</v>
      </c>
      <c r="H1586" s="2">
        <v>3</v>
      </c>
      <c r="I1586">
        <v>1</v>
      </c>
      <c r="J1586">
        <v>1</v>
      </c>
      <c r="K1586" s="2">
        <v>1.5151829999999999</v>
      </c>
      <c r="L1586">
        <v>0</v>
      </c>
      <c r="M1586" s="7">
        <v>0.84981099999999998</v>
      </c>
      <c r="N1586" s="7">
        <v>0.26190099999999999</v>
      </c>
      <c r="O1586">
        <v>1</v>
      </c>
      <c r="P1586" t="s">
        <v>14</v>
      </c>
      <c r="Q1586">
        <v>5</v>
      </c>
      <c r="R1586" s="8">
        <f>(Tabela2[[#This Row],[FAF_atividade_fisica_frequente_em_horas]]+ 0.1)</f>
        <v>0.94981099999999996</v>
      </c>
      <c r="S1586" s="1">
        <f>(Tabela2[[#This Row],[TUE_tempo_uso_aparelhos_em_horas]]/Tabela2[[#This Row],[FAF_Var]])</f>
        <v>0.27574012092932171</v>
      </c>
      <c r="T1586">
        <f>(Tabela2[[#This Row],[CAEC_lanche_entre_refeicoes]]*Tabela2[[#This Row],[FAVC_consumo_frequente_de_alimentos_mt_caloricos]])</f>
        <v>1</v>
      </c>
      <c r="U1586" s="1">
        <f>IF(OR(Tabela2[[#This Row],[MTRANS]]="Walking",Tabela2[[#This Row],[MTRANS]]="Bike"),Tabela2[[#This Row],[FAF_atividade_fisica_frequente_em_horas]]+1,M1586)</f>
        <v>0.84981099999999998</v>
      </c>
      <c r="V1586">
        <f>(Tabela2[[#This Row],[SMOKE]]+Tabela2[[#This Row],[CALC_bebe_alcool_frequentemente]])</f>
        <v>2</v>
      </c>
      <c r="W1586" s="8">
        <f>(Tabela2[[#This Row],[Weight]]/(Tabela2[[#This Row],[Height]] ^2))</f>
        <v>35.805555357306787</v>
      </c>
    </row>
    <row r="1587" spans="1:23" x14ac:dyDescent="0.25">
      <c r="A1587" t="s">
        <v>15</v>
      </c>
      <c r="B1587" s="7">
        <v>25.124594999999999</v>
      </c>
      <c r="C1587" s="4">
        <v>1.7715099999999999</v>
      </c>
      <c r="D1587" s="7">
        <v>113.20712399999999</v>
      </c>
      <c r="E1587">
        <v>1</v>
      </c>
      <c r="F1587">
        <v>1</v>
      </c>
      <c r="G1587" s="2">
        <v>1.4577580000000001</v>
      </c>
      <c r="H1587" s="2">
        <v>3</v>
      </c>
      <c r="I1587">
        <v>1</v>
      </c>
      <c r="J1587">
        <v>0</v>
      </c>
      <c r="K1587" s="2">
        <v>2.0202490000000002</v>
      </c>
      <c r="L1587">
        <v>0</v>
      </c>
      <c r="M1587" s="7">
        <v>1.5567089999999999</v>
      </c>
      <c r="N1587" s="7">
        <v>1.33E-3</v>
      </c>
      <c r="O1587">
        <v>1</v>
      </c>
      <c r="P1587" t="s">
        <v>14</v>
      </c>
      <c r="Q1587">
        <v>5</v>
      </c>
      <c r="R1587" s="8">
        <f>(Tabela2[[#This Row],[FAF_atividade_fisica_frequente_em_horas]]+ 0.1)</f>
        <v>1.656709</v>
      </c>
      <c r="S1587" s="1">
        <f>(Tabela2[[#This Row],[TUE_tempo_uso_aparelhos_em_horas]]/Tabela2[[#This Row],[FAF_Var]])</f>
        <v>8.0279638729553596E-4</v>
      </c>
      <c r="T1587">
        <f>(Tabela2[[#This Row],[CAEC_lanche_entre_refeicoes]]*Tabela2[[#This Row],[FAVC_consumo_frequente_de_alimentos_mt_caloricos]])</f>
        <v>1</v>
      </c>
      <c r="U1587" s="1">
        <f>IF(OR(Tabela2[[#This Row],[MTRANS]]="Walking",Tabela2[[#This Row],[MTRANS]]="Bike"),Tabela2[[#This Row],[FAF_atividade_fisica_frequente_em_horas]]+1,M1587)</f>
        <v>1.5567089999999999</v>
      </c>
      <c r="V1587">
        <f>(Tabela2[[#This Row],[SMOKE]]+Tabela2[[#This Row],[CALC_bebe_alcool_frequentemente]])</f>
        <v>1</v>
      </c>
      <c r="W1587" s="8">
        <f>(Tabela2[[#This Row],[Weight]]/(Tabela2[[#This Row],[Height]] ^2))</f>
        <v>36.073355432670205</v>
      </c>
    </row>
    <row r="1588" spans="1:23" x14ac:dyDescent="0.25">
      <c r="A1588" t="s">
        <v>15</v>
      </c>
      <c r="B1588" s="7">
        <v>25.509034</v>
      </c>
      <c r="C1588" s="4">
        <v>1.7721899999999999</v>
      </c>
      <c r="D1588" s="7">
        <v>114.097656</v>
      </c>
      <c r="E1588">
        <v>1</v>
      </c>
      <c r="F1588">
        <v>1</v>
      </c>
      <c r="G1588" s="2">
        <v>2.1933099999999999</v>
      </c>
      <c r="H1588" s="2">
        <v>3</v>
      </c>
      <c r="I1588">
        <v>1</v>
      </c>
      <c r="J1588">
        <v>0</v>
      </c>
      <c r="K1588" s="2">
        <v>2.0899830000000001</v>
      </c>
      <c r="L1588">
        <v>0</v>
      </c>
      <c r="M1588" s="7">
        <v>1.360994</v>
      </c>
      <c r="N1588" s="7">
        <v>0.85743800000000003</v>
      </c>
      <c r="O1588">
        <v>1</v>
      </c>
      <c r="P1588" t="s">
        <v>14</v>
      </c>
      <c r="Q1588">
        <v>5</v>
      </c>
      <c r="R1588" s="8">
        <f>(Tabela2[[#This Row],[FAF_atividade_fisica_frequente_em_horas]]+ 0.1)</f>
        <v>1.4609940000000001</v>
      </c>
      <c r="S1588" s="1">
        <f>(Tabela2[[#This Row],[TUE_tempo_uso_aparelhos_em_horas]]/Tabela2[[#This Row],[FAF_Var]])</f>
        <v>0.58688673601671193</v>
      </c>
      <c r="T1588">
        <f>(Tabela2[[#This Row],[CAEC_lanche_entre_refeicoes]]*Tabela2[[#This Row],[FAVC_consumo_frequente_de_alimentos_mt_caloricos]])</f>
        <v>1</v>
      </c>
      <c r="U1588" s="1">
        <f>IF(OR(Tabela2[[#This Row],[MTRANS]]="Walking",Tabela2[[#This Row],[MTRANS]]="Bike"),Tabela2[[#This Row],[FAF_atividade_fisica_frequente_em_horas]]+1,M1588)</f>
        <v>1.360994</v>
      </c>
      <c r="V1588">
        <f>(Tabela2[[#This Row],[SMOKE]]+Tabela2[[#This Row],[CALC_bebe_alcool_frequentemente]])</f>
        <v>1</v>
      </c>
      <c r="W1588" s="8">
        <f>(Tabela2[[#This Row],[Weight]]/(Tabela2[[#This Row],[Height]] ^2))</f>
        <v>36.329227168071242</v>
      </c>
    </row>
    <row r="1589" spans="1:23" x14ac:dyDescent="0.25">
      <c r="A1589" t="s">
        <v>15</v>
      </c>
      <c r="B1589" s="7">
        <v>25.478662</v>
      </c>
      <c r="C1589" s="4">
        <v>1.8582650000000001</v>
      </c>
      <c r="D1589" s="7">
        <v>117.57456999999999</v>
      </c>
      <c r="E1589">
        <v>1</v>
      </c>
      <c r="F1589">
        <v>1</v>
      </c>
      <c r="G1589" s="2">
        <v>2.0285709999999999</v>
      </c>
      <c r="H1589" s="2">
        <v>3</v>
      </c>
      <c r="I1589">
        <v>1</v>
      </c>
      <c r="J1589">
        <v>0</v>
      </c>
      <c r="K1589" s="2">
        <v>2.5304280000000001</v>
      </c>
      <c r="L1589">
        <v>0</v>
      </c>
      <c r="M1589" s="7">
        <v>1.31257</v>
      </c>
      <c r="N1589" s="7">
        <v>6.6805000000000003E-2</v>
      </c>
      <c r="O1589">
        <v>1</v>
      </c>
      <c r="P1589" t="s">
        <v>14</v>
      </c>
      <c r="Q1589">
        <v>5</v>
      </c>
      <c r="R1589" s="8">
        <f>(Tabela2[[#This Row],[FAF_atividade_fisica_frequente_em_horas]]+ 0.1)</f>
        <v>1.4125700000000001</v>
      </c>
      <c r="S1589" s="1">
        <f>(Tabela2[[#This Row],[TUE_tempo_uso_aparelhos_em_horas]]/Tabela2[[#This Row],[FAF_Var]])</f>
        <v>4.7293231485873263E-2</v>
      </c>
      <c r="T1589">
        <f>(Tabela2[[#This Row],[CAEC_lanche_entre_refeicoes]]*Tabela2[[#This Row],[FAVC_consumo_frequente_de_alimentos_mt_caloricos]])</f>
        <v>1</v>
      </c>
      <c r="U1589" s="1">
        <f>IF(OR(Tabela2[[#This Row],[MTRANS]]="Walking",Tabela2[[#This Row],[MTRANS]]="Bike"),Tabela2[[#This Row],[FAF_atividade_fisica_frequente_em_horas]]+1,M1589)</f>
        <v>1.31257</v>
      </c>
      <c r="V1589">
        <f>(Tabela2[[#This Row],[SMOKE]]+Tabela2[[#This Row],[CALC_bebe_alcool_frequentemente]])</f>
        <v>1</v>
      </c>
      <c r="W1589" s="8">
        <f>(Tabela2[[#This Row],[Weight]]/(Tabela2[[#This Row],[Height]] ^2))</f>
        <v>34.048509479769301</v>
      </c>
    </row>
    <row r="1590" spans="1:23" x14ac:dyDescent="0.25">
      <c r="A1590" t="s">
        <v>15</v>
      </c>
      <c r="B1590" s="7">
        <v>25.100512999999999</v>
      </c>
      <c r="C1590" s="4">
        <v>1.8305959999999999</v>
      </c>
      <c r="D1590" s="7">
        <v>118.424156</v>
      </c>
      <c r="E1590">
        <v>1</v>
      </c>
      <c r="F1590">
        <v>1</v>
      </c>
      <c r="G1590" s="2">
        <v>1.4556020000000001</v>
      </c>
      <c r="H1590" s="2">
        <v>3</v>
      </c>
      <c r="I1590">
        <v>1</v>
      </c>
      <c r="J1590">
        <v>0</v>
      </c>
      <c r="K1590" s="2">
        <v>2.3633069999999998</v>
      </c>
      <c r="L1590">
        <v>0</v>
      </c>
      <c r="M1590" s="7">
        <v>1.1446829999999999</v>
      </c>
      <c r="N1590" s="7">
        <v>0.101026</v>
      </c>
      <c r="O1590">
        <v>1</v>
      </c>
      <c r="P1590" t="s">
        <v>14</v>
      </c>
      <c r="Q1590">
        <v>5</v>
      </c>
      <c r="R1590" s="8">
        <f>(Tabela2[[#This Row],[FAF_atividade_fisica_frequente_em_horas]]+ 0.1)</f>
        <v>1.244683</v>
      </c>
      <c r="S1590" s="1">
        <f>(Tabela2[[#This Row],[TUE_tempo_uso_aparelhos_em_horas]]/Tabela2[[#This Row],[FAF_Var]])</f>
        <v>8.1166047901353205E-2</v>
      </c>
      <c r="T1590">
        <f>(Tabela2[[#This Row],[CAEC_lanche_entre_refeicoes]]*Tabela2[[#This Row],[FAVC_consumo_frequente_de_alimentos_mt_caloricos]])</f>
        <v>1</v>
      </c>
      <c r="U1590" s="1">
        <f>IF(OR(Tabela2[[#This Row],[MTRANS]]="Walking",Tabela2[[#This Row],[MTRANS]]="Bike"),Tabela2[[#This Row],[FAF_atividade_fisica_frequente_em_horas]]+1,M1590)</f>
        <v>1.1446829999999999</v>
      </c>
      <c r="V1590">
        <f>(Tabela2[[#This Row],[SMOKE]]+Tabela2[[#This Row],[CALC_bebe_alcool_frequentemente]])</f>
        <v>1</v>
      </c>
      <c r="W1590" s="8">
        <f>(Tabela2[[#This Row],[Weight]]/(Tabela2[[#This Row],[Height]] ^2))</f>
        <v>35.339083336070416</v>
      </c>
    </row>
    <row r="1591" spans="1:23" x14ac:dyDescent="0.25">
      <c r="A1591" t="s">
        <v>15</v>
      </c>
      <c r="B1591" s="7">
        <v>38.523645999999999</v>
      </c>
      <c r="C1591" s="4">
        <v>1.765836</v>
      </c>
      <c r="D1591" s="7">
        <v>118.53324600000001</v>
      </c>
      <c r="E1591">
        <v>1</v>
      </c>
      <c r="F1591">
        <v>1</v>
      </c>
      <c r="G1591" s="2">
        <v>2.1778960000000001</v>
      </c>
      <c r="H1591" s="2">
        <v>2.9876520000000002</v>
      </c>
      <c r="I1591">
        <v>1</v>
      </c>
      <c r="J1591">
        <v>0</v>
      </c>
      <c r="K1591" s="2">
        <v>1.7450950000000001</v>
      </c>
      <c r="L1591">
        <v>0</v>
      </c>
      <c r="M1591" s="7">
        <v>0.65654800000000002</v>
      </c>
      <c r="N1591" s="7">
        <v>0</v>
      </c>
      <c r="O1591">
        <v>1</v>
      </c>
      <c r="P1591" t="s">
        <v>17</v>
      </c>
      <c r="Q1591">
        <v>5</v>
      </c>
      <c r="R1591" s="8">
        <f>(Tabela2[[#This Row],[FAF_atividade_fisica_frequente_em_horas]]+ 0.1)</f>
        <v>0.756548</v>
      </c>
      <c r="S1591" s="1">
        <f>(Tabela2[[#This Row],[TUE_tempo_uso_aparelhos_em_horas]]/Tabela2[[#This Row],[FAF_Var]])</f>
        <v>0</v>
      </c>
      <c r="T1591">
        <f>(Tabela2[[#This Row],[CAEC_lanche_entre_refeicoes]]*Tabela2[[#This Row],[FAVC_consumo_frequente_de_alimentos_mt_caloricos]])</f>
        <v>1</v>
      </c>
      <c r="U1591" s="1">
        <f>IF(OR(Tabela2[[#This Row],[MTRANS]]="Walking",Tabela2[[#This Row],[MTRANS]]="Bike"),Tabela2[[#This Row],[FAF_atividade_fisica_frequente_em_horas]]+1,M1591)</f>
        <v>0.65654800000000002</v>
      </c>
      <c r="V1591">
        <f>(Tabela2[[#This Row],[SMOKE]]+Tabela2[[#This Row],[CALC_bebe_alcool_frequentemente]])</f>
        <v>1</v>
      </c>
      <c r="W1591" s="8">
        <f>(Tabela2[[#This Row],[Weight]]/(Tabela2[[#This Row],[Height]] ^2))</f>
        <v>38.013638868148803</v>
      </c>
    </row>
    <row r="1592" spans="1:23" x14ac:dyDescent="0.25">
      <c r="A1592" t="s">
        <v>15</v>
      </c>
      <c r="B1592" s="7">
        <v>38.712159999999997</v>
      </c>
      <c r="C1592" s="4">
        <v>1.770278</v>
      </c>
      <c r="D1592" s="7">
        <v>117.29188000000001</v>
      </c>
      <c r="E1592">
        <v>1</v>
      </c>
      <c r="F1592">
        <v>1</v>
      </c>
      <c r="G1592" s="2">
        <v>2.2523819999999999</v>
      </c>
      <c r="H1592" s="2">
        <v>2.842848</v>
      </c>
      <c r="I1592">
        <v>1</v>
      </c>
      <c r="J1592">
        <v>0</v>
      </c>
      <c r="K1592" s="2">
        <v>1.879381</v>
      </c>
      <c r="L1592">
        <v>0</v>
      </c>
      <c r="M1592" s="7">
        <v>0.91938799999999998</v>
      </c>
      <c r="N1592" s="7">
        <v>0</v>
      </c>
      <c r="O1592">
        <v>1</v>
      </c>
      <c r="P1592" t="s">
        <v>17</v>
      </c>
      <c r="Q1592">
        <v>5</v>
      </c>
      <c r="R1592" s="8">
        <f>(Tabela2[[#This Row],[FAF_atividade_fisica_frequente_em_horas]]+ 0.1)</f>
        <v>1.019388</v>
      </c>
      <c r="S1592" s="1">
        <f>(Tabela2[[#This Row],[TUE_tempo_uso_aparelhos_em_horas]]/Tabela2[[#This Row],[FAF_Var]])</f>
        <v>0</v>
      </c>
      <c r="T1592">
        <f>(Tabela2[[#This Row],[CAEC_lanche_entre_refeicoes]]*Tabela2[[#This Row],[FAVC_consumo_frequente_de_alimentos_mt_caloricos]])</f>
        <v>1</v>
      </c>
      <c r="U1592" s="1">
        <f>IF(OR(Tabela2[[#This Row],[MTRANS]]="Walking",Tabela2[[#This Row],[MTRANS]]="Bike"),Tabela2[[#This Row],[FAF_atividade_fisica_frequente_em_horas]]+1,M1592)</f>
        <v>0.91938799999999998</v>
      </c>
      <c r="V1592">
        <f>(Tabela2[[#This Row],[SMOKE]]+Tabela2[[#This Row],[CALC_bebe_alcool_frequentemente]])</f>
        <v>1</v>
      </c>
      <c r="W1592" s="8">
        <f>(Tabela2[[#This Row],[Weight]]/(Tabela2[[#This Row],[Height]] ^2))</f>
        <v>37.426998770934723</v>
      </c>
    </row>
    <row r="1593" spans="1:23" x14ac:dyDescent="0.25">
      <c r="A1593" t="s">
        <v>15</v>
      </c>
      <c r="B1593" s="7">
        <v>25.717521999999999</v>
      </c>
      <c r="C1593" s="4">
        <v>1.6734910000000001</v>
      </c>
      <c r="D1593" s="7">
        <v>103.706181</v>
      </c>
      <c r="E1593">
        <v>1</v>
      </c>
      <c r="F1593">
        <v>1</v>
      </c>
      <c r="G1593" s="2">
        <v>2.668949</v>
      </c>
      <c r="H1593" s="2">
        <v>1.1343209999999999</v>
      </c>
      <c r="I1593">
        <v>1</v>
      </c>
      <c r="J1593">
        <v>0</v>
      </c>
      <c r="K1593" s="2">
        <v>1.2794430000000001</v>
      </c>
      <c r="L1593">
        <v>0</v>
      </c>
      <c r="M1593" s="7">
        <v>0.11243</v>
      </c>
      <c r="N1593" s="7">
        <v>1.1355029999999999</v>
      </c>
      <c r="O1593">
        <v>0</v>
      </c>
      <c r="P1593" t="s">
        <v>14</v>
      </c>
      <c r="Q1593">
        <v>5</v>
      </c>
      <c r="R1593" s="8">
        <f>(Tabela2[[#This Row],[FAF_atividade_fisica_frequente_em_horas]]+ 0.1)</f>
        <v>0.21243000000000001</v>
      </c>
      <c r="S1593" s="1">
        <f>(Tabela2[[#This Row],[TUE_tempo_uso_aparelhos_em_horas]]/Tabela2[[#This Row],[FAF_Var]])</f>
        <v>5.3453043355458263</v>
      </c>
      <c r="T1593">
        <f>(Tabela2[[#This Row],[CAEC_lanche_entre_refeicoes]]*Tabela2[[#This Row],[FAVC_consumo_frequente_de_alimentos_mt_caloricos]])</f>
        <v>1</v>
      </c>
      <c r="U1593" s="1">
        <f>IF(OR(Tabela2[[#This Row],[MTRANS]]="Walking",Tabela2[[#This Row],[MTRANS]]="Bike"),Tabela2[[#This Row],[FAF_atividade_fisica_frequente_em_horas]]+1,M1593)</f>
        <v>0.11243</v>
      </c>
      <c r="V1593">
        <f>(Tabela2[[#This Row],[SMOKE]]+Tabela2[[#This Row],[CALC_bebe_alcool_frequentemente]])</f>
        <v>0</v>
      </c>
      <c r="W1593" s="8">
        <f>(Tabela2[[#This Row],[Weight]]/(Tabela2[[#This Row],[Height]] ^2))</f>
        <v>37.030355332462584</v>
      </c>
    </row>
    <row r="1594" spans="1:23" x14ac:dyDescent="0.25">
      <c r="A1594" t="s">
        <v>15</v>
      </c>
      <c r="B1594" s="7">
        <v>32.259622999999998</v>
      </c>
      <c r="C1594" s="4">
        <v>1.703346</v>
      </c>
      <c r="D1594" s="7">
        <v>102.686239</v>
      </c>
      <c r="E1594">
        <v>1</v>
      </c>
      <c r="F1594">
        <v>1</v>
      </c>
      <c r="G1594" s="2">
        <v>2.7239529999999998</v>
      </c>
      <c r="H1594" s="2">
        <v>1.9241680000000001</v>
      </c>
      <c r="I1594">
        <v>1</v>
      </c>
      <c r="J1594">
        <v>0</v>
      </c>
      <c r="K1594" s="2">
        <v>1</v>
      </c>
      <c r="L1594">
        <v>0</v>
      </c>
      <c r="M1594" s="7">
        <v>1.622055</v>
      </c>
      <c r="N1594" s="7">
        <v>6.9366999999999998E-2</v>
      </c>
      <c r="O1594">
        <v>0</v>
      </c>
      <c r="P1594" t="s">
        <v>14</v>
      </c>
      <c r="Q1594">
        <v>5</v>
      </c>
      <c r="R1594" s="8">
        <f>(Tabela2[[#This Row],[FAF_atividade_fisica_frequente_em_horas]]+ 0.1)</f>
        <v>1.7220550000000001</v>
      </c>
      <c r="S1594" s="1">
        <f>(Tabela2[[#This Row],[TUE_tempo_uso_aparelhos_em_horas]]/Tabela2[[#This Row],[FAF_Var]])</f>
        <v>4.0281524109276413E-2</v>
      </c>
      <c r="T1594">
        <f>(Tabela2[[#This Row],[CAEC_lanche_entre_refeicoes]]*Tabela2[[#This Row],[FAVC_consumo_frequente_de_alimentos_mt_caloricos]])</f>
        <v>1</v>
      </c>
      <c r="U1594" s="1">
        <f>IF(OR(Tabela2[[#This Row],[MTRANS]]="Walking",Tabela2[[#This Row],[MTRANS]]="Bike"),Tabela2[[#This Row],[FAF_atividade_fisica_frequente_em_horas]]+1,M1594)</f>
        <v>1.622055</v>
      </c>
      <c r="V1594">
        <f>(Tabela2[[#This Row],[SMOKE]]+Tabela2[[#This Row],[CALC_bebe_alcool_frequentemente]])</f>
        <v>0</v>
      </c>
      <c r="W1594" s="8">
        <f>(Tabela2[[#This Row],[Weight]]/(Tabela2[[#This Row],[Height]] ^2))</f>
        <v>35.392113467231958</v>
      </c>
    </row>
    <row r="1595" spans="1:23" x14ac:dyDescent="0.25">
      <c r="A1595" t="s">
        <v>15</v>
      </c>
      <c r="B1595" s="7">
        <v>23.47007</v>
      </c>
      <c r="C1595" s="4">
        <v>1.8429059999999999</v>
      </c>
      <c r="D1595" s="7">
        <v>121.142535</v>
      </c>
      <c r="E1595">
        <v>1</v>
      </c>
      <c r="F1595">
        <v>1</v>
      </c>
      <c r="G1595" s="2">
        <v>3</v>
      </c>
      <c r="H1595" s="2">
        <v>2.701689</v>
      </c>
      <c r="I1595">
        <v>1</v>
      </c>
      <c r="J1595">
        <v>0</v>
      </c>
      <c r="K1595" s="2">
        <v>2.7384849999999998</v>
      </c>
      <c r="L1595">
        <v>0</v>
      </c>
      <c r="M1595" s="7">
        <v>0.99225300000000005</v>
      </c>
      <c r="N1595" s="7">
        <v>0</v>
      </c>
      <c r="O1595">
        <v>1</v>
      </c>
      <c r="P1595" t="s">
        <v>14</v>
      </c>
      <c r="Q1595">
        <v>5</v>
      </c>
      <c r="R1595" s="8">
        <f>(Tabela2[[#This Row],[FAF_atividade_fisica_frequente_em_horas]]+ 0.1)</f>
        <v>1.0922530000000001</v>
      </c>
      <c r="S1595" s="1">
        <f>(Tabela2[[#This Row],[TUE_tempo_uso_aparelhos_em_horas]]/Tabela2[[#This Row],[FAF_Var]])</f>
        <v>0</v>
      </c>
      <c r="T1595">
        <f>(Tabela2[[#This Row],[CAEC_lanche_entre_refeicoes]]*Tabela2[[#This Row],[FAVC_consumo_frequente_de_alimentos_mt_caloricos]])</f>
        <v>1</v>
      </c>
      <c r="U1595" s="1">
        <f>IF(OR(Tabela2[[#This Row],[MTRANS]]="Walking",Tabela2[[#This Row],[MTRANS]]="Bike"),Tabela2[[#This Row],[FAF_atividade_fisica_frequente_em_horas]]+1,M1595)</f>
        <v>0.99225300000000005</v>
      </c>
      <c r="V1595">
        <f>(Tabela2[[#This Row],[SMOKE]]+Tabela2[[#This Row],[CALC_bebe_alcool_frequentemente]])</f>
        <v>1</v>
      </c>
      <c r="W1595" s="8">
        <f>(Tabela2[[#This Row],[Weight]]/(Tabela2[[#This Row],[Height]] ^2))</f>
        <v>35.668947072331171</v>
      </c>
    </row>
    <row r="1596" spans="1:23" x14ac:dyDescent="0.25">
      <c r="A1596" t="s">
        <v>15</v>
      </c>
      <c r="B1596" s="7">
        <v>24.408805000000001</v>
      </c>
      <c r="C1596" s="4">
        <v>1.779547</v>
      </c>
      <c r="D1596" s="7">
        <v>118.74003500000001</v>
      </c>
      <c r="E1596">
        <v>1</v>
      </c>
      <c r="F1596">
        <v>1</v>
      </c>
      <c r="G1596" s="2">
        <v>2.7362980000000001</v>
      </c>
      <c r="H1596" s="2">
        <v>2.9929030000000001</v>
      </c>
      <c r="I1596">
        <v>1</v>
      </c>
      <c r="J1596">
        <v>0</v>
      </c>
      <c r="K1596" s="2">
        <v>2.0455610000000002</v>
      </c>
      <c r="L1596">
        <v>0</v>
      </c>
      <c r="M1596" s="7">
        <v>0.85495699999999997</v>
      </c>
      <c r="N1596" s="7">
        <v>0.428452</v>
      </c>
      <c r="O1596">
        <v>1</v>
      </c>
      <c r="P1596" t="s">
        <v>14</v>
      </c>
      <c r="Q1596">
        <v>5</v>
      </c>
      <c r="R1596" s="8">
        <f>(Tabela2[[#This Row],[FAF_atividade_fisica_frequente_em_horas]]+ 0.1)</f>
        <v>0.95495699999999994</v>
      </c>
      <c r="S1596" s="1">
        <f>(Tabela2[[#This Row],[TUE_tempo_uso_aparelhos_em_horas]]/Tabela2[[#This Row],[FAF_Var]])</f>
        <v>0.44866103918815198</v>
      </c>
      <c r="T1596">
        <f>(Tabela2[[#This Row],[CAEC_lanche_entre_refeicoes]]*Tabela2[[#This Row],[FAVC_consumo_frequente_de_alimentos_mt_caloricos]])</f>
        <v>1</v>
      </c>
      <c r="U1596" s="1">
        <f>IF(OR(Tabela2[[#This Row],[MTRANS]]="Walking",Tabela2[[#This Row],[MTRANS]]="Bike"),Tabela2[[#This Row],[FAF_atividade_fisica_frequente_em_horas]]+1,M1596)</f>
        <v>0.85495699999999997</v>
      </c>
      <c r="V1596">
        <f>(Tabela2[[#This Row],[SMOKE]]+Tabela2[[#This Row],[CALC_bebe_alcool_frequentemente]])</f>
        <v>1</v>
      </c>
      <c r="W1596" s="8">
        <f>(Tabela2[[#This Row],[Weight]]/(Tabela2[[#This Row],[Height]] ^2))</f>
        <v>37.495422113033449</v>
      </c>
    </row>
    <row r="1597" spans="1:23" x14ac:dyDescent="0.25">
      <c r="A1597" t="s">
        <v>15</v>
      </c>
      <c r="B1597" s="7">
        <v>24.443010999999998</v>
      </c>
      <c r="C1597" s="4">
        <v>1.8733679999999999</v>
      </c>
      <c r="D1597" s="7">
        <v>121.82962000000001</v>
      </c>
      <c r="E1597">
        <v>1</v>
      </c>
      <c r="F1597">
        <v>1</v>
      </c>
      <c r="G1597" s="2">
        <v>2.7221609999999998</v>
      </c>
      <c r="H1597" s="2">
        <v>2.6588370000000001</v>
      </c>
      <c r="I1597">
        <v>1</v>
      </c>
      <c r="J1597">
        <v>0</v>
      </c>
      <c r="K1597" s="2">
        <v>2.3757069999999998</v>
      </c>
      <c r="L1597">
        <v>0</v>
      </c>
      <c r="M1597" s="7">
        <v>1.299469</v>
      </c>
      <c r="N1597" s="7">
        <v>0</v>
      </c>
      <c r="O1597">
        <v>1</v>
      </c>
      <c r="P1597" t="s">
        <v>14</v>
      </c>
      <c r="Q1597">
        <v>5</v>
      </c>
      <c r="R1597" s="8">
        <f>(Tabela2[[#This Row],[FAF_atividade_fisica_frequente_em_horas]]+ 0.1)</f>
        <v>1.3994690000000001</v>
      </c>
      <c r="S1597" s="1">
        <f>(Tabela2[[#This Row],[TUE_tempo_uso_aparelhos_em_horas]]/Tabela2[[#This Row],[FAF_Var]])</f>
        <v>0</v>
      </c>
      <c r="T1597">
        <f>(Tabela2[[#This Row],[CAEC_lanche_entre_refeicoes]]*Tabela2[[#This Row],[FAVC_consumo_frequente_de_alimentos_mt_caloricos]])</f>
        <v>1</v>
      </c>
      <c r="U1597" s="1">
        <f>IF(OR(Tabela2[[#This Row],[MTRANS]]="Walking",Tabela2[[#This Row],[MTRANS]]="Bike"),Tabela2[[#This Row],[FAF_atividade_fisica_frequente_em_horas]]+1,M1597)</f>
        <v>1.299469</v>
      </c>
      <c r="V1597">
        <f>(Tabela2[[#This Row],[SMOKE]]+Tabela2[[#This Row],[CALC_bebe_alcool_frequentemente]])</f>
        <v>1</v>
      </c>
      <c r="W1597" s="8">
        <f>(Tabela2[[#This Row],[Weight]]/(Tabela2[[#This Row],[Height]] ^2))</f>
        <v>34.714162692877188</v>
      </c>
    </row>
    <row r="1598" spans="1:23" x14ac:dyDescent="0.25">
      <c r="A1598" t="s">
        <v>15</v>
      </c>
      <c r="B1598" s="7">
        <v>22.906341999999999</v>
      </c>
      <c r="C1598" s="4">
        <v>1.7559020000000001</v>
      </c>
      <c r="D1598" s="7">
        <v>120.02116100000001</v>
      </c>
      <c r="E1598">
        <v>1</v>
      </c>
      <c r="F1598">
        <v>1</v>
      </c>
      <c r="G1598" s="2">
        <v>2.9715739999999999</v>
      </c>
      <c r="H1598" s="2">
        <v>2.80742</v>
      </c>
      <c r="I1598">
        <v>1</v>
      </c>
      <c r="J1598">
        <v>0</v>
      </c>
      <c r="K1598" s="2">
        <v>1.9626459999999999</v>
      </c>
      <c r="L1598">
        <v>0</v>
      </c>
      <c r="M1598" s="7">
        <v>1.5838319999999999</v>
      </c>
      <c r="N1598" s="7">
        <v>0.50481600000000004</v>
      </c>
      <c r="O1598">
        <v>1</v>
      </c>
      <c r="P1598" t="s">
        <v>14</v>
      </c>
      <c r="Q1598">
        <v>5</v>
      </c>
      <c r="R1598" s="8">
        <f>(Tabela2[[#This Row],[FAF_atividade_fisica_frequente_em_horas]]+ 0.1)</f>
        <v>1.683832</v>
      </c>
      <c r="S1598" s="1">
        <f>(Tabela2[[#This Row],[TUE_tempo_uso_aparelhos_em_horas]]/Tabela2[[#This Row],[FAF_Var]])</f>
        <v>0.29980188047263623</v>
      </c>
      <c r="T1598">
        <f>(Tabela2[[#This Row],[CAEC_lanche_entre_refeicoes]]*Tabela2[[#This Row],[FAVC_consumo_frequente_de_alimentos_mt_caloricos]])</f>
        <v>1</v>
      </c>
      <c r="U1598" s="1">
        <f>IF(OR(Tabela2[[#This Row],[MTRANS]]="Walking",Tabela2[[#This Row],[MTRANS]]="Bike"),Tabela2[[#This Row],[FAF_atividade_fisica_frequente_em_horas]]+1,M1598)</f>
        <v>1.5838319999999999</v>
      </c>
      <c r="V1598">
        <f>(Tabela2[[#This Row],[SMOKE]]+Tabela2[[#This Row],[CALC_bebe_alcool_frequentemente]])</f>
        <v>1</v>
      </c>
      <c r="W1598" s="8">
        <f>(Tabela2[[#This Row],[Weight]]/(Tabela2[[#This Row],[Height]] ^2))</f>
        <v>38.927568402289467</v>
      </c>
    </row>
    <row r="1599" spans="1:23" x14ac:dyDescent="0.25">
      <c r="A1599" t="s">
        <v>15</v>
      </c>
      <c r="B1599" s="7">
        <v>24.007487999999999</v>
      </c>
      <c r="C1599" s="4">
        <v>1.6176550000000001</v>
      </c>
      <c r="D1599" s="7">
        <v>100.941357</v>
      </c>
      <c r="E1599">
        <v>1</v>
      </c>
      <c r="F1599">
        <v>1</v>
      </c>
      <c r="G1599" s="2">
        <v>2.871016</v>
      </c>
      <c r="H1599" s="2">
        <v>1.8344720000000001</v>
      </c>
      <c r="I1599">
        <v>1</v>
      </c>
      <c r="J1599">
        <v>0</v>
      </c>
      <c r="K1599" s="2">
        <v>1.0165850000000001</v>
      </c>
      <c r="L1599">
        <v>0</v>
      </c>
      <c r="M1599" s="7">
        <v>0.23616799999999999</v>
      </c>
      <c r="N1599" s="7">
        <v>0.974939</v>
      </c>
      <c r="O1599">
        <v>0</v>
      </c>
      <c r="P1599" t="s">
        <v>14</v>
      </c>
      <c r="Q1599">
        <v>5</v>
      </c>
      <c r="R1599" s="8">
        <f>(Tabela2[[#This Row],[FAF_atividade_fisica_frequente_em_horas]]+ 0.1)</f>
        <v>0.33616800000000002</v>
      </c>
      <c r="S1599" s="1">
        <f>(Tabela2[[#This Row],[TUE_tempo_uso_aparelhos_em_horas]]/Tabela2[[#This Row],[FAF_Var]])</f>
        <v>2.9001540896218554</v>
      </c>
      <c r="T1599">
        <f>(Tabela2[[#This Row],[CAEC_lanche_entre_refeicoes]]*Tabela2[[#This Row],[FAVC_consumo_frequente_de_alimentos_mt_caloricos]])</f>
        <v>1</v>
      </c>
      <c r="U1599" s="1">
        <f>IF(OR(Tabela2[[#This Row],[MTRANS]]="Walking",Tabela2[[#This Row],[MTRANS]]="Bike"),Tabela2[[#This Row],[FAF_atividade_fisica_frequente_em_horas]]+1,M1599)</f>
        <v>0.23616799999999999</v>
      </c>
      <c r="V1599">
        <f>(Tabela2[[#This Row],[SMOKE]]+Tabela2[[#This Row],[CALC_bebe_alcool_frequentemente]])</f>
        <v>0</v>
      </c>
      <c r="W1599" s="8">
        <f>(Tabela2[[#This Row],[Weight]]/(Tabela2[[#This Row],[Height]] ^2))</f>
        <v>38.574235713847017</v>
      </c>
    </row>
    <row r="1600" spans="1:23" x14ac:dyDescent="0.25">
      <c r="A1600" t="s">
        <v>15</v>
      </c>
      <c r="B1600" s="7">
        <v>30.686700999999999</v>
      </c>
      <c r="C1600" s="4">
        <v>1.644517</v>
      </c>
      <c r="D1600" s="7">
        <v>100.004418</v>
      </c>
      <c r="E1600">
        <v>1</v>
      </c>
      <c r="F1600">
        <v>1</v>
      </c>
      <c r="G1600" s="2">
        <v>2.9640499999999999</v>
      </c>
      <c r="H1600" s="2">
        <v>2.123138</v>
      </c>
      <c r="I1600">
        <v>1</v>
      </c>
      <c r="J1600">
        <v>0</v>
      </c>
      <c r="K1600" s="2">
        <v>1</v>
      </c>
      <c r="L1600">
        <v>0</v>
      </c>
      <c r="M1600" s="7">
        <v>1.6991810000000001</v>
      </c>
      <c r="N1600" s="7">
        <v>0.62046500000000004</v>
      </c>
      <c r="O1600">
        <v>0</v>
      </c>
      <c r="P1600" t="s">
        <v>14</v>
      </c>
      <c r="Q1600">
        <v>5</v>
      </c>
      <c r="R1600" s="8">
        <f>(Tabela2[[#This Row],[FAF_atividade_fisica_frequente_em_horas]]+ 0.1)</f>
        <v>1.7991810000000001</v>
      </c>
      <c r="S1600" s="1">
        <f>(Tabela2[[#This Row],[TUE_tempo_uso_aparelhos_em_horas]]/Tabela2[[#This Row],[FAF_Var]])</f>
        <v>0.34485968893624375</v>
      </c>
      <c r="T1600">
        <f>(Tabela2[[#This Row],[CAEC_lanche_entre_refeicoes]]*Tabela2[[#This Row],[FAVC_consumo_frequente_de_alimentos_mt_caloricos]])</f>
        <v>1</v>
      </c>
      <c r="U1600" s="1">
        <f>IF(OR(Tabela2[[#This Row],[MTRANS]]="Walking",Tabela2[[#This Row],[MTRANS]]="Bike"),Tabela2[[#This Row],[FAF_atividade_fisica_frequente_em_horas]]+1,M1600)</f>
        <v>1.6991810000000001</v>
      </c>
      <c r="V1600">
        <f>(Tabela2[[#This Row],[SMOKE]]+Tabela2[[#This Row],[CALC_bebe_alcool_frequentemente]])</f>
        <v>0</v>
      </c>
      <c r="W1600" s="8">
        <f>(Tabela2[[#This Row],[Weight]]/(Tabela2[[#This Row],[Height]] ^2))</f>
        <v>36.977917747697781</v>
      </c>
    </row>
    <row r="1601" spans="1:23" x14ac:dyDescent="0.25">
      <c r="A1601" t="s">
        <v>15</v>
      </c>
      <c r="B1601" s="7">
        <v>20.184450999999999</v>
      </c>
      <c r="C1601" s="4">
        <v>1.701284</v>
      </c>
      <c r="D1601" s="7">
        <v>104.578255</v>
      </c>
      <c r="E1601">
        <v>1</v>
      </c>
      <c r="F1601">
        <v>1</v>
      </c>
      <c r="G1601" s="2">
        <v>2.653721</v>
      </c>
      <c r="H1601" s="2">
        <v>1.265463</v>
      </c>
      <c r="I1601">
        <v>1</v>
      </c>
      <c r="J1601">
        <v>0</v>
      </c>
      <c r="K1601" s="2">
        <v>1.368457</v>
      </c>
      <c r="L1601">
        <v>0</v>
      </c>
      <c r="M1601" s="7">
        <v>0.21835599999999999</v>
      </c>
      <c r="N1601" s="7">
        <v>0.76807099999999995</v>
      </c>
      <c r="O1601">
        <v>0</v>
      </c>
      <c r="P1601" t="s">
        <v>14</v>
      </c>
      <c r="Q1601">
        <v>5</v>
      </c>
      <c r="R1601" s="8">
        <f>(Tabela2[[#This Row],[FAF_atividade_fisica_frequente_em_horas]]+ 0.1)</f>
        <v>0.31835599999999997</v>
      </c>
      <c r="S1601" s="1">
        <f>(Tabela2[[#This Row],[TUE_tempo_uso_aparelhos_em_horas]]/Tabela2[[#This Row],[FAF_Var]])</f>
        <v>2.4126166932616315</v>
      </c>
      <c r="T1601">
        <f>(Tabela2[[#This Row],[CAEC_lanche_entre_refeicoes]]*Tabela2[[#This Row],[FAVC_consumo_frequente_de_alimentos_mt_caloricos]])</f>
        <v>1</v>
      </c>
      <c r="U1601" s="1">
        <f>IF(OR(Tabela2[[#This Row],[MTRANS]]="Walking",Tabela2[[#This Row],[MTRANS]]="Bike"),Tabela2[[#This Row],[FAF_atividade_fisica_frequente_em_horas]]+1,M1601)</f>
        <v>0.21835599999999999</v>
      </c>
      <c r="V1601">
        <f>(Tabela2[[#This Row],[SMOKE]]+Tabela2[[#This Row],[CALC_bebe_alcool_frequentemente]])</f>
        <v>0</v>
      </c>
      <c r="W1601" s="8">
        <f>(Tabela2[[#This Row],[Weight]]/(Tabela2[[#This Row],[Height]] ^2))</f>
        <v>36.131646752346626</v>
      </c>
    </row>
    <row r="1602" spans="1:23" x14ac:dyDescent="0.25">
      <c r="A1602" t="s">
        <v>15</v>
      </c>
      <c r="B1602" s="7">
        <v>25.447208</v>
      </c>
      <c r="C1602" s="4">
        <v>1.6589100000000001</v>
      </c>
      <c r="D1602" s="7">
        <v>104.548794</v>
      </c>
      <c r="E1602">
        <v>1</v>
      </c>
      <c r="F1602">
        <v>1</v>
      </c>
      <c r="G1602" s="2">
        <v>2.8590970000000002</v>
      </c>
      <c r="H1602" s="2">
        <v>1.3403609999999999</v>
      </c>
      <c r="I1602">
        <v>1</v>
      </c>
      <c r="J1602">
        <v>0</v>
      </c>
      <c r="K1602" s="2">
        <v>1.530508</v>
      </c>
      <c r="L1602">
        <v>0</v>
      </c>
      <c r="M1602" s="7">
        <v>0.17447499999999999</v>
      </c>
      <c r="N1602" s="7">
        <v>1.2617050000000001</v>
      </c>
      <c r="O1602">
        <v>0</v>
      </c>
      <c r="P1602" t="s">
        <v>14</v>
      </c>
      <c r="Q1602">
        <v>5</v>
      </c>
      <c r="R1602" s="8">
        <f>(Tabela2[[#This Row],[FAF_atividade_fisica_frequente_em_horas]]+ 0.1)</f>
        <v>0.27447500000000002</v>
      </c>
      <c r="S1602" s="1">
        <f>(Tabela2[[#This Row],[TUE_tempo_uso_aparelhos_em_horas]]/Tabela2[[#This Row],[FAF_Var]])</f>
        <v>4.5967938792239726</v>
      </c>
      <c r="T1602">
        <f>(Tabela2[[#This Row],[CAEC_lanche_entre_refeicoes]]*Tabela2[[#This Row],[FAVC_consumo_frequente_de_alimentos_mt_caloricos]])</f>
        <v>1</v>
      </c>
      <c r="U1602" s="1">
        <f>IF(OR(Tabela2[[#This Row],[MTRANS]]="Walking",Tabela2[[#This Row],[MTRANS]]="Bike"),Tabela2[[#This Row],[FAF_atividade_fisica_frequente_em_horas]]+1,M1602)</f>
        <v>0.17447499999999999</v>
      </c>
      <c r="V1602">
        <f>(Tabela2[[#This Row],[SMOKE]]+Tabela2[[#This Row],[CALC_bebe_alcool_frequentemente]])</f>
        <v>0</v>
      </c>
      <c r="W1602" s="8">
        <f>(Tabela2[[#This Row],[Weight]]/(Tabela2[[#This Row],[Height]] ^2))</f>
        <v>37.990357224699267</v>
      </c>
    </row>
    <row r="1603" spans="1:23" x14ac:dyDescent="0.25">
      <c r="A1603" t="s">
        <v>15</v>
      </c>
      <c r="B1603" s="7">
        <v>30.002029</v>
      </c>
      <c r="C1603" s="4">
        <v>1.7593240000000001</v>
      </c>
      <c r="D1603" s="7">
        <v>112.000381</v>
      </c>
      <c r="E1603">
        <v>1</v>
      </c>
      <c r="F1603">
        <v>1</v>
      </c>
      <c r="G1603" s="2">
        <v>1.572036</v>
      </c>
      <c r="H1603" s="2">
        <v>3</v>
      </c>
      <c r="I1603">
        <v>1</v>
      </c>
      <c r="J1603">
        <v>0</v>
      </c>
      <c r="K1603" s="2">
        <v>2.0035630000000002</v>
      </c>
      <c r="L1603">
        <v>0</v>
      </c>
      <c r="M1603" s="7">
        <v>0</v>
      </c>
      <c r="N1603" s="7">
        <v>0.340196</v>
      </c>
      <c r="O1603">
        <v>1</v>
      </c>
      <c r="P1603" t="s">
        <v>17</v>
      </c>
      <c r="Q1603">
        <v>5</v>
      </c>
      <c r="R1603" s="8">
        <f>(Tabela2[[#This Row],[FAF_atividade_fisica_frequente_em_horas]]+ 0.1)</f>
        <v>0.1</v>
      </c>
      <c r="S1603" s="1">
        <f>(Tabela2[[#This Row],[TUE_tempo_uso_aparelhos_em_horas]]/Tabela2[[#This Row],[FAF_Var]])</f>
        <v>3.4019599999999999</v>
      </c>
      <c r="T1603">
        <f>(Tabela2[[#This Row],[CAEC_lanche_entre_refeicoes]]*Tabela2[[#This Row],[FAVC_consumo_frequente_de_alimentos_mt_caloricos]])</f>
        <v>1</v>
      </c>
      <c r="U1603" s="1">
        <f>IF(OR(Tabela2[[#This Row],[MTRANS]]="Walking",Tabela2[[#This Row],[MTRANS]]="Bike"),Tabela2[[#This Row],[FAF_atividade_fisica_frequente_em_horas]]+1,M1603)</f>
        <v>0</v>
      </c>
      <c r="V1603">
        <f>(Tabela2[[#This Row],[SMOKE]]+Tabela2[[#This Row],[CALC_bebe_alcool_frequentemente]])</f>
        <v>1</v>
      </c>
      <c r="W1603" s="8">
        <f>(Tabela2[[#This Row],[Weight]]/(Tabela2[[#This Row],[Height]] ^2))</f>
        <v>36.184939065908246</v>
      </c>
    </row>
    <row r="1604" spans="1:23" x14ac:dyDescent="0.25">
      <c r="A1604" t="s">
        <v>15</v>
      </c>
      <c r="B1604" s="7">
        <v>30.188303000000001</v>
      </c>
      <c r="C1604" s="4">
        <v>1.7583819999999999</v>
      </c>
      <c r="D1604" s="7">
        <v>112.10074</v>
      </c>
      <c r="E1604">
        <v>1</v>
      </c>
      <c r="F1604">
        <v>1</v>
      </c>
      <c r="G1604" s="2">
        <v>1.387489</v>
      </c>
      <c r="H1604" s="2">
        <v>3</v>
      </c>
      <c r="I1604">
        <v>1</v>
      </c>
      <c r="J1604">
        <v>0</v>
      </c>
      <c r="K1604" s="2">
        <v>2.017712</v>
      </c>
      <c r="L1604">
        <v>0</v>
      </c>
      <c r="M1604" s="7">
        <v>0</v>
      </c>
      <c r="N1604" s="7">
        <v>0.73125700000000005</v>
      </c>
      <c r="O1604">
        <v>1</v>
      </c>
      <c r="P1604" t="s">
        <v>17</v>
      </c>
      <c r="Q1604">
        <v>5</v>
      </c>
      <c r="R1604" s="8">
        <f>(Tabela2[[#This Row],[FAF_atividade_fisica_frequente_em_horas]]+ 0.1)</f>
        <v>0.1</v>
      </c>
      <c r="S1604" s="1">
        <f>(Tabela2[[#This Row],[TUE_tempo_uso_aparelhos_em_horas]]/Tabela2[[#This Row],[FAF_Var]])</f>
        <v>7.31257</v>
      </c>
      <c r="T1604">
        <f>(Tabela2[[#This Row],[CAEC_lanche_entre_refeicoes]]*Tabela2[[#This Row],[FAVC_consumo_frequente_de_alimentos_mt_caloricos]])</f>
        <v>1</v>
      </c>
      <c r="U1604" s="1">
        <f>IF(OR(Tabela2[[#This Row],[MTRANS]]="Walking",Tabela2[[#This Row],[MTRANS]]="Bike"),Tabela2[[#This Row],[FAF_atividade_fisica_frequente_em_horas]]+1,M1604)</f>
        <v>0</v>
      </c>
      <c r="V1604">
        <f>(Tabela2[[#This Row],[SMOKE]]+Tabela2[[#This Row],[CALC_bebe_alcool_frequentemente]])</f>
        <v>1</v>
      </c>
      <c r="W1604" s="8">
        <f>(Tabela2[[#This Row],[Weight]]/(Tabela2[[#This Row],[Height]] ^2))</f>
        <v>36.256178031441941</v>
      </c>
    </row>
    <row r="1605" spans="1:23" x14ac:dyDescent="0.25">
      <c r="A1605" t="s">
        <v>15</v>
      </c>
      <c r="B1605" s="7">
        <v>24.244029000000001</v>
      </c>
      <c r="C1605" s="4">
        <v>1.6222970000000001</v>
      </c>
      <c r="D1605" s="7">
        <v>99.982540999999998</v>
      </c>
      <c r="E1605">
        <v>1</v>
      </c>
      <c r="F1605">
        <v>1</v>
      </c>
      <c r="G1605" s="2">
        <v>2.941929</v>
      </c>
      <c r="H1605" s="2">
        <v>3.9894919999999998</v>
      </c>
      <c r="I1605">
        <v>1</v>
      </c>
      <c r="J1605">
        <v>0</v>
      </c>
      <c r="K1605" s="2">
        <v>1.014135</v>
      </c>
      <c r="L1605">
        <v>0</v>
      </c>
      <c r="M1605" s="7">
        <v>1.9586939999999999</v>
      </c>
      <c r="N1605" s="7">
        <v>0.68734200000000001</v>
      </c>
      <c r="O1605">
        <v>0</v>
      </c>
      <c r="P1605" t="s">
        <v>14</v>
      </c>
      <c r="Q1605">
        <v>5</v>
      </c>
      <c r="R1605" s="8">
        <f>(Tabela2[[#This Row],[FAF_atividade_fisica_frequente_em_horas]]+ 0.1)</f>
        <v>2.058694</v>
      </c>
      <c r="S1605" s="1">
        <f>(Tabela2[[#This Row],[TUE_tempo_uso_aparelhos_em_horas]]/Tabela2[[#This Row],[FAF_Var]])</f>
        <v>0.33387283394229544</v>
      </c>
      <c r="T1605">
        <f>(Tabela2[[#This Row],[CAEC_lanche_entre_refeicoes]]*Tabela2[[#This Row],[FAVC_consumo_frequente_de_alimentos_mt_caloricos]])</f>
        <v>1</v>
      </c>
      <c r="U1605" s="1">
        <f>IF(OR(Tabela2[[#This Row],[MTRANS]]="Walking",Tabela2[[#This Row],[MTRANS]]="Bike"),Tabela2[[#This Row],[FAF_atividade_fisica_frequente_em_horas]]+1,M1605)</f>
        <v>1.9586939999999999</v>
      </c>
      <c r="V1605">
        <f>(Tabela2[[#This Row],[SMOKE]]+Tabela2[[#This Row],[CALC_bebe_alcool_frequentemente]])</f>
        <v>0</v>
      </c>
      <c r="W1605" s="8">
        <f>(Tabela2[[#This Row],[Weight]]/(Tabela2[[#This Row],[Height]] ^2))</f>
        <v>37.989487941322153</v>
      </c>
    </row>
    <row r="1606" spans="1:23" x14ac:dyDescent="0.25">
      <c r="A1606" t="s">
        <v>15</v>
      </c>
      <c r="B1606" s="7">
        <v>24.521878999999998</v>
      </c>
      <c r="C1606" s="4">
        <v>1.623278</v>
      </c>
      <c r="D1606" s="7">
        <v>97.582959000000002</v>
      </c>
      <c r="E1606">
        <v>1</v>
      </c>
      <c r="F1606">
        <v>1</v>
      </c>
      <c r="G1606" s="2">
        <v>2.9735689999999999</v>
      </c>
      <c r="H1606" s="2">
        <v>2.6500880000000002</v>
      </c>
      <c r="I1606">
        <v>1</v>
      </c>
      <c r="J1606">
        <v>0</v>
      </c>
      <c r="K1606" s="2">
        <v>1.003063</v>
      </c>
      <c r="L1606">
        <v>0</v>
      </c>
      <c r="M1606" s="7">
        <v>1.9811540000000001</v>
      </c>
      <c r="N1606" s="7">
        <v>0.15700700000000001</v>
      </c>
      <c r="O1606">
        <v>0</v>
      </c>
      <c r="P1606" t="s">
        <v>14</v>
      </c>
      <c r="Q1606">
        <v>5</v>
      </c>
      <c r="R1606" s="8">
        <f>(Tabela2[[#This Row],[FAF_atividade_fisica_frequente_em_horas]]+ 0.1)</f>
        <v>2.0811540000000002</v>
      </c>
      <c r="S1606" s="1">
        <f>(Tabela2[[#This Row],[TUE_tempo_uso_aparelhos_em_horas]]/Tabela2[[#This Row],[FAF_Var]])</f>
        <v>7.5442278658859455E-2</v>
      </c>
      <c r="T1606">
        <f>(Tabela2[[#This Row],[CAEC_lanche_entre_refeicoes]]*Tabela2[[#This Row],[FAVC_consumo_frequente_de_alimentos_mt_caloricos]])</f>
        <v>1</v>
      </c>
      <c r="U1606" s="1">
        <f>IF(OR(Tabela2[[#This Row],[MTRANS]]="Walking",Tabela2[[#This Row],[MTRANS]]="Bike"),Tabela2[[#This Row],[FAF_atividade_fisica_frequente_em_horas]]+1,M1606)</f>
        <v>1.9811540000000001</v>
      </c>
      <c r="V1606">
        <f>(Tabela2[[#This Row],[SMOKE]]+Tabela2[[#This Row],[CALC_bebe_alcool_frequentemente]])</f>
        <v>0</v>
      </c>
      <c r="W1606" s="8">
        <f>(Tabela2[[#This Row],[Weight]]/(Tabela2[[#This Row],[Height]] ^2))</f>
        <v>37.03293880381905</v>
      </c>
    </row>
    <row r="1607" spans="1:23" x14ac:dyDescent="0.25">
      <c r="A1607" t="s">
        <v>15</v>
      </c>
      <c r="B1607" s="7">
        <v>29.721964</v>
      </c>
      <c r="C1607" s="4">
        <v>1.9188590000000001</v>
      </c>
      <c r="D1607" s="7">
        <v>129.991623</v>
      </c>
      <c r="E1607">
        <v>1</v>
      </c>
      <c r="F1607">
        <v>1</v>
      </c>
      <c r="G1607" s="2">
        <v>2.0413760000000001</v>
      </c>
      <c r="H1607" s="2">
        <v>3</v>
      </c>
      <c r="I1607">
        <v>1</v>
      </c>
      <c r="J1607">
        <v>0</v>
      </c>
      <c r="K1607" s="2">
        <v>1.1202129999999999</v>
      </c>
      <c r="L1607">
        <v>0</v>
      </c>
      <c r="M1607" s="7">
        <v>1.05545</v>
      </c>
      <c r="N1607" s="7">
        <v>0</v>
      </c>
      <c r="O1607">
        <v>1</v>
      </c>
      <c r="P1607" t="s">
        <v>14</v>
      </c>
      <c r="Q1607">
        <v>5</v>
      </c>
      <c r="R1607" s="8">
        <f>(Tabela2[[#This Row],[FAF_atividade_fisica_frequente_em_horas]]+ 0.1)</f>
        <v>1.1554500000000001</v>
      </c>
      <c r="S1607" s="1">
        <f>(Tabela2[[#This Row],[TUE_tempo_uso_aparelhos_em_horas]]/Tabela2[[#This Row],[FAF_Var]])</f>
        <v>0</v>
      </c>
      <c r="T1607">
        <f>(Tabela2[[#This Row],[CAEC_lanche_entre_refeicoes]]*Tabela2[[#This Row],[FAVC_consumo_frequente_de_alimentos_mt_caloricos]])</f>
        <v>1</v>
      </c>
      <c r="U1607" s="1">
        <f>IF(OR(Tabela2[[#This Row],[MTRANS]]="Walking",Tabela2[[#This Row],[MTRANS]]="Bike"),Tabela2[[#This Row],[FAF_atividade_fisica_frequente_em_horas]]+1,M1607)</f>
        <v>1.05545</v>
      </c>
      <c r="V1607">
        <f>(Tabela2[[#This Row],[SMOKE]]+Tabela2[[#This Row],[CALC_bebe_alcool_frequentemente]])</f>
        <v>1</v>
      </c>
      <c r="W1607" s="8">
        <f>(Tabela2[[#This Row],[Weight]]/(Tabela2[[#This Row],[Height]] ^2))</f>
        <v>35.304432859194939</v>
      </c>
    </row>
    <row r="1608" spans="1:23" x14ac:dyDescent="0.25">
      <c r="A1608" t="s">
        <v>15</v>
      </c>
      <c r="B1608" s="7">
        <v>29.906575</v>
      </c>
      <c r="C1608" s="4">
        <v>1.913252</v>
      </c>
      <c r="D1608" s="7">
        <v>129.23221599999999</v>
      </c>
      <c r="E1608">
        <v>1</v>
      </c>
      <c r="F1608">
        <v>1</v>
      </c>
      <c r="G1608" s="2">
        <v>2.0247199999999999</v>
      </c>
      <c r="H1608" s="2">
        <v>3</v>
      </c>
      <c r="I1608">
        <v>1</v>
      </c>
      <c r="J1608">
        <v>0</v>
      </c>
      <c r="K1608" s="2">
        <v>1.800335</v>
      </c>
      <c r="L1608">
        <v>0</v>
      </c>
      <c r="M1608" s="7">
        <v>1.1963680000000001</v>
      </c>
      <c r="N1608" s="7">
        <v>0</v>
      </c>
      <c r="O1608">
        <v>1</v>
      </c>
      <c r="P1608" t="s">
        <v>14</v>
      </c>
      <c r="Q1608">
        <v>5</v>
      </c>
      <c r="R1608" s="8">
        <f>(Tabela2[[#This Row],[FAF_atividade_fisica_frequente_em_horas]]+ 0.1)</f>
        <v>1.2963680000000002</v>
      </c>
      <c r="S1608" s="1">
        <f>(Tabela2[[#This Row],[TUE_tempo_uso_aparelhos_em_horas]]/Tabela2[[#This Row],[FAF_Var]])</f>
        <v>0</v>
      </c>
      <c r="T1608">
        <f>(Tabela2[[#This Row],[CAEC_lanche_entre_refeicoes]]*Tabela2[[#This Row],[FAVC_consumo_frequente_de_alimentos_mt_caloricos]])</f>
        <v>1</v>
      </c>
      <c r="U1608" s="1">
        <f>IF(OR(Tabela2[[#This Row],[MTRANS]]="Walking",Tabela2[[#This Row],[MTRANS]]="Bike"),Tabela2[[#This Row],[FAF_atividade_fisica_frequente_em_horas]]+1,M1608)</f>
        <v>1.1963680000000001</v>
      </c>
      <c r="V1608">
        <f>(Tabela2[[#This Row],[SMOKE]]+Tabela2[[#This Row],[CALC_bebe_alcool_frequentemente]])</f>
        <v>1</v>
      </c>
      <c r="W1608" s="8">
        <f>(Tabela2[[#This Row],[Weight]]/(Tabela2[[#This Row],[Height]] ^2))</f>
        <v>35.304205259671896</v>
      </c>
    </row>
    <row r="1609" spans="1:23" x14ac:dyDescent="0.25">
      <c r="A1609" t="s">
        <v>15</v>
      </c>
      <c r="B1609" s="7">
        <v>37.084741999999999</v>
      </c>
      <c r="C1609" s="4">
        <v>1.75</v>
      </c>
      <c r="D1609" s="7">
        <v>118.07380999999999</v>
      </c>
      <c r="E1609">
        <v>1</v>
      </c>
      <c r="F1609">
        <v>1</v>
      </c>
      <c r="G1609" s="2">
        <v>2.1339640000000002</v>
      </c>
      <c r="H1609" s="2">
        <v>3</v>
      </c>
      <c r="I1609">
        <v>1</v>
      </c>
      <c r="J1609">
        <v>0</v>
      </c>
      <c r="K1609" s="2">
        <v>2.0083609999999998</v>
      </c>
      <c r="L1609">
        <v>0</v>
      </c>
      <c r="M1609" s="7">
        <v>0.20202899999999999</v>
      </c>
      <c r="N1609" s="7">
        <v>0.200516</v>
      </c>
      <c r="O1609">
        <v>1</v>
      </c>
      <c r="P1609" t="s">
        <v>17</v>
      </c>
      <c r="Q1609">
        <v>5</v>
      </c>
      <c r="R1609" s="8">
        <f>(Tabela2[[#This Row],[FAF_atividade_fisica_frequente_em_horas]]+ 0.1)</f>
        <v>0.30202899999999999</v>
      </c>
      <c r="S1609" s="1">
        <f>(Tabela2[[#This Row],[TUE_tempo_uso_aparelhos_em_horas]]/Tabela2[[#This Row],[FAF_Var]])</f>
        <v>0.66389651324872778</v>
      </c>
      <c r="T1609">
        <f>(Tabela2[[#This Row],[CAEC_lanche_entre_refeicoes]]*Tabela2[[#This Row],[FAVC_consumo_frequente_de_alimentos_mt_caloricos]])</f>
        <v>1</v>
      </c>
      <c r="U1609" s="1">
        <f>IF(OR(Tabela2[[#This Row],[MTRANS]]="Walking",Tabela2[[#This Row],[MTRANS]]="Bike"),Tabela2[[#This Row],[FAF_atividade_fisica_frequente_em_horas]]+1,M1609)</f>
        <v>0.20202899999999999</v>
      </c>
      <c r="V1609">
        <f>(Tabela2[[#This Row],[SMOKE]]+Tabela2[[#This Row],[CALC_bebe_alcool_frequentemente]])</f>
        <v>1</v>
      </c>
      <c r="W1609" s="8">
        <f>(Tabela2[[#This Row],[Weight]]/(Tabela2[[#This Row],[Height]] ^2))</f>
        <v>38.554713469387757</v>
      </c>
    </row>
    <row r="1610" spans="1:23" x14ac:dyDescent="0.25">
      <c r="A1610" t="s">
        <v>15</v>
      </c>
      <c r="B1610" s="7">
        <v>39.088859999999997</v>
      </c>
      <c r="C1610" s="4">
        <v>1.75</v>
      </c>
      <c r="D1610" s="7">
        <v>119.02910300000001</v>
      </c>
      <c r="E1610">
        <v>1</v>
      </c>
      <c r="F1610">
        <v>1</v>
      </c>
      <c r="G1610" s="2">
        <v>2.7024569999999999</v>
      </c>
      <c r="H1610" s="2">
        <v>3</v>
      </c>
      <c r="I1610">
        <v>1</v>
      </c>
      <c r="J1610">
        <v>0</v>
      </c>
      <c r="K1610" s="2">
        <v>2.0051939999999999</v>
      </c>
      <c r="L1610">
        <v>0</v>
      </c>
      <c r="M1610" s="7">
        <v>0.32531300000000002</v>
      </c>
      <c r="N1610" s="7">
        <v>0.41905500000000001</v>
      </c>
      <c r="O1610">
        <v>1</v>
      </c>
      <c r="P1610" t="s">
        <v>17</v>
      </c>
      <c r="Q1610">
        <v>5</v>
      </c>
      <c r="R1610" s="8">
        <f>(Tabela2[[#This Row],[FAF_atividade_fisica_frequente_em_horas]]+ 0.1)</f>
        <v>0.42531300000000005</v>
      </c>
      <c r="S1610" s="1">
        <f>(Tabela2[[#This Row],[TUE_tempo_uso_aparelhos_em_horas]]/Tabela2[[#This Row],[FAF_Var]])</f>
        <v>0.98528613044980984</v>
      </c>
      <c r="T1610">
        <f>(Tabela2[[#This Row],[CAEC_lanche_entre_refeicoes]]*Tabela2[[#This Row],[FAVC_consumo_frequente_de_alimentos_mt_caloricos]])</f>
        <v>1</v>
      </c>
      <c r="U1610" s="1">
        <f>IF(OR(Tabela2[[#This Row],[MTRANS]]="Walking",Tabela2[[#This Row],[MTRANS]]="Bike"),Tabela2[[#This Row],[FAF_atividade_fisica_frequente_em_horas]]+1,M1610)</f>
        <v>0.32531300000000002</v>
      </c>
      <c r="V1610">
        <f>(Tabela2[[#This Row],[SMOKE]]+Tabela2[[#This Row],[CALC_bebe_alcool_frequentemente]])</f>
        <v>1</v>
      </c>
      <c r="W1610" s="8">
        <f>(Tabela2[[#This Row],[Weight]]/(Tabela2[[#This Row],[Height]] ^2))</f>
        <v>38.866645877551022</v>
      </c>
    </row>
    <row r="1611" spans="1:23" x14ac:dyDescent="0.25">
      <c r="A1611" t="s">
        <v>15</v>
      </c>
      <c r="B1611" s="7">
        <v>22.658571999999999</v>
      </c>
      <c r="C1611" s="4">
        <v>1.784994</v>
      </c>
      <c r="D1611" s="7">
        <v>113.714521</v>
      </c>
      <c r="E1611">
        <v>1</v>
      </c>
      <c r="F1611">
        <v>1</v>
      </c>
      <c r="G1611" s="2">
        <v>1.760038</v>
      </c>
      <c r="H1611" s="2">
        <v>3</v>
      </c>
      <c r="I1611">
        <v>1</v>
      </c>
      <c r="J1611">
        <v>0</v>
      </c>
      <c r="K1611" s="2">
        <v>2.0035310000000002</v>
      </c>
      <c r="L1611">
        <v>0</v>
      </c>
      <c r="M1611" s="7">
        <v>1.0890610000000001</v>
      </c>
      <c r="N1611" s="7">
        <v>7.2263999999999995E-2</v>
      </c>
      <c r="O1611">
        <v>1</v>
      </c>
      <c r="P1611" t="s">
        <v>14</v>
      </c>
      <c r="Q1611">
        <v>5</v>
      </c>
      <c r="R1611" s="8">
        <f>(Tabela2[[#This Row],[FAF_atividade_fisica_frequente_em_horas]]+ 0.1)</f>
        <v>1.1890610000000001</v>
      </c>
      <c r="S1611" s="1">
        <f>(Tabela2[[#This Row],[TUE_tempo_uso_aparelhos_em_horas]]/Tabela2[[#This Row],[FAF_Var]])</f>
        <v>6.0774005707024271E-2</v>
      </c>
      <c r="T1611">
        <f>(Tabela2[[#This Row],[CAEC_lanche_entre_refeicoes]]*Tabela2[[#This Row],[FAVC_consumo_frequente_de_alimentos_mt_caloricos]])</f>
        <v>1</v>
      </c>
      <c r="U1611" s="1">
        <f>IF(OR(Tabela2[[#This Row],[MTRANS]]="Walking",Tabela2[[#This Row],[MTRANS]]="Bike"),Tabela2[[#This Row],[FAF_atividade_fisica_frequente_em_horas]]+1,M1611)</f>
        <v>1.0890610000000001</v>
      </c>
      <c r="V1611">
        <f>(Tabela2[[#This Row],[SMOKE]]+Tabela2[[#This Row],[CALC_bebe_alcool_frequentemente]])</f>
        <v>1</v>
      </c>
      <c r="W1611" s="8">
        <f>(Tabela2[[#This Row],[Weight]]/(Tabela2[[#This Row],[Height]] ^2))</f>
        <v>35.689659541062717</v>
      </c>
    </row>
    <row r="1612" spans="1:23" x14ac:dyDescent="0.25">
      <c r="A1612" t="s">
        <v>15</v>
      </c>
      <c r="B1612" s="7">
        <v>22.889099000000002</v>
      </c>
      <c r="C1612" s="4">
        <v>1.7925329999999999</v>
      </c>
      <c r="D1612" s="7">
        <v>116.157766</v>
      </c>
      <c r="E1612">
        <v>1</v>
      </c>
      <c r="F1612">
        <v>1</v>
      </c>
      <c r="G1612" s="2">
        <v>1.9966459999999999</v>
      </c>
      <c r="H1612" s="2">
        <v>3</v>
      </c>
      <c r="I1612">
        <v>1</v>
      </c>
      <c r="J1612">
        <v>0</v>
      </c>
      <c r="K1612" s="2">
        <v>2</v>
      </c>
      <c r="L1612">
        <v>0</v>
      </c>
      <c r="M1612" s="7">
        <v>1.600536</v>
      </c>
      <c r="N1612" s="7">
        <v>0.73968400000000001</v>
      </c>
      <c r="O1612">
        <v>1</v>
      </c>
      <c r="P1612" t="s">
        <v>14</v>
      </c>
      <c r="Q1612">
        <v>5</v>
      </c>
      <c r="R1612" s="8">
        <f>(Tabela2[[#This Row],[FAF_atividade_fisica_frequente_em_horas]]+ 0.1)</f>
        <v>1.700536</v>
      </c>
      <c r="S1612" s="1">
        <f>(Tabela2[[#This Row],[TUE_tempo_uso_aparelhos_em_horas]]/Tabela2[[#This Row],[FAF_Var]])</f>
        <v>0.43497109146763135</v>
      </c>
      <c r="T1612">
        <f>(Tabela2[[#This Row],[CAEC_lanche_entre_refeicoes]]*Tabela2[[#This Row],[FAVC_consumo_frequente_de_alimentos_mt_caloricos]])</f>
        <v>1</v>
      </c>
      <c r="U1612" s="1">
        <f>IF(OR(Tabela2[[#This Row],[MTRANS]]="Walking",Tabela2[[#This Row],[MTRANS]]="Bike"),Tabela2[[#This Row],[FAF_atividade_fisica_frequente_em_horas]]+1,M1612)</f>
        <v>1.600536</v>
      </c>
      <c r="V1612">
        <f>(Tabela2[[#This Row],[SMOKE]]+Tabela2[[#This Row],[CALC_bebe_alcool_frequentemente]])</f>
        <v>1</v>
      </c>
      <c r="W1612" s="8">
        <f>(Tabela2[[#This Row],[Weight]]/(Tabela2[[#This Row],[Height]] ^2))</f>
        <v>36.15046863230004</v>
      </c>
    </row>
    <row r="1613" spans="1:23" x14ac:dyDescent="0.25">
      <c r="A1613" t="s">
        <v>15</v>
      </c>
      <c r="B1613" s="7">
        <v>24.634740000000001</v>
      </c>
      <c r="C1613" s="4">
        <v>1.8297570000000001</v>
      </c>
      <c r="D1613" s="7">
        <v>120.980508</v>
      </c>
      <c r="E1613">
        <v>1</v>
      </c>
      <c r="F1613">
        <v>1</v>
      </c>
      <c r="G1613" s="2">
        <v>2.6440939999999999</v>
      </c>
      <c r="H1613" s="2">
        <v>3</v>
      </c>
      <c r="I1613">
        <v>1</v>
      </c>
      <c r="J1613">
        <v>0</v>
      </c>
      <c r="K1613" s="2">
        <v>2.7405249999999999</v>
      </c>
      <c r="L1613">
        <v>0</v>
      </c>
      <c r="M1613" s="7">
        <v>2</v>
      </c>
      <c r="N1613" s="7">
        <v>0.50093600000000005</v>
      </c>
      <c r="O1613">
        <v>1</v>
      </c>
      <c r="P1613" t="s">
        <v>14</v>
      </c>
      <c r="Q1613">
        <v>5</v>
      </c>
      <c r="R1613" s="8">
        <f>(Tabela2[[#This Row],[FAF_atividade_fisica_frequente_em_horas]]+ 0.1)</f>
        <v>2.1</v>
      </c>
      <c r="S1613" s="1">
        <f>(Tabela2[[#This Row],[TUE_tempo_uso_aparelhos_em_horas]]/Tabela2[[#This Row],[FAF_Var]])</f>
        <v>0.23854095238095238</v>
      </c>
      <c r="T1613">
        <f>(Tabela2[[#This Row],[CAEC_lanche_entre_refeicoes]]*Tabela2[[#This Row],[FAVC_consumo_frequente_de_alimentos_mt_caloricos]])</f>
        <v>1</v>
      </c>
      <c r="U1613" s="1">
        <f>IF(OR(Tabela2[[#This Row],[MTRANS]]="Walking",Tabela2[[#This Row],[MTRANS]]="Bike"),Tabela2[[#This Row],[FAF_atividade_fisica_frequente_em_horas]]+1,M1613)</f>
        <v>2</v>
      </c>
      <c r="V1613">
        <f>(Tabela2[[#This Row],[SMOKE]]+Tabela2[[#This Row],[CALC_bebe_alcool_frequentemente]])</f>
        <v>1</v>
      </c>
      <c r="W1613" s="8">
        <f>(Tabela2[[#This Row],[Weight]]/(Tabela2[[#This Row],[Height]] ^2))</f>
        <v>36.135042446867111</v>
      </c>
    </row>
    <row r="1614" spans="1:23" x14ac:dyDescent="0.25">
      <c r="A1614" t="s">
        <v>15</v>
      </c>
      <c r="B1614" s="7">
        <v>24.920362000000001</v>
      </c>
      <c r="C1614" s="4">
        <v>1.7964150000000001</v>
      </c>
      <c r="D1614" s="7">
        <v>120.988454</v>
      </c>
      <c r="E1614">
        <v>1</v>
      </c>
      <c r="F1614">
        <v>1</v>
      </c>
      <c r="G1614" s="2">
        <v>2.475892</v>
      </c>
      <c r="H1614" s="2">
        <v>3</v>
      </c>
      <c r="I1614">
        <v>1</v>
      </c>
      <c r="J1614">
        <v>0</v>
      </c>
      <c r="K1614" s="2">
        <v>2.9493559999999999</v>
      </c>
      <c r="L1614">
        <v>0</v>
      </c>
      <c r="M1614" s="7">
        <v>1.8668389999999999</v>
      </c>
      <c r="N1614" s="7">
        <v>0.100048</v>
      </c>
      <c r="O1614">
        <v>1</v>
      </c>
      <c r="P1614" t="s">
        <v>14</v>
      </c>
      <c r="Q1614">
        <v>5</v>
      </c>
      <c r="R1614" s="8">
        <f>(Tabela2[[#This Row],[FAF_atividade_fisica_frequente_em_horas]]+ 0.1)</f>
        <v>1.966839</v>
      </c>
      <c r="S1614" s="1">
        <f>(Tabela2[[#This Row],[TUE_tempo_uso_aparelhos_em_horas]]/Tabela2[[#This Row],[FAF_Var]])</f>
        <v>5.0867407042467637E-2</v>
      </c>
      <c r="T1614">
        <f>(Tabela2[[#This Row],[CAEC_lanche_entre_refeicoes]]*Tabela2[[#This Row],[FAVC_consumo_frequente_de_alimentos_mt_caloricos]])</f>
        <v>1</v>
      </c>
      <c r="U1614" s="1">
        <f>IF(OR(Tabela2[[#This Row],[MTRANS]]="Walking",Tabela2[[#This Row],[MTRANS]]="Bike"),Tabela2[[#This Row],[FAF_atividade_fisica_frequente_em_horas]]+1,M1614)</f>
        <v>1.8668389999999999</v>
      </c>
      <c r="V1614">
        <f>(Tabela2[[#This Row],[SMOKE]]+Tabela2[[#This Row],[CALC_bebe_alcool_frequentemente]])</f>
        <v>1</v>
      </c>
      <c r="W1614" s="8">
        <f>(Tabela2[[#This Row],[Weight]]/(Tabela2[[#This Row],[Height]] ^2))</f>
        <v>37.491307087207801</v>
      </c>
    </row>
    <row r="1615" spans="1:23" x14ac:dyDescent="0.25">
      <c r="A1615" t="s">
        <v>15</v>
      </c>
      <c r="B1615" s="7">
        <v>31.783844999999999</v>
      </c>
      <c r="C1615" s="4">
        <v>1.75</v>
      </c>
      <c r="D1615" s="7">
        <v>120</v>
      </c>
      <c r="E1615">
        <v>1</v>
      </c>
      <c r="F1615">
        <v>1</v>
      </c>
      <c r="G1615" s="2">
        <v>2.941627</v>
      </c>
      <c r="H1615" s="2">
        <v>3</v>
      </c>
      <c r="I1615">
        <v>1</v>
      </c>
      <c r="J1615">
        <v>0</v>
      </c>
      <c r="K1615" s="2">
        <v>2.3181340000000001</v>
      </c>
      <c r="L1615">
        <v>0</v>
      </c>
      <c r="M1615" s="7">
        <v>0.58268600000000004</v>
      </c>
      <c r="N1615" s="7">
        <v>1.5880460000000001</v>
      </c>
      <c r="O1615">
        <v>1</v>
      </c>
      <c r="P1615" t="s">
        <v>17</v>
      </c>
      <c r="Q1615">
        <v>5</v>
      </c>
      <c r="R1615" s="8">
        <f>(Tabela2[[#This Row],[FAF_atividade_fisica_frequente_em_horas]]+ 0.1)</f>
        <v>0.68268600000000002</v>
      </c>
      <c r="S1615" s="1">
        <f>(Tabela2[[#This Row],[TUE_tempo_uso_aparelhos_em_horas]]/Tabela2[[#This Row],[FAF_Var]])</f>
        <v>2.3261733798554536</v>
      </c>
      <c r="T1615">
        <f>(Tabela2[[#This Row],[CAEC_lanche_entre_refeicoes]]*Tabela2[[#This Row],[FAVC_consumo_frequente_de_alimentos_mt_caloricos]])</f>
        <v>1</v>
      </c>
      <c r="U1615" s="1">
        <f>IF(OR(Tabela2[[#This Row],[MTRANS]]="Walking",Tabela2[[#This Row],[MTRANS]]="Bike"),Tabela2[[#This Row],[FAF_atividade_fisica_frequente_em_horas]]+1,M1615)</f>
        <v>0.58268600000000004</v>
      </c>
      <c r="V1615">
        <f>(Tabela2[[#This Row],[SMOKE]]+Tabela2[[#This Row],[CALC_bebe_alcool_frequentemente]])</f>
        <v>1</v>
      </c>
      <c r="W1615" s="8">
        <f>(Tabela2[[#This Row],[Weight]]/(Tabela2[[#This Row],[Height]] ^2))</f>
        <v>39.183673469387756</v>
      </c>
    </row>
    <row r="1616" spans="1:23" x14ac:dyDescent="0.25">
      <c r="A1616" t="s">
        <v>15</v>
      </c>
      <c r="B1616" s="7">
        <v>31.627962</v>
      </c>
      <c r="C1616" s="4">
        <v>1.762389</v>
      </c>
      <c r="D1616" s="7">
        <v>118.548733</v>
      </c>
      <c r="E1616">
        <v>1</v>
      </c>
      <c r="F1616">
        <v>1</v>
      </c>
      <c r="G1616" s="2">
        <v>2.9984410000000001</v>
      </c>
      <c r="H1616" s="2">
        <v>3</v>
      </c>
      <c r="I1616">
        <v>1</v>
      </c>
      <c r="J1616">
        <v>0</v>
      </c>
      <c r="K1616" s="2">
        <v>2.4629159999999999</v>
      </c>
      <c r="L1616">
        <v>0</v>
      </c>
      <c r="M1616" s="7">
        <v>0.55464599999999997</v>
      </c>
      <c r="N1616" s="7">
        <v>1.9921899999999999</v>
      </c>
      <c r="O1616">
        <v>1</v>
      </c>
      <c r="P1616" t="s">
        <v>17</v>
      </c>
      <c r="Q1616">
        <v>5</v>
      </c>
      <c r="R1616" s="8">
        <f>(Tabela2[[#This Row],[FAF_atividade_fisica_frequente_em_horas]]+ 0.1)</f>
        <v>0.65464599999999995</v>
      </c>
      <c r="S1616" s="1">
        <f>(Tabela2[[#This Row],[TUE_tempo_uso_aparelhos_em_horas]]/Tabela2[[#This Row],[FAF_Var]])</f>
        <v>3.0431561485138534</v>
      </c>
      <c r="T1616">
        <f>(Tabela2[[#This Row],[CAEC_lanche_entre_refeicoes]]*Tabela2[[#This Row],[FAVC_consumo_frequente_de_alimentos_mt_caloricos]])</f>
        <v>1</v>
      </c>
      <c r="U1616" s="1">
        <f>IF(OR(Tabela2[[#This Row],[MTRANS]]="Walking",Tabela2[[#This Row],[MTRANS]]="Bike"),Tabela2[[#This Row],[FAF_atividade_fisica_frequente_em_horas]]+1,M1616)</f>
        <v>0.55464599999999997</v>
      </c>
      <c r="V1616">
        <f>(Tabela2[[#This Row],[SMOKE]]+Tabela2[[#This Row],[CALC_bebe_alcool_frequentemente]])</f>
        <v>1</v>
      </c>
      <c r="W1616" s="8">
        <f>(Tabela2[[#This Row],[Weight]]/(Tabela2[[#This Row],[Height]] ^2))</f>
        <v>38.167469726941221</v>
      </c>
    </row>
    <row r="1617" spans="1:23" x14ac:dyDescent="0.25">
      <c r="A1617" t="s">
        <v>15</v>
      </c>
      <c r="B1617" s="7">
        <v>22.976188</v>
      </c>
      <c r="C1617" s="4">
        <v>1.825718</v>
      </c>
      <c r="D1617" s="7">
        <v>121.236915</v>
      </c>
      <c r="E1617">
        <v>1</v>
      </c>
      <c r="F1617">
        <v>1</v>
      </c>
      <c r="G1617" s="2">
        <v>2.397284</v>
      </c>
      <c r="H1617" s="2">
        <v>2.8929200000000002</v>
      </c>
      <c r="I1617">
        <v>1</v>
      </c>
      <c r="J1617">
        <v>0</v>
      </c>
      <c r="K1617" s="2">
        <v>1.983973</v>
      </c>
      <c r="L1617">
        <v>0</v>
      </c>
      <c r="M1617" s="7">
        <v>1.859667</v>
      </c>
      <c r="N1617" s="7">
        <v>2.5999999999999999E-3</v>
      </c>
      <c r="O1617">
        <v>1</v>
      </c>
      <c r="P1617" t="s">
        <v>14</v>
      </c>
      <c r="Q1617">
        <v>5</v>
      </c>
      <c r="R1617" s="8">
        <f>(Tabela2[[#This Row],[FAF_atividade_fisica_frequente_em_horas]]+ 0.1)</f>
        <v>1.959667</v>
      </c>
      <c r="S1617" s="1">
        <f>(Tabela2[[#This Row],[TUE_tempo_uso_aparelhos_em_horas]]/Tabela2[[#This Row],[FAF_Var]])</f>
        <v>1.3267560253859456E-3</v>
      </c>
      <c r="T1617">
        <f>(Tabela2[[#This Row],[CAEC_lanche_entre_refeicoes]]*Tabela2[[#This Row],[FAVC_consumo_frequente_de_alimentos_mt_caloricos]])</f>
        <v>1</v>
      </c>
      <c r="U1617" s="1">
        <f>IF(OR(Tabela2[[#This Row],[MTRANS]]="Walking",Tabela2[[#This Row],[MTRANS]]="Bike"),Tabela2[[#This Row],[FAF_atividade_fisica_frequente_em_horas]]+1,M1617)</f>
        <v>1.859667</v>
      </c>
      <c r="V1617">
        <f>(Tabela2[[#This Row],[SMOKE]]+Tabela2[[#This Row],[CALC_bebe_alcool_frequentemente]])</f>
        <v>1</v>
      </c>
      <c r="W1617" s="8">
        <f>(Tabela2[[#This Row],[Weight]]/(Tabela2[[#This Row],[Height]] ^2))</f>
        <v>36.372025095344199</v>
      </c>
    </row>
    <row r="1618" spans="1:23" x14ac:dyDescent="0.25">
      <c r="A1618" t="s">
        <v>15</v>
      </c>
      <c r="B1618" s="7">
        <v>22.977357000000001</v>
      </c>
      <c r="C1618" s="4">
        <v>1.839699</v>
      </c>
      <c r="D1618" s="7">
        <v>120.431551</v>
      </c>
      <c r="E1618">
        <v>1</v>
      </c>
      <c r="F1618">
        <v>1</v>
      </c>
      <c r="G1618" s="2">
        <v>2.3827050000000001</v>
      </c>
      <c r="H1618" s="2">
        <v>2.9389020000000001</v>
      </c>
      <c r="I1618">
        <v>1</v>
      </c>
      <c r="J1618">
        <v>0</v>
      </c>
      <c r="K1618" s="2">
        <v>1.9992780000000001</v>
      </c>
      <c r="L1618">
        <v>0</v>
      </c>
      <c r="M1618" s="7">
        <v>1.686229</v>
      </c>
      <c r="N1618" s="7">
        <v>0.63086600000000004</v>
      </c>
      <c r="O1618">
        <v>1</v>
      </c>
      <c r="P1618" t="s">
        <v>14</v>
      </c>
      <c r="Q1618">
        <v>5</v>
      </c>
      <c r="R1618" s="8">
        <f>(Tabela2[[#This Row],[FAF_atividade_fisica_frequente_em_horas]]+ 0.1)</f>
        <v>1.7862290000000001</v>
      </c>
      <c r="S1618" s="1">
        <f>(Tabela2[[#This Row],[TUE_tempo_uso_aparelhos_em_horas]]/Tabela2[[#This Row],[FAF_Var]])</f>
        <v>0.35318315848639786</v>
      </c>
      <c r="T1618">
        <f>(Tabela2[[#This Row],[CAEC_lanche_entre_refeicoes]]*Tabela2[[#This Row],[FAVC_consumo_frequente_de_alimentos_mt_caloricos]])</f>
        <v>1</v>
      </c>
      <c r="U1618" s="1">
        <f>IF(OR(Tabela2[[#This Row],[MTRANS]]="Walking",Tabela2[[#This Row],[MTRANS]]="Bike"),Tabela2[[#This Row],[FAF_atividade_fisica_frequente_em_horas]]+1,M1618)</f>
        <v>1.686229</v>
      </c>
      <c r="V1618">
        <f>(Tabela2[[#This Row],[SMOKE]]+Tabela2[[#This Row],[CALC_bebe_alcool_frequentemente]])</f>
        <v>1</v>
      </c>
      <c r="W1618" s="8">
        <f>(Tabela2[[#This Row],[Weight]]/(Tabela2[[#This Row],[Height]] ^2))</f>
        <v>35.583342016894761</v>
      </c>
    </row>
    <row r="1619" spans="1:23" x14ac:dyDescent="0.25">
      <c r="A1619" t="s">
        <v>15</v>
      </c>
      <c r="B1619" s="7">
        <v>40.973007000000003</v>
      </c>
      <c r="C1619" s="4">
        <v>1.7494050000000001</v>
      </c>
      <c r="D1619" s="7">
        <v>109.908779</v>
      </c>
      <c r="E1619">
        <v>1</v>
      </c>
      <c r="F1619">
        <v>1</v>
      </c>
      <c r="G1619" s="2">
        <v>2.1763170000000001</v>
      </c>
      <c r="H1619" s="2">
        <v>2.986637</v>
      </c>
      <c r="I1619">
        <v>1</v>
      </c>
      <c r="J1619">
        <v>0</v>
      </c>
      <c r="K1619" s="2">
        <v>1.0156719999999999</v>
      </c>
      <c r="L1619">
        <v>0</v>
      </c>
      <c r="M1619" s="7">
        <v>0.94140999999999997</v>
      </c>
      <c r="N1619" s="7">
        <v>0</v>
      </c>
      <c r="O1619">
        <v>0</v>
      </c>
      <c r="P1619" t="s">
        <v>17</v>
      </c>
      <c r="Q1619">
        <v>5</v>
      </c>
      <c r="R1619" s="8">
        <f>(Tabela2[[#This Row],[FAF_atividade_fisica_frequente_em_horas]]+ 0.1)</f>
        <v>1.0414099999999999</v>
      </c>
      <c r="S1619" s="1">
        <f>(Tabela2[[#This Row],[TUE_tempo_uso_aparelhos_em_horas]]/Tabela2[[#This Row],[FAF_Var]])</f>
        <v>0</v>
      </c>
      <c r="T1619">
        <f>(Tabela2[[#This Row],[CAEC_lanche_entre_refeicoes]]*Tabela2[[#This Row],[FAVC_consumo_frequente_de_alimentos_mt_caloricos]])</f>
        <v>1</v>
      </c>
      <c r="U1619" s="1">
        <f>IF(OR(Tabela2[[#This Row],[MTRANS]]="Walking",Tabela2[[#This Row],[MTRANS]]="Bike"),Tabela2[[#This Row],[FAF_atividade_fisica_frequente_em_horas]]+1,M1619)</f>
        <v>0.94140999999999997</v>
      </c>
      <c r="V1619">
        <f>(Tabela2[[#This Row],[SMOKE]]+Tabela2[[#This Row],[CALC_bebe_alcool_frequentemente]])</f>
        <v>0</v>
      </c>
      <c r="W1619" s="8">
        <f>(Tabela2[[#This Row],[Weight]]/(Tabela2[[#This Row],[Height]] ^2))</f>
        <v>35.912997584774303</v>
      </c>
    </row>
    <row r="1620" spans="1:23" x14ac:dyDescent="0.25">
      <c r="A1620" t="s">
        <v>15</v>
      </c>
      <c r="B1620" s="7">
        <v>41</v>
      </c>
      <c r="C1620" s="4">
        <v>1.75</v>
      </c>
      <c r="D1620" s="7">
        <v>115.806977</v>
      </c>
      <c r="E1620">
        <v>1</v>
      </c>
      <c r="F1620">
        <v>1</v>
      </c>
      <c r="G1620" s="2">
        <v>2</v>
      </c>
      <c r="H1620" s="2">
        <v>2.7015210000000001</v>
      </c>
      <c r="I1620">
        <v>1</v>
      </c>
      <c r="J1620">
        <v>0</v>
      </c>
      <c r="K1620" s="2">
        <v>1.142644</v>
      </c>
      <c r="L1620">
        <v>0</v>
      </c>
      <c r="M1620" s="7">
        <v>0.51422500000000004</v>
      </c>
      <c r="N1620" s="7">
        <v>0</v>
      </c>
      <c r="O1620">
        <v>0</v>
      </c>
      <c r="P1620" t="s">
        <v>17</v>
      </c>
      <c r="Q1620">
        <v>5</v>
      </c>
      <c r="R1620" s="8">
        <f>(Tabela2[[#This Row],[FAF_atividade_fisica_frequente_em_horas]]+ 0.1)</f>
        <v>0.61422500000000002</v>
      </c>
      <c r="S1620" s="1">
        <f>(Tabela2[[#This Row],[TUE_tempo_uso_aparelhos_em_horas]]/Tabela2[[#This Row],[FAF_Var]])</f>
        <v>0</v>
      </c>
      <c r="T1620">
        <f>(Tabela2[[#This Row],[CAEC_lanche_entre_refeicoes]]*Tabela2[[#This Row],[FAVC_consumo_frequente_de_alimentos_mt_caloricos]])</f>
        <v>1</v>
      </c>
      <c r="U1620" s="1">
        <f>IF(OR(Tabela2[[#This Row],[MTRANS]]="Walking",Tabela2[[#This Row],[MTRANS]]="Bike"),Tabela2[[#This Row],[FAF_atividade_fisica_frequente_em_horas]]+1,M1620)</f>
        <v>0.51422500000000004</v>
      </c>
      <c r="V1620">
        <f>(Tabela2[[#This Row],[SMOKE]]+Tabela2[[#This Row],[CALC_bebe_alcool_frequentemente]])</f>
        <v>0</v>
      </c>
      <c r="W1620" s="8">
        <f>(Tabela2[[#This Row],[Weight]]/(Tabela2[[#This Row],[Height]] ^2))</f>
        <v>37.814523102040816</v>
      </c>
    </row>
    <row r="1621" spans="1:23" x14ac:dyDescent="0.25">
      <c r="A1621" t="s">
        <v>15</v>
      </c>
      <c r="B1621" s="7">
        <v>21.721506999999999</v>
      </c>
      <c r="C1621" s="4">
        <v>1.849998</v>
      </c>
      <c r="D1621" s="7">
        <v>122.119682</v>
      </c>
      <c r="E1621">
        <v>1</v>
      </c>
      <c r="F1621">
        <v>1</v>
      </c>
      <c r="G1621" s="2">
        <v>3</v>
      </c>
      <c r="H1621" s="2">
        <v>2.0146709999999999</v>
      </c>
      <c r="I1621">
        <v>1</v>
      </c>
      <c r="J1621">
        <v>0</v>
      </c>
      <c r="K1621" s="2">
        <v>1.292786</v>
      </c>
      <c r="L1621">
        <v>0</v>
      </c>
      <c r="M1621" s="7">
        <v>0.14568700000000001</v>
      </c>
      <c r="N1621" s="7">
        <v>0</v>
      </c>
      <c r="O1621">
        <v>1</v>
      </c>
      <c r="P1621" t="s">
        <v>14</v>
      </c>
      <c r="Q1621">
        <v>5</v>
      </c>
      <c r="R1621" s="8">
        <f>(Tabela2[[#This Row],[FAF_atividade_fisica_frequente_em_horas]]+ 0.1)</f>
        <v>0.24568700000000002</v>
      </c>
      <c r="S1621" s="1">
        <f>(Tabela2[[#This Row],[TUE_tempo_uso_aparelhos_em_horas]]/Tabela2[[#This Row],[FAF_Var]])</f>
        <v>0</v>
      </c>
      <c r="T1621">
        <f>(Tabela2[[#This Row],[CAEC_lanche_entre_refeicoes]]*Tabela2[[#This Row],[FAVC_consumo_frequente_de_alimentos_mt_caloricos]])</f>
        <v>1</v>
      </c>
      <c r="U1621" s="1">
        <f>IF(OR(Tabela2[[#This Row],[MTRANS]]="Walking",Tabela2[[#This Row],[MTRANS]]="Bike"),Tabela2[[#This Row],[FAF_atividade_fisica_frequente_em_horas]]+1,M1621)</f>
        <v>0.14568700000000001</v>
      </c>
      <c r="V1621">
        <f>(Tabela2[[#This Row],[SMOKE]]+Tabela2[[#This Row],[CALC_bebe_alcool_frequentemente]])</f>
        <v>1</v>
      </c>
      <c r="W1621" s="8">
        <f>(Tabela2[[#This Row],[Weight]]/(Tabela2[[#This Row],[Height]] ^2))</f>
        <v>35.681503591814128</v>
      </c>
    </row>
    <row r="1622" spans="1:23" x14ac:dyDescent="0.25">
      <c r="A1622" t="s">
        <v>15</v>
      </c>
      <c r="B1622" s="7">
        <v>21.544554000000002</v>
      </c>
      <c r="C1622" s="4">
        <v>1.84998</v>
      </c>
      <c r="D1622" s="7">
        <v>122.609911</v>
      </c>
      <c r="E1622">
        <v>1</v>
      </c>
      <c r="F1622">
        <v>1</v>
      </c>
      <c r="G1622" s="2">
        <v>3</v>
      </c>
      <c r="H1622" s="2">
        <v>1.9716590000000001</v>
      </c>
      <c r="I1622">
        <v>1</v>
      </c>
      <c r="J1622">
        <v>0</v>
      </c>
      <c r="K1622" s="2">
        <v>1.179254</v>
      </c>
      <c r="L1622">
        <v>0</v>
      </c>
      <c r="M1622" s="7">
        <v>0.17885599999999999</v>
      </c>
      <c r="N1622" s="7">
        <v>0</v>
      </c>
      <c r="O1622">
        <v>1</v>
      </c>
      <c r="P1622" t="s">
        <v>14</v>
      </c>
      <c r="Q1622">
        <v>5</v>
      </c>
      <c r="R1622" s="8">
        <f>(Tabela2[[#This Row],[FAF_atividade_fisica_frequente_em_horas]]+ 0.1)</f>
        <v>0.27885599999999999</v>
      </c>
      <c r="S1622" s="1">
        <f>(Tabela2[[#This Row],[TUE_tempo_uso_aparelhos_em_horas]]/Tabela2[[#This Row],[FAF_Var]])</f>
        <v>0</v>
      </c>
      <c r="T1622">
        <f>(Tabela2[[#This Row],[CAEC_lanche_entre_refeicoes]]*Tabela2[[#This Row],[FAVC_consumo_frequente_de_alimentos_mt_caloricos]])</f>
        <v>1</v>
      </c>
      <c r="U1622" s="1">
        <f>IF(OR(Tabela2[[#This Row],[MTRANS]]="Walking",Tabela2[[#This Row],[MTRANS]]="Bike"),Tabela2[[#This Row],[FAF_atividade_fisica_frequente_em_horas]]+1,M1622)</f>
        <v>0.17885599999999999</v>
      </c>
      <c r="V1622">
        <f>(Tabela2[[#This Row],[SMOKE]]+Tabela2[[#This Row],[CALC_bebe_alcool_frequentemente]])</f>
        <v>1</v>
      </c>
      <c r="W1622" s="8">
        <f>(Tabela2[[#This Row],[Weight]]/(Tabela2[[#This Row],[Height]] ^2))</f>
        <v>35.825438149917581</v>
      </c>
    </row>
    <row r="1623" spans="1:23" x14ac:dyDescent="0.25">
      <c r="A1623" t="s">
        <v>15</v>
      </c>
      <c r="B1623" s="7">
        <v>24.000306999999999</v>
      </c>
      <c r="C1623" s="4">
        <v>1.607939</v>
      </c>
      <c r="D1623" s="7">
        <v>100.618239</v>
      </c>
      <c r="E1623">
        <v>1</v>
      </c>
      <c r="F1623">
        <v>1</v>
      </c>
      <c r="G1623" s="2">
        <v>2.8777430000000002</v>
      </c>
      <c r="H1623" s="2">
        <v>1.3117970000000001</v>
      </c>
      <c r="I1623">
        <v>1</v>
      </c>
      <c r="J1623">
        <v>0</v>
      </c>
      <c r="K1623" s="2">
        <v>1.0004630000000001</v>
      </c>
      <c r="L1623">
        <v>0</v>
      </c>
      <c r="M1623" s="7">
        <v>0.18224899999999999</v>
      </c>
      <c r="N1623" s="7">
        <v>1.4312</v>
      </c>
      <c r="O1623">
        <v>0</v>
      </c>
      <c r="P1623" t="s">
        <v>14</v>
      </c>
      <c r="Q1623">
        <v>5</v>
      </c>
      <c r="R1623" s="8">
        <f>(Tabela2[[#This Row],[FAF_atividade_fisica_frequente_em_horas]]+ 0.1)</f>
        <v>0.28224899999999997</v>
      </c>
      <c r="S1623" s="1">
        <f>(Tabela2[[#This Row],[TUE_tempo_uso_aparelhos_em_horas]]/Tabela2[[#This Row],[FAF_Var]])</f>
        <v>5.0706999847652252</v>
      </c>
      <c r="T1623">
        <f>(Tabela2[[#This Row],[CAEC_lanche_entre_refeicoes]]*Tabela2[[#This Row],[FAVC_consumo_frequente_de_alimentos_mt_caloricos]])</f>
        <v>1</v>
      </c>
      <c r="U1623" s="1">
        <f>IF(OR(Tabela2[[#This Row],[MTRANS]]="Walking",Tabela2[[#This Row],[MTRANS]]="Bike"),Tabela2[[#This Row],[FAF_atividade_fisica_frequente_em_horas]]+1,M1623)</f>
        <v>0.18224899999999999</v>
      </c>
      <c r="V1623">
        <f>(Tabela2[[#This Row],[SMOKE]]+Tabela2[[#This Row],[CALC_bebe_alcool_frequentemente]])</f>
        <v>0</v>
      </c>
      <c r="W1623" s="8">
        <f>(Tabela2[[#This Row],[Weight]]/(Tabela2[[#This Row],[Height]] ^2))</f>
        <v>38.91684047319648</v>
      </c>
    </row>
    <row r="1624" spans="1:23" x14ac:dyDescent="0.25">
      <c r="A1624" t="s">
        <v>15</v>
      </c>
      <c r="B1624" s="7">
        <v>24.040900000000001</v>
      </c>
      <c r="C1624" s="4">
        <v>1.603226</v>
      </c>
      <c r="D1624" s="7">
        <v>99.605526999999995</v>
      </c>
      <c r="E1624">
        <v>1</v>
      </c>
      <c r="F1624">
        <v>1</v>
      </c>
      <c r="G1624" s="2">
        <v>3</v>
      </c>
      <c r="H1624" s="2">
        <v>1.262831</v>
      </c>
      <c r="I1624">
        <v>1</v>
      </c>
      <c r="J1624">
        <v>0</v>
      </c>
      <c r="K1624" s="2">
        <v>1</v>
      </c>
      <c r="L1624">
        <v>0</v>
      </c>
      <c r="M1624" s="7">
        <v>0.88317100000000004</v>
      </c>
      <c r="N1624" s="7">
        <v>1.382995</v>
      </c>
      <c r="O1624">
        <v>0</v>
      </c>
      <c r="P1624" t="s">
        <v>14</v>
      </c>
      <c r="Q1624">
        <v>5</v>
      </c>
      <c r="R1624" s="8">
        <f>(Tabela2[[#This Row],[FAF_atividade_fisica_frequente_em_horas]]+ 0.1)</f>
        <v>0.98317100000000002</v>
      </c>
      <c r="S1624" s="1">
        <f>(Tabela2[[#This Row],[TUE_tempo_uso_aparelhos_em_horas]]/Tabela2[[#This Row],[FAF_Var]])</f>
        <v>1.4066678126185577</v>
      </c>
      <c r="T1624">
        <f>(Tabela2[[#This Row],[CAEC_lanche_entre_refeicoes]]*Tabela2[[#This Row],[FAVC_consumo_frequente_de_alimentos_mt_caloricos]])</f>
        <v>1</v>
      </c>
      <c r="U1624" s="1">
        <f>IF(OR(Tabela2[[#This Row],[MTRANS]]="Walking",Tabela2[[#This Row],[MTRANS]]="Bike"),Tabela2[[#This Row],[FAF_atividade_fisica_frequente_em_horas]]+1,M1624)</f>
        <v>0.88317100000000004</v>
      </c>
      <c r="V1624">
        <f>(Tabela2[[#This Row],[SMOKE]]+Tabela2[[#This Row],[CALC_bebe_alcool_frequentemente]])</f>
        <v>0</v>
      </c>
      <c r="W1624" s="8">
        <f>(Tabela2[[#This Row],[Weight]]/(Tabela2[[#This Row],[Height]] ^2))</f>
        <v>38.75198407155824</v>
      </c>
    </row>
    <row r="1625" spans="1:23" x14ac:dyDescent="0.25">
      <c r="A1625" t="s">
        <v>15</v>
      </c>
      <c r="B1625" s="7">
        <v>29.509150999999999</v>
      </c>
      <c r="C1625" s="4">
        <v>1.7706630000000001</v>
      </c>
      <c r="D1625" s="7">
        <v>112.471118</v>
      </c>
      <c r="E1625">
        <v>1</v>
      </c>
      <c r="F1625">
        <v>1</v>
      </c>
      <c r="G1625" s="2">
        <v>2.3030409999999999</v>
      </c>
      <c r="H1625" s="2">
        <v>3</v>
      </c>
      <c r="I1625">
        <v>1</v>
      </c>
      <c r="J1625">
        <v>0</v>
      </c>
      <c r="K1625" s="2">
        <v>2.065817</v>
      </c>
      <c r="L1625">
        <v>0</v>
      </c>
      <c r="M1625" s="7">
        <v>0</v>
      </c>
      <c r="N1625" s="7">
        <v>0.72522200000000003</v>
      </c>
      <c r="O1625">
        <v>1</v>
      </c>
      <c r="P1625" t="s">
        <v>17</v>
      </c>
      <c r="Q1625">
        <v>5</v>
      </c>
      <c r="R1625" s="8">
        <f>(Tabela2[[#This Row],[FAF_atividade_fisica_frequente_em_horas]]+ 0.1)</f>
        <v>0.1</v>
      </c>
      <c r="S1625" s="1">
        <f>(Tabela2[[#This Row],[TUE_tempo_uso_aparelhos_em_horas]]/Tabela2[[#This Row],[FAF_Var]])</f>
        <v>7.2522200000000003</v>
      </c>
      <c r="T1625">
        <f>(Tabela2[[#This Row],[CAEC_lanche_entre_refeicoes]]*Tabela2[[#This Row],[FAVC_consumo_frequente_de_alimentos_mt_caloricos]])</f>
        <v>1</v>
      </c>
      <c r="U1625" s="1">
        <f>IF(OR(Tabela2[[#This Row],[MTRANS]]="Walking",Tabela2[[#This Row],[MTRANS]]="Bike"),Tabela2[[#This Row],[FAF_atividade_fisica_frequente_em_horas]]+1,M1625)</f>
        <v>0</v>
      </c>
      <c r="V1625">
        <f>(Tabela2[[#This Row],[SMOKE]]+Tabela2[[#This Row],[CALC_bebe_alcool_frequentemente]])</f>
        <v>1</v>
      </c>
      <c r="W1625" s="8">
        <f>(Tabela2[[#This Row],[Weight]]/(Tabela2[[#This Row],[Height]] ^2))</f>
        <v>35.873123078923193</v>
      </c>
    </row>
    <row r="1626" spans="1:23" x14ac:dyDescent="0.25">
      <c r="A1626" t="s">
        <v>15</v>
      </c>
      <c r="B1626" s="7">
        <v>29.246269000000002</v>
      </c>
      <c r="C1626" s="4">
        <v>1.758038</v>
      </c>
      <c r="D1626" s="7">
        <v>112.395309</v>
      </c>
      <c r="E1626">
        <v>1</v>
      </c>
      <c r="F1626">
        <v>1</v>
      </c>
      <c r="G1626" s="2">
        <v>2.3230029999999999</v>
      </c>
      <c r="H1626" s="2">
        <v>3</v>
      </c>
      <c r="I1626">
        <v>1</v>
      </c>
      <c r="J1626">
        <v>0</v>
      </c>
      <c r="K1626" s="2">
        <v>2.1555580000000001</v>
      </c>
      <c r="L1626">
        <v>0</v>
      </c>
      <c r="M1626" s="7">
        <v>0</v>
      </c>
      <c r="N1626" s="7">
        <v>1.2515540000000001</v>
      </c>
      <c r="O1626">
        <v>1</v>
      </c>
      <c r="P1626" t="s">
        <v>17</v>
      </c>
      <c r="Q1626">
        <v>5</v>
      </c>
      <c r="R1626" s="8">
        <f>(Tabela2[[#This Row],[FAF_atividade_fisica_frequente_em_horas]]+ 0.1)</f>
        <v>0.1</v>
      </c>
      <c r="S1626" s="1">
        <f>(Tabela2[[#This Row],[TUE_tempo_uso_aparelhos_em_horas]]/Tabela2[[#This Row],[FAF_Var]])</f>
        <v>12.51554</v>
      </c>
      <c r="T1626">
        <f>(Tabela2[[#This Row],[CAEC_lanche_entre_refeicoes]]*Tabela2[[#This Row],[FAVC_consumo_frequente_de_alimentos_mt_caloricos]])</f>
        <v>1</v>
      </c>
      <c r="U1626" s="1">
        <f>IF(OR(Tabela2[[#This Row],[MTRANS]]="Walking",Tabela2[[#This Row],[MTRANS]]="Bike"),Tabela2[[#This Row],[FAF_atividade_fisica_frequente_em_horas]]+1,M1626)</f>
        <v>0</v>
      </c>
      <c r="V1626">
        <f>(Tabela2[[#This Row],[SMOKE]]+Tabela2[[#This Row],[CALC_bebe_alcool_frequentemente]])</f>
        <v>1</v>
      </c>
      <c r="W1626" s="8">
        <f>(Tabela2[[#This Row],[Weight]]/(Tabela2[[#This Row],[Height]] ^2))</f>
        <v>36.365676362696419</v>
      </c>
    </row>
    <row r="1627" spans="1:23" x14ac:dyDescent="0.25">
      <c r="A1627" t="s">
        <v>15</v>
      </c>
      <c r="B1627" s="7">
        <v>25.341398999999999</v>
      </c>
      <c r="C1627" s="4">
        <v>1.7869969999999999</v>
      </c>
      <c r="D1627" s="7">
        <v>115.025361</v>
      </c>
      <c r="E1627">
        <v>1</v>
      </c>
      <c r="F1627">
        <v>1</v>
      </c>
      <c r="G1627" s="2">
        <v>1.99953</v>
      </c>
      <c r="H1627" s="2">
        <v>3</v>
      </c>
      <c r="I1627">
        <v>1</v>
      </c>
      <c r="J1627">
        <v>0</v>
      </c>
      <c r="K1627" s="2">
        <v>2.1119080000000001</v>
      </c>
      <c r="L1627">
        <v>0</v>
      </c>
      <c r="M1627" s="7">
        <v>1.4530419999999999</v>
      </c>
      <c r="N1627" s="7">
        <v>0.84950300000000001</v>
      </c>
      <c r="O1627">
        <v>1</v>
      </c>
      <c r="P1627" t="s">
        <v>14</v>
      </c>
      <c r="Q1627">
        <v>5</v>
      </c>
      <c r="R1627" s="8">
        <f>(Tabela2[[#This Row],[FAF_atividade_fisica_frequente_em_horas]]+ 0.1)</f>
        <v>1.553042</v>
      </c>
      <c r="S1627" s="1">
        <f>(Tabela2[[#This Row],[TUE_tempo_uso_aparelhos_em_horas]]/Tabela2[[#This Row],[FAF_Var]])</f>
        <v>0.54699293386785419</v>
      </c>
      <c r="T1627">
        <f>(Tabela2[[#This Row],[CAEC_lanche_entre_refeicoes]]*Tabela2[[#This Row],[FAVC_consumo_frequente_de_alimentos_mt_caloricos]])</f>
        <v>1</v>
      </c>
      <c r="U1627" s="1">
        <f>IF(OR(Tabela2[[#This Row],[MTRANS]]="Walking",Tabela2[[#This Row],[MTRANS]]="Bike"),Tabela2[[#This Row],[FAF_atividade_fisica_frequente_em_horas]]+1,M1627)</f>
        <v>1.4530419999999999</v>
      </c>
      <c r="V1627">
        <f>(Tabela2[[#This Row],[SMOKE]]+Tabela2[[#This Row],[CALC_bebe_alcool_frequentemente]])</f>
        <v>1</v>
      </c>
      <c r="W1627" s="8">
        <f>(Tabela2[[#This Row],[Weight]]/(Tabela2[[#This Row],[Height]] ^2))</f>
        <v>36.020186582921163</v>
      </c>
    </row>
    <row r="1628" spans="1:23" x14ac:dyDescent="0.25">
      <c r="A1628" t="s">
        <v>15</v>
      </c>
      <c r="B1628" s="7">
        <v>25.314163000000001</v>
      </c>
      <c r="C1628" s="4">
        <v>1.7718370000000001</v>
      </c>
      <c r="D1628" s="7">
        <v>114.90609499999999</v>
      </c>
      <c r="E1628">
        <v>1</v>
      </c>
      <c r="F1628">
        <v>1</v>
      </c>
      <c r="G1628" s="2">
        <v>1.585183</v>
      </c>
      <c r="H1628" s="2">
        <v>3</v>
      </c>
      <c r="I1628">
        <v>1</v>
      </c>
      <c r="J1628">
        <v>0</v>
      </c>
      <c r="K1628" s="2">
        <v>2.1018409999999998</v>
      </c>
      <c r="L1628">
        <v>0</v>
      </c>
      <c r="M1628" s="7">
        <v>1.5439609999999999</v>
      </c>
      <c r="N1628" s="7">
        <v>7.2999999999999999E-5</v>
      </c>
      <c r="O1628">
        <v>1</v>
      </c>
      <c r="P1628" t="s">
        <v>14</v>
      </c>
      <c r="Q1628">
        <v>5</v>
      </c>
      <c r="R1628" s="8">
        <f>(Tabela2[[#This Row],[FAF_atividade_fisica_frequente_em_horas]]+ 0.1)</f>
        <v>1.643961</v>
      </c>
      <c r="S1628" s="1">
        <f>(Tabela2[[#This Row],[TUE_tempo_uso_aparelhos_em_horas]]/Tabela2[[#This Row],[FAF_Var]])</f>
        <v>4.4404946346050789E-5</v>
      </c>
      <c r="T1628">
        <f>(Tabela2[[#This Row],[CAEC_lanche_entre_refeicoes]]*Tabela2[[#This Row],[FAVC_consumo_frequente_de_alimentos_mt_caloricos]])</f>
        <v>1</v>
      </c>
      <c r="U1628" s="1">
        <f>IF(OR(Tabela2[[#This Row],[MTRANS]]="Walking",Tabela2[[#This Row],[MTRANS]]="Bike"),Tabela2[[#This Row],[FAF_atividade_fisica_frequente_em_horas]]+1,M1628)</f>
        <v>1.5439609999999999</v>
      </c>
      <c r="V1628">
        <f>(Tabela2[[#This Row],[SMOKE]]+Tabela2[[#This Row],[CALC_bebe_alcool_frequentemente]])</f>
        <v>1</v>
      </c>
      <c r="W1628" s="8">
        <f>(Tabela2[[#This Row],[Weight]]/(Tabela2[[#This Row],[Height]] ^2))</f>
        <v>36.601217562284987</v>
      </c>
    </row>
    <row r="1629" spans="1:23" x14ac:dyDescent="0.25">
      <c r="A1629" t="s">
        <v>15</v>
      </c>
      <c r="B1629" s="7">
        <v>40.366238000000003</v>
      </c>
      <c r="C1629" s="4">
        <v>1.722396</v>
      </c>
      <c r="D1629" s="7">
        <v>109.349025</v>
      </c>
      <c r="E1629">
        <v>1</v>
      </c>
      <c r="F1629">
        <v>1</v>
      </c>
      <c r="G1629" s="2">
        <v>2.2819630000000002</v>
      </c>
      <c r="H1629" s="2">
        <v>3.7703790000000001</v>
      </c>
      <c r="I1629">
        <v>1</v>
      </c>
      <c r="J1629">
        <v>0</v>
      </c>
      <c r="K1629" s="2">
        <v>1</v>
      </c>
      <c r="L1629">
        <v>0</v>
      </c>
      <c r="M1629" s="7">
        <v>1.330519</v>
      </c>
      <c r="N1629" s="7">
        <v>0</v>
      </c>
      <c r="O1629">
        <v>0</v>
      </c>
      <c r="P1629" t="s">
        <v>17</v>
      </c>
      <c r="Q1629">
        <v>5</v>
      </c>
      <c r="R1629" s="8">
        <f>(Tabela2[[#This Row],[FAF_atividade_fisica_frequente_em_horas]]+ 0.1)</f>
        <v>1.4305190000000001</v>
      </c>
      <c r="S1629" s="1">
        <f>(Tabela2[[#This Row],[TUE_tempo_uso_aparelhos_em_horas]]/Tabela2[[#This Row],[FAF_Var]])</f>
        <v>0</v>
      </c>
      <c r="T1629">
        <f>(Tabela2[[#This Row],[CAEC_lanche_entre_refeicoes]]*Tabela2[[#This Row],[FAVC_consumo_frequente_de_alimentos_mt_caloricos]])</f>
        <v>1</v>
      </c>
      <c r="U1629" s="1">
        <f>IF(OR(Tabela2[[#This Row],[MTRANS]]="Walking",Tabela2[[#This Row],[MTRANS]]="Bike"),Tabela2[[#This Row],[FAF_atividade_fisica_frequente_em_horas]]+1,M1629)</f>
        <v>1.330519</v>
      </c>
      <c r="V1629">
        <f>(Tabela2[[#This Row],[SMOKE]]+Tabela2[[#This Row],[CALC_bebe_alcool_frequentemente]])</f>
        <v>0</v>
      </c>
      <c r="W1629" s="8">
        <f>(Tabela2[[#This Row],[Weight]]/(Tabela2[[#This Row],[Height]] ^2))</f>
        <v>36.85945407311948</v>
      </c>
    </row>
    <row r="1630" spans="1:23" x14ac:dyDescent="0.25">
      <c r="A1630" t="s">
        <v>15</v>
      </c>
      <c r="B1630" s="7">
        <v>33.749594000000002</v>
      </c>
      <c r="C1630" s="4">
        <v>1.701387</v>
      </c>
      <c r="D1630" s="7">
        <v>107.025415</v>
      </c>
      <c r="E1630">
        <v>1</v>
      </c>
      <c r="F1630">
        <v>1</v>
      </c>
      <c r="G1630" s="2">
        <v>2.5616379999999999</v>
      </c>
      <c r="H1630" s="2">
        <v>2.8774700000000002</v>
      </c>
      <c r="I1630">
        <v>1</v>
      </c>
      <c r="J1630">
        <v>0</v>
      </c>
      <c r="K1630" s="2">
        <v>1</v>
      </c>
      <c r="L1630">
        <v>0</v>
      </c>
      <c r="M1630" s="7">
        <v>1.9804010000000001</v>
      </c>
      <c r="N1630" s="7">
        <v>0</v>
      </c>
      <c r="O1630">
        <v>0</v>
      </c>
      <c r="P1630" t="s">
        <v>17</v>
      </c>
      <c r="Q1630">
        <v>5</v>
      </c>
      <c r="R1630" s="8">
        <f>(Tabela2[[#This Row],[FAF_atividade_fisica_frequente_em_horas]]+ 0.1)</f>
        <v>2.0804010000000002</v>
      </c>
      <c r="S1630" s="1">
        <f>(Tabela2[[#This Row],[TUE_tempo_uso_aparelhos_em_horas]]/Tabela2[[#This Row],[FAF_Var]])</f>
        <v>0</v>
      </c>
      <c r="T1630">
        <f>(Tabela2[[#This Row],[CAEC_lanche_entre_refeicoes]]*Tabela2[[#This Row],[FAVC_consumo_frequente_de_alimentos_mt_caloricos]])</f>
        <v>1</v>
      </c>
      <c r="U1630" s="1">
        <f>IF(OR(Tabela2[[#This Row],[MTRANS]]="Walking",Tabela2[[#This Row],[MTRANS]]="Bike"),Tabela2[[#This Row],[FAF_atividade_fisica_frequente_em_horas]]+1,M1630)</f>
        <v>1.9804010000000001</v>
      </c>
      <c r="V1630">
        <f>(Tabela2[[#This Row],[SMOKE]]+Tabela2[[#This Row],[CALC_bebe_alcool_frequentemente]])</f>
        <v>0</v>
      </c>
      <c r="W1630" s="8">
        <f>(Tabela2[[#This Row],[Weight]]/(Tabela2[[#This Row],[Height]] ^2))</f>
        <v>36.972660277441506</v>
      </c>
    </row>
    <row r="1631" spans="1:23" x14ac:dyDescent="0.25">
      <c r="A1631" t="s">
        <v>15</v>
      </c>
      <c r="B1631" s="7">
        <v>32.867331</v>
      </c>
      <c r="C1631" s="4">
        <v>1.6974210000000001</v>
      </c>
      <c r="D1631" s="7">
        <v>103.017623</v>
      </c>
      <c r="E1631">
        <v>1</v>
      </c>
      <c r="F1631">
        <v>1</v>
      </c>
      <c r="G1631" s="2">
        <v>2.6002169999999998</v>
      </c>
      <c r="H1631" s="2">
        <v>2.1751529999999999</v>
      </c>
      <c r="I1631">
        <v>1</v>
      </c>
      <c r="J1631">
        <v>0</v>
      </c>
      <c r="K1631" s="2">
        <v>1</v>
      </c>
      <c r="L1631">
        <v>0</v>
      </c>
      <c r="M1631" s="7">
        <v>1.985536</v>
      </c>
      <c r="N1631" s="7">
        <v>0</v>
      </c>
      <c r="O1631">
        <v>0</v>
      </c>
      <c r="P1631" t="s">
        <v>14</v>
      </c>
      <c r="Q1631">
        <v>5</v>
      </c>
      <c r="R1631" s="8">
        <f>(Tabela2[[#This Row],[FAF_atividade_fisica_frequente_em_horas]]+ 0.1)</f>
        <v>2.0855359999999998</v>
      </c>
      <c r="S1631" s="1">
        <f>(Tabela2[[#This Row],[TUE_tempo_uso_aparelhos_em_horas]]/Tabela2[[#This Row],[FAF_Var]])</f>
        <v>0</v>
      </c>
      <c r="T1631">
        <f>(Tabela2[[#This Row],[CAEC_lanche_entre_refeicoes]]*Tabela2[[#This Row],[FAVC_consumo_frequente_de_alimentos_mt_caloricos]])</f>
        <v>1</v>
      </c>
      <c r="U1631" s="1">
        <f>IF(OR(Tabela2[[#This Row],[MTRANS]]="Walking",Tabela2[[#This Row],[MTRANS]]="Bike"),Tabela2[[#This Row],[FAF_atividade_fisica_frequente_em_horas]]+1,M1631)</f>
        <v>1.985536</v>
      </c>
      <c r="V1631">
        <f>(Tabela2[[#This Row],[SMOKE]]+Tabela2[[#This Row],[CALC_bebe_alcool_frequentemente]])</f>
        <v>0</v>
      </c>
      <c r="W1631" s="8">
        <f>(Tabela2[[#This Row],[Weight]]/(Tabela2[[#This Row],[Height]] ^2))</f>
        <v>35.754637821622723</v>
      </c>
    </row>
    <row r="1632" spans="1:23" x14ac:dyDescent="0.25">
      <c r="A1632" t="s">
        <v>15</v>
      </c>
      <c r="B1632" s="7">
        <v>30.403205</v>
      </c>
      <c r="C1632" s="4">
        <v>1.6963649999999999</v>
      </c>
      <c r="D1632" s="7">
        <v>102.815983</v>
      </c>
      <c r="E1632">
        <v>1</v>
      </c>
      <c r="F1632">
        <v>1</v>
      </c>
      <c r="G1632" s="2">
        <v>2.7916599999999998</v>
      </c>
      <c r="H1632" s="2">
        <v>2.1322899999999998</v>
      </c>
      <c r="I1632">
        <v>1</v>
      </c>
      <c r="J1632">
        <v>0</v>
      </c>
      <c r="K1632" s="2">
        <v>1.254589</v>
      </c>
      <c r="L1632">
        <v>0</v>
      </c>
      <c r="M1632" s="7">
        <v>0.65273599999999998</v>
      </c>
      <c r="N1632" s="7">
        <v>1.040713</v>
      </c>
      <c r="O1632">
        <v>0</v>
      </c>
      <c r="P1632" t="s">
        <v>14</v>
      </c>
      <c r="Q1632">
        <v>5</v>
      </c>
      <c r="R1632" s="8">
        <f>(Tabela2[[#This Row],[FAF_atividade_fisica_frequente_em_horas]]+ 0.1)</f>
        <v>0.75273599999999996</v>
      </c>
      <c r="S1632" s="1">
        <f>(Tabela2[[#This Row],[TUE_tempo_uso_aparelhos_em_horas]]/Tabela2[[#This Row],[FAF_Var]])</f>
        <v>1.3825737044594653</v>
      </c>
      <c r="T1632">
        <f>(Tabela2[[#This Row],[CAEC_lanche_entre_refeicoes]]*Tabela2[[#This Row],[FAVC_consumo_frequente_de_alimentos_mt_caloricos]])</f>
        <v>1</v>
      </c>
      <c r="U1632" s="1">
        <f>IF(OR(Tabela2[[#This Row],[MTRANS]]="Walking",Tabela2[[#This Row],[MTRANS]]="Bike"),Tabela2[[#This Row],[FAF_atividade_fisica_frequente_em_horas]]+1,M1632)</f>
        <v>0.65273599999999998</v>
      </c>
      <c r="V1632">
        <f>(Tabela2[[#This Row],[SMOKE]]+Tabela2[[#This Row],[CALC_bebe_alcool_frequentemente]])</f>
        <v>0</v>
      </c>
      <c r="W1632" s="8">
        <f>(Tabela2[[#This Row],[Weight]]/(Tabela2[[#This Row],[Height]] ^2))</f>
        <v>35.729095777902266</v>
      </c>
    </row>
    <row r="1633" spans="1:23" x14ac:dyDescent="0.25">
      <c r="A1633" t="s">
        <v>15</v>
      </c>
      <c r="B1633" s="7">
        <v>29.687487999999998</v>
      </c>
      <c r="C1633" s="4">
        <v>1.909198</v>
      </c>
      <c r="D1633" s="7">
        <v>129.67913100000001</v>
      </c>
      <c r="E1633">
        <v>1</v>
      </c>
      <c r="F1633">
        <v>1</v>
      </c>
      <c r="G1633" s="2">
        <v>2.0886800000000001</v>
      </c>
      <c r="H1633" s="2">
        <v>3</v>
      </c>
      <c r="I1633">
        <v>1</v>
      </c>
      <c r="J1633">
        <v>0</v>
      </c>
      <c r="K1633" s="2">
        <v>1.5202150000000001</v>
      </c>
      <c r="L1633">
        <v>0</v>
      </c>
      <c r="M1633" s="7">
        <v>1.857351</v>
      </c>
      <c r="N1633" s="7">
        <v>0</v>
      </c>
      <c r="O1633">
        <v>1</v>
      </c>
      <c r="P1633" t="s">
        <v>14</v>
      </c>
      <c r="Q1633">
        <v>5</v>
      </c>
      <c r="R1633" s="8">
        <f>(Tabela2[[#This Row],[FAF_atividade_fisica_frequente_em_horas]]+ 0.1)</f>
        <v>1.9573510000000001</v>
      </c>
      <c r="S1633" s="1">
        <f>(Tabela2[[#This Row],[TUE_tempo_uso_aparelhos_em_horas]]/Tabela2[[#This Row],[FAF_Var]])</f>
        <v>0</v>
      </c>
      <c r="T1633">
        <f>(Tabela2[[#This Row],[CAEC_lanche_entre_refeicoes]]*Tabela2[[#This Row],[FAVC_consumo_frequente_de_alimentos_mt_caloricos]])</f>
        <v>1</v>
      </c>
      <c r="U1633" s="1">
        <f>IF(OR(Tabela2[[#This Row],[MTRANS]]="Walking",Tabela2[[#This Row],[MTRANS]]="Bike"),Tabela2[[#This Row],[FAF_atividade_fisica_frequente_em_horas]]+1,M1633)</f>
        <v>1.857351</v>
      </c>
      <c r="V1633">
        <f>(Tabela2[[#This Row],[SMOKE]]+Tabela2[[#This Row],[CALC_bebe_alcool_frequentemente]])</f>
        <v>1</v>
      </c>
      <c r="W1633" s="8">
        <f>(Tabela2[[#This Row],[Weight]]/(Tabela2[[#This Row],[Height]] ^2))</f>
        <v>35.576903852007987</v>
      </c>
    </row>
    <row r="1634" spans="1:23" x14ac:dyDescent="0.25">
      <c r="A1634" t="s">
        <v>15</v>
      </c>
      <c r="B1634" s="7">
        <v>28.992809000000001</v>
      </c>
      <c r="C1634" s="4">
        <v>1.9091050000000001</v>
      </c>
      <c r="D1634" s="7">
        <v>129.874864</v>
      </c>
      <c r="E1634">
        <v>1</v>
      </c>
      <c r="F1634">
        <v>1</v>
      </c>
      <c r="G1634" s="2">
        <v>2.2061190000000002</v>
      </c>
      <c r="H1634" s="2">
        <v>3</v>
      </c>
      <c r="I1634">
        <v>1</v>
      </c>
      <c r="J1634">
        <v>0</v>
      </c>
      <c r="K1634" s="2">
        <v>1.4838560000000001</v>
      </c>
      <c r="L1634">
        <v>0</v>
      </c>
      <c r="M1634" s="7">
        <v>1.1131690000000001</v>
      </c>
      <c r="N1634" s="7">
        <v>0</v>
      </c>
      <c r="O1634">
        <v>1</v>
      </c>
      <c r="P1634" t="s">
        <v>14</v>
      </c>
      <c r="Q1634">
        <v>5</v>
      </c>
      <c r="R1634" s="8">
        <f>(Tabela2[[#This Row],[FAF_atividade_fisica_frequente_em_horas]]+ 0.1)</f>
        <v>1.2131690000000002</v>
      </c>
      <c r="S1634" s="1">
        <f>(Tabela2[[#This Row],[TUE_tempo_uso_aparelhos_em_horas]]/Tabela2[[#This Row],[FAF_Var]])</f>
        <v>0</v>
      </c>
      <c r="T1634">
        <f>(Tabela2[[#This Row],[CAEC_lanche_entre_refeicoes]]*Tabela2[[#This Row],[FAVC_consumo_frequente_de_alimentos_mt_caloricos]])</f>
        <v>1</v>
      </c>
      <c r="U1634" s="1">
        <f>IF(OR(Tabela2[[#This Row],[MTRANS]]="Walking",Tabela2[[#This Row],[MTRANS]]="Bike"),Tabela2[[#This Row],[FAF_atividade_fisica_frequente_em_horas]]+1,M1634)</f>
        <v>1.1131690000000001</v>
      </c>
      <c r="V1634">
        <f>(Tabela2[[#This Row],[SMOKE]]+Tabela2[[#This Row],[CALC_bebe_alcool_frequentemente]])</f>
        <v>1</v>
      </c>
      <c r="W1634" s="8">
        <f>(Tabela2[[#This Row],[Weight]]/(Tabela2[[#This Row],[Height]] ^2))</f>
        <v>35.634073844270212</v>
      </c>
    </row>
    <row r="1635" spans="1:23" x14ac:dyDescent="0.25">
      <c r="A1635" t="s">
        <v>15</v>
      </c>
      <c r="B1635" s="7">
        <v>30.475248000000001</v>
      </c>
      <c r="C1635" s="4">
        <v>1.8013680000000001</v>
      </c>
      <c r="D1635" s="7">
        <v>121.094257</v>
      </c>
      <c r="E1635">
        <v>1</v>
      </c>
      <c r="F1635">
        <v>1</v>
      </c>
      <c r="G1635" s="2">
        <v>2.3284690000000001</v>
      </c>
      <c r="H1635" s="2">
        <v>3</v>
      </c>
      <c r="I1635">
        <v>1</v>
      </c>
      <c r="J1635">
        <v>0</v>
      </c>
      <c r="K1635" s="2">
        <v>2.0012080000000001</v>
      </c>
      <c r="L1635">
        <v>0</v>
      </c>
      <c r="M1635" s="7">
        <v>0.80048699999999995</v>
      </c>
      <c r="N1635" s="7">
        <v>0.176678</v>
      </c>
      <c r="O1635">
        <v>1</v>
      </c>
      <c r="P1635" t="s">
        <v>17</v>
      </c>
      <c r="Q1635">
        <v>5</v>
      </c>
      <c r="R1635" s="8">
        <f>(Tabela2[[#This Row],[FAF_atividade_fisica_frequente_em_horas]]+ 0.1)</f>
        <v>0.90048699999999993</v>
      </c>
      <c r="S1635" s="1">
        <f>(Tabela2[[#This Row],[TUE_tempo_uso_aparelhos_em_horas]]/Tabela2[[#This Row],[FAF_Var]])</f>
        <v>0.1962027214163003</v>
      </c>
      <c r="T1635">
        <f>(Tabela2[[#This Row],[CAEC_lanche_entre_refeicoes]]*Tabela2[[#This Row],[FAVC_consumo_frequente_de_alimentos_mt_caloricos]])</f>
        <v>1</v>
      </c>
      <c r="U1635" s="1">
        <f>IF(OR(Tabela2[[#This Row],[MTRANS]]="Walking",Tabela2[[#This Row],[MTRANS]]="Bike"),Tabela2[[#This Row],[FAF_atividade_fisica_frequente_em_horas]]+1,M1635)</f>
        <v>0.80048699999999995</v>
      </c>
      <c r="V1635">
        <f>(Tabela2[[#This Row],[SMOKE]]+Tabela2[[#This Row],[CALC_bebe_alcool_frequentemente]])</f>
        <v>1</v>
      </c>
      <c r="W1635" s="8">
        <f>(Tabela2[[#This Row],[Weight]]/(Tabela2[[#This Row],[Height]] ^2))</f>
        <v>37.318025725018657</v>
      </c>
    </row>
    <row r="1636" spans="1:23" x14ac:dyDescent="0.25">
      <c r="A1636" t="s">
        <v>15</v>
      </c>
      <c r="B1636" s="7">
        <v>30.350515999999999</v>
      </c>
      <c r="C1636" s="4">
        <v>1.8602920000000001</v>
      </c>
      <c r="D1636" s="7">
        <v>123.721352</v>
      </c>
      <c r="E1636">
        <v>1</v>
      </c>
      <c r="F1636">
        <v>1</v>
      </c>
      <c r="G1636" s="2">
        <v>2.0027840000000001</v>
      </c>
      <c r="H1636" s="2">
        <v>3</v>
      </c>
      <c r="I1636">
        <v>1</v>
      </c>
      <c r="J1636">
        <v>0</v>
      </c>
      <c r="K1636" s="2">
        <v>2.2929059999999999</v>
      </c>
      <c r="L1636">
        <v>0</v>
      </c>
      <c r="M1636" s="7">
        <v>1.0340309999999999</v>
      </c>
      <c r="N1636" s="7">
        <v>0</v>
      </c>
      <c r="O1636">
        <v>1</v>
      </c>
      <c r="P1636" t="s">
        <v>17</v>
      </c>
      <c r="Q1636">
        <v>5</v>
      </c>
      <c r="R1636" s="8">
        <f>(Tabela2[[#This Row],[FAF_atividade_fisica_frequente_em_horas]]+ 0.1)</f>
        <v>1.134031</v>
      </c>
      <c r="S1636" s="1">
        <f>(Tabela2[[#This Row],[TUE_tempo_uso_aparelhos_em_horas]]/Tabela2[[#This Row],[FAF_Var]])</f>
        <v>0</v>
      </c>
      <c r="T1636">
        <f>(Tabela2[[#This Row],[CAEC_lanche_entre_refeicoes]]*Tabela2[[#This Row],[FAVC_consumo_frequente_de_alimentos_mt_caloricos]])</f>
        <v>1</v>
      </c>
      <c r="U1636" s="1">
        <f>IF(OR(Tabela2[[#This Row],[MTRANS]]="Walking",Tabela2[[#This Row],[MTRANS]]="Bike"),Tabela2[[#This Row],[FAF_atividade_fisica_frequente_em_horas]]+1,M1636)</f>
        <v>1.0340309999999999</v>
      </c>
      <c r="V1636">
        <f>(Tabela2[[#This Row],[SMOKE]]+Tabela2[[#This Row],[CALC_bebe_alcool_frequentemente]])</f>
        <v>1</v>
      </c>
      <c r="W1636" s="8">
        <f>(Tabela2[[#This Row],[Weight]]/(Tabela2[[#This Row],[Height]] ^2))</f>
        <v>35.750524714360481</v>
      </c>
    </row>
    <row r="1637" spans="1:23" x14ac:dyDescent="0.25">
      <c r="A1637" t="s">
        <v>15</v>
      </c>
      <c r="B1637" s="7">
        <v>26.684353999999999</v>
      </c>
      <c r="C1637" s="4">
        <v>1.8195349999999999</v>
      </c>
      <c r="D1637" s="7">
        <v>118.332689</v>
      </c>
      <c r="E1637">
        <v>1</v>
      </c>
      <c r="F1637">
        <v>1</v>
      </c>
      <c r="G1637" s="2">
        <v>1.9756750000000001</v>
      </c>
      <c r="H1637" s="2">
        <v>3</v>
      </c>
      <c r="I1637">
        <v>1</v>
      </c>
      <c r="J1637">
        <v>0</v>
      </c>
      <c r="K1637" s="2">
        <v>2.3579690000000002</v>
      </c>
      <c r="L1637">
        <v>0</v>
      </c>
      <c r="M1637" s="7">
        <v>0.70423599999999997</v>
      </c>
      <c r="N1637" s="7">
        <v>1.0721E-2</v>
      </c>
      <c r="O1637">
        <v>1</v>
      </c>
      <c r="P1637" t="s">
        <v>14</v>
      </c>
      <c r="Q1637">
        <v>5</v>
      </c>
      <c r="R1637" s="8">
        <f>(Tabela2[[#This Row],[FAF_atividade_fisica_frequente_em_horas]]+ 0.1)</f>
        <v>0.80423599999999995</v>
      </c>
      <c r="S1637" s="1">
        <f>(Tabela2[[#This Row],[TUE_tempo_uso_aparelhos_em_horas]]/Tabela2[[#This Row],[FAF_Var]])</f>
        <v>1.3330664133413576E-2</v>
      </c>
      <c r="T1637">
        <f>(Tabela2[[#This Row],[CAEC_lanche_entre_refeicoes]]*Tabela2[[#This Row],[FAVC_consumo_frequente_de_alimentos_mt_caloricos]])</f>
        <v>1</v>
      </c>
      <c r="U1637" s="1">
        <f>IF(OR(Tabela2[[#This Row],[MTRANS]]="Walking",Tabela2[[#This Row],[MTRANS]]="Bike"),Tabela2[[#This Row],[FAF_atividade_fisica_frequente_em_horas]]+1,M1637)</f>
        <v>0.70423599999999997</v>
      </c>
      <c r="V1637">
        <f>(Tabela2[[#This Row],[SMOKE]]+Tabela2[[#This Row],[CALC_bebe_alcool_frequentemente]])</f>
        <v>1</v>
      </c>
      <c r="W1637" s="8">
        <f>(Tabela2[[#This Row],[Weight]]/(Tabela2[[#This Row],[Height]] ^2))</f>
        <v>35.742416038214706</v>
      </c>
    </row>
    <row r="1638" spans="1:23" x14ac:dyDescent="0.25">
      <c r="A1638" t="s">
        <v>15</v>
      </c>
      <c r="B1638" s="7">
        <v>26.607478</v>
      </c>
      <c r="C1638" s="4">
        <v>1.793174</v>
      </c>
      <c r="D1638" s="7">
        <v>118.165082</v>
      </c>
      <c r="E1638">
        <v>1</v>
      </c>
      <c r="F1638">
        <v>1</v>
      </c>
      <c r="G1638" s="2">
        <v>2.0020760000000002</v>
      </c>
      <c r="H1638" s="2">
        <v>3</v>
      </c>
      <c r="I1638">
        <v>1</v>
      </c>
      <c r="J1638">
        <v>0</v>
      </c>
      <c r="K1638" s="2">
        <v>2.3383729999999998</v>
      </c>
      <c r="L1638">
        <v>0</v>
      </c>
      <c r="M1638" s="7">
        <v>0.89756199999999997</v>
      </c>
      <c r="N1638" s="7">
        <v>8.1156000000000006E-2</v>
      </c>
      <c r="O1638">
        <v>1</v>
      </c>
      <c r="P1638" t="s">
        <v>14</v>
      </c>
      <c r="Q1638">
        <v>5</v>
      </c>
      <c r="R1638" s="8">
        <f>(Tabela2[[#This Row],[FAF_atividade_fisica_frequente_em_horas]]+ 0.1)</f>
        <v>0.99756199999999995</v>
      </c>
      <c r="S1638" s="1">
        <f>(Tabela2[[#This Row],[TUE_tempo_uso_aparelhos_em_horas]]/Tabela2[[#This Row],[FAF_Var]])</f>
        <v>8.1354341885516906E-2</v>
      </c>
      <c r="T1638">
        <f>(Tabela2[[#This Row],[CAEC_lanche_entre_refeicoes]]*Tabela2[[#This Row],[FAVC_consumo_frequente_de_alimentos_mt_caloricos]])</f>
        <v>1</v>
      </c>
      <c r="U1638" s="1">
        <f>IF(OR(Tabela2[[#This Row],[MTRANS]]="Walking",Tabela2[[#This Row],[MTRANS]]="Bike"),Tabela2[[#This Row],[FAF_atividade_fisica_frequente_em_horas]]+1,M1638)</f>
        <v>0.89756199999999997</v>
      </c>
      <c r="V1638">
        <f>(Tabela2[[#This Row],[SMOKE]]+Tabela2[[#This Row],[CALC_bebe_alcool_frequentemente]])</f>
        <v>1</v>
      </c>
      <c r="W1638" s="8">
        <f>(Tabela2[[#This Row],[Weight]]/(Tabela2[[#This Row],[Height]] ^2))</f>
        <v>36.748895795533244</v>
      </c>
    </row>
    <row r="1639" spans="1:23" x14ac:dyDescent="0.25">
      <c r="A1639" t="s">
        <v>15</v>
      </c>
      <c r="B1639" s="7">
        <v>33.174146999999998</v>
      </c>
      <c r="C1639" s="4">
        <v>1.7501500000000001</v>
      </c>
      <c r="D1639" s="7">
        <v>118.29958499999999</v>
      </c>
      <c r="E1639">
        <v>1</v>
      </c>
      <c r="F1639">
        <v>1</v>
      </c>
      <c r="G1639" s="2">
        <v>2.2185990000000002</v>
      </c>
      <c r="H1639" s="2">
        <v>3</v>
      </c>
      <c r="I1639">
        <v>1</v>
      </c>
      <c r="J1639">
        <v>0</v>
      </c>
      <c r="K1639" s="2">
        <v>2.1043370000000001</v>
      </c>
      <c r="L1639">
        <v>0</v>
      </c>
      <c r="M1639" s="7">
        <v>0.76600699999999999</v>
      </c>
      <c r="N1639" s="7">
        <v>0.26211800000000002</v>
      </c>
      <c r="O1639">
        <v>1</v>
      </c>
      <c r="P1639" t="s">
        <v>17</v>
      </c>
      <c r="Q1639">
        <v>5</v>
      </c>
      <c r="R1639" s="8">
        <f>(Tabela2[[#This Row],[FAF_atividade_fisica_frequente_em_horas]]+ 0.1)</f>
        <v>0.86600699999999997</v>
      </c>
      <c r="S1639" s="1">
        <f>(Tabela2[[#This Row],[TUE_tempo_uso_aparelhos_em_horas]]/Tabela2[[#This Row],[FAF_Var]])</f>
        <v>0.30267422780647274</v>
      </c>
      <c r="T1639">
        <f>(Tabela2[[#This Row],[CAEC_lanche_entre_refeicoes]]*Tabela2[[#This Row],[FAVC_consumo_frequente_de_alimentos_mt_caloricos]])</f>
        <v>1</v>
      </c>
      <c r="U1639" s="1">
        <f>IF(OR(Tabela2[[#This Row],[MTRANS]]="Walking",Tabela2[[#This Row],[MTRANS]]="Bike"),Tabela2[[#This Row],[FAF_atividade_fisica_frequente_em_horas]]+1,M1639)</f>
        <v>0.76600699999999999</v>
      </c>
      <c r="V1639">
        <f>(Tabela2[[#This Row],[SMOKE]]+Tabela2[[#This Row],[CALC_bebe_alcool_frequentemente]])</f>
        <v>1</v>
      </c>
      <c r="W1639" s="8">
        <f>(Tabela2[[#This Row],[Weight]]/(Tabela2[[#This Row],[Height]] ^2))</f>
        <v>38.621814752086301</v>
      </c>
    </row>
    <row r="1640" spans="1:23" x14ac:dyDescent="0.25">
      <c r="A1640" t="s">
        <v>15</v>
      </c>
      <c r="B1640" s="7">
        <v>32.29016</v>
      </c>
      <c r="C1640" s="4">
        <v>1.754956</v>
      </c>
      <c r="D1640" s="7">
        <v>120.098812</v>
      </c>
      <c r="E1640">
        <v>1</v>
      </c>
      <c r="F1640">
        <v>1</v>
      </c>
      <c r="G1640" s="2">
        <v>2.9672999999999998</v>
      </c>
      <c r="H1640" s="2">
        <v>3</v>
      </c>
      <c r="I1640">
        <v>1</v>
      </c>
      <c r="J1640">
        <v>0</v>
      </c>
      <c r="K1640" s="2">
        <v>2.5300349999999998</v>
      </c>
      <c r="L1640">
        <v>0</v>
      </c>
      <c r="M1640" s="7">
        <v>0.95531699999999997</v>
      </c>
      <c r="N1640" s="7">
        <v>1.339232</v>
      </c>
      <c r="O1640">
        <v>1</v>
      </c>
      <c r="P1640" t="s">
        <v>17</v>
      </c>
      <c r="Q1640">
        <v>5</v>
      </c>
      <c r="R1640" s="8">
        <f>(Tabela2[[#This Row],[FAF_atividade_fisica_frequente_em_horas]]+ 0.1)</f>
        <v>1.0553170000000001</v>
      </c>
      <c r="S1640" s="1">
        <f>(Tabela2[[#This Row],[TUE_tempo_uso_aparelhos_em_horas]]/Tabela2[[#This Row],[FAF_Var]])</f>
        <v>1.2690329067000721</v>
      </c>
      <c r="T1640">
        <f>(Tabela2[[#This Row],[CAEC_lanche_entre_refeicoes]]*Tabela2[[#This Row],[FAVC_consumo_frequente_de_alimentos_mt_caloricos]])</f>
        <v>1</v>
      </c>
      <c r="U1640" s="1">
        <f>IF(OR(Tabela2[[#This Row],[MTRANS]]="Walking",Tabela2[[#This Row],[MTRANS]]="Bike"),Tabela2[[#This Row],[FAF_atividade_fisica_frequente_em_horas]]+1,M1640)</f>
        <v>0.95531699999999997</v>
      </c>
      <c r="V1640">
        <f>(Tabela2[[#This Row],[SMOKE]]+Tabela2[[#This Row],[CALC_bebe_alcool_frequentemente]])</f>
        <v>1</v>
      </c>
      <c r="W1640" s="8">
        <f>(Tabela2[[#This Row],[Weight]]/(Tabela2[[#This Row],[Height]] ^2))</f>
        <v>38.994759547461676</v>
      </c>
    </row>
    <row r="1641" spans="1:23" x14ac:dyDescent="0.25">
      <c r="A1641" t="s">
        <v>15</v>
      </c>
      <c r="B1641" s="7">
        <v>26.050108999999999</v>
      </c>
      <c r="C1641" s="4">
        <v>1.773115</v>
      </c>
      <c r="D1641" s="7">
        <v>115.089316</v>
      </c>
      <c r="E1641">
        <v>1</v>
      </c>
      <c r="F1641">
        <v>1</v>
      </c>
      <c r="G1641" s="2">
        <v>2.3921790000000001</v>
      </c>
      <c r="H1641" s="2">
        <v>3</v>
      </c>
      <c r="I1641">
        <v>1</v>
      </c>
      <c r="J1641">
        <v>0</v>
      </c>
      <c r="K1641" s="2">
        <v>2.1646700000000001</v>
      </c>
      <c r="L1641">
        <v>0</v>
      </c>
      <c r="M1641" s="7">
        <v>1.0799339999999999</v>
      </c>
      <c r="N1641" s="7">
        <v>1.073026</v>
      </c>
      <c r="O1641">
        <v>1</v>
      </c>
      <c r="P1641" t="s">
        <v>14</v>
      </c>
      <c r="Q1641">
        <v>5</v>
      </c>
      <c r="R1641" s="8">
        <f>(Tabela2[[#This Row],[FAF_atividade_fisica_frequente_em_horas]]+ 0.1)</f>
        <v>1.179934</v>
      </c>
      <c r="S1641" s="1">
        <f>(Tabela2[[#This Row],[TUE_tempo_uso_aparelhos_em_horas]]/Tabela2[[#This Row],[FAF_Var]])</f>
        <v>0.90939493225892298</v>
      </c>
      <c r="T1641">
        <f>(Tabela2[[#This Row],[CAEC_lanche_entre_refeicoes]]*Tabela2[[#This Row],[FAVC_consumo_frequente_de_alimentos_mt_caloricos]])</f>
        <v>1</v>
      </c>
      <c r="U1641" s="1">
        <f>IF(OR(Tabela2[[#This Row],[MTRANS]]="Walking",Tabela2[[#This Row],[MTRANS]]="Bike"),Tabela2[[#This Row],[FAF_atividade_fisica_frequente_em_horas]]+1,M1641)</f>
        <v>1.0799339999999999</v>
      </c>
      <c r="V1641">
        <f>(Tabela2[[#This Row],[SMOKE]]+Tabela2[[#This Row],[CALC_bebe_alcool_frequentemente]])</f>
        <v>1</v>
      </c>
      <c r="W1641" s="8">
        <f>(Tabela2[[#This Row],[Weight]]/(Tabela2[[#This Row],[Height]] ^2))</f>
        <v>36.606752362815698</v>
      </c>
    </row>
    <row r="1642" spans="1:23" x14ac:dyDescent="0.25">
      <c r="A1642" t="s">
        <v>15</v>
      </c>
      <c r="B1642" s="7">
        <v>25.846278999999999</v>
      </c>
      <c r="C1642" s="4">
        <v>1.7727310000000001</v>
      </c>
      <c r="D1642" s="7">
        <v>115.82816699999999</v>
      </c>
      <c r="E1642">
        <v>1</v>
      </c>
      <c r="F1642">
        <v>1</v>
      </c>
      <c r="G1642" s="2">
        <v>2.3811640000000001</v>
      </c>
      <c r="H1642" s="2">
        <v>3</v>
      </c>
      <c r="I1642">
        <v>1</v>
      </c>
      <c r="J1642">
        <v>0</v>
      </c>
      <c r="K1642" s="2">
        <v>2.1702249999999998</v>
      </c>
      <c r="L1642">
        <v>0</v>
      </c>
      <c r="M1642" s="7">
        <v>1.2110479999999999</v>
      </c>
      <c r="N1642" s="7">
        <v>1.89933</v>
      </c>
      <c r="O1642">
        <v>1</v>
      </c>
      <c r="P1642" t="s">
        <v>14</v>
      </c>
      <c r="Q1642">
        <v>5</v>
      </c>
      <c r="R1642" s="8">
        <f>(Tabela2[[#This Row],[FAF_atividade_fisica_frequente_em_horas]]+ 0.1)</f>
        <v>1.311048</v>
      </c>
      <c r="S1642" s="1">
        <f>(Tabela2[[#This Row],[TUE_tempo_uso_aparelhos_em_horas]]/Tabela2[[#This Row],[FAF_Var]])</f>
        <v>1.4487112599996339</v>
      </c>
      <c r="T1642">
        <f>(Tabela2[[#This Row],[CAEC_lanche_entre_refeicoes]]*Tabela2[[#This Row],[FAVC_consumo_frequente_de_alimentos_mt_caloricos]])</f>
        <v>1</v>
      </c>
      <c r="U1642" s="1">
        <f>IF(OR(Tabela2[[#This Row],[MTRANS]]="Walking",Tabela2[[#This Row],[MTRANS]]="Bike"),Tabela2[[#This Row],[FAF_atividade_fisica_frequente_em_horas]]+1,M1642)</f>
        <v>1.2110479999999999</v>
      </c>
      <c r="V1642">
        <f>(Tabela2[[#This Row],[SMOKE]]+Tabela2[[#This Row],[CALC_bebe_alcool_frequentemente]])</f>
        <v>1</v>
      </c>
      <c r="W1642" s="8">
        <f>(Tabela2[[#This Row],[Weight]]/(Tabela2[[#This Row],[Height]] ^2))</f>
        <v>36.857723264795631</v>
      </c>
    </row>
    <row r="1643" spans="1:23" x14ac:dyDescent="0.25">
      <c r="A1643" t="s">
        <v>15</v>
      </c>
      <c r="B1643" s="7">
        <v>29.620094999999999</v>
      </c>
      <c r="C1643" s="4">
        <v>1.787933</v>
      </c>
      <c r="D1643" s="7">
        <v>112.536367</v>
      </c>
      <c r="E1643">
        <v>1</v>
      </c>
      <c r="F1643">
        <v>1</v>
      </c>
      <c r="G1643" s="2">
        <v>2.0082450000000001</v>
      </c>
      <c r="H1643" s="2">
        <v>3</v>
      </c>
      <c r="I1643">
        <v>1</v>
      </c>
      <c r="J1643">
        <v>0</v>
      </c>
      <c r="K1643" s="2">
        <v>2.0401370000000001</v>
      </c>
      <c r="L1643">
        <v>0</v>
      </c>
      <c r="M1643" s="7">
        <v>0</v>
      </c>
      <c r="N1643" s="7">
        <v>0.47421600000000003</v>
      </c>
      <c r="O1643">
        <v>1</v>
      </c>
      <c r="P1643" t="s">
        <v>17</v>
      </c>
      <c r="Q1643">
        <v>5</v>
      </c>
      <c r="R1643" s="8">
        <f>(Tabela2[[#This Row],[FAF_atividade_fisica_frequente_em_horas]]+ 0.1)</f>
        <v>0.1</v>
      </c>
      <c r="S1643" s="1">
        <f>(Tabela2[[#This Row],[TUE_tempo_uso_aparelhos_em_horas]]/Tabela2[[#This Row],[FAF_Var]])</f>
        <v>4.7421600000000002</v>
      </c>
      <c r="T1643">
        <f>(Tabela2[[#This Row],[CAEC_lanche_entre_refeicoes]]*Tabela2[[#This Row],[FAVC_consumo_frequente_de_alimentos_mt_caloricos]])</f>
        <v>1</v>
      </c>
      <c r="U1643" s="1">
        <f>IF(OR(Tabela2[[#This Row],[MTRANS]]="Walking",Tabela2[[#This Row],[MTRANS]]="Bike"),Tabela2[[#This Row],[FAF_atividade_fisica_frequente_em_horas]]+1,M1643)</f>
        <v>0</v>
      </c>
      <c r="V1643">
        <f>(Tabela2[[#This Row],[SMOKE]]+Tabela2[[#This Row],[CALC_bebe_alcool_frequentemente]])</f>
        <v>1</v>
      </c>
      <c r="W1643" s="8">
        <f>(Tabela2[[#This Row],[Weight]]/(Tabela2[[#This Row],[Height]] ^2))</f>
        <v>35.203870135862068</v>
      </c>
    </row>
    <row r="1644" spans="1:23" x14ac:dyDescent="0.25">
      <c r="A1644" t="s">
        <v>15</v>
      </c>
      <c r="B1644" s="7">
        <v>27.439056000000001</v>
      </c>
      <c r="C1644" s="4">
        <v>1.785277</v>
      </c>
      <c r="D1644" s="7">
        <v>112.740797</v>
      </c>
      <c r="E1644">
        <v>1</v>
      </c>
      <c r="F1644">
        <v>1</v>
      </c>
      <c r="G1644" s="2">
        <v>2.1551819999999999</v>
      </c>
      <c r="H1644" s="2">
        <v>3</v>
      </c>
      <c r="I1644">
        <v>1</v>
      </c>
      <c r="J1644">
        <v>0</v>
      </c>
      <c r="K1644" s="2">
        <v>2.0490789999999999</v>
      </c>
      <c r="L1644">
        <v>0</v>
      </c>
      <c r="M1644" s="7">
        <v>0</v>
      </c>
      <c r="N1644" s="7">
        <v>1.7499199999999999</v>
      </c>
      <c r="O1644">
        <v>1</v>
      </c>
      <c r="P1644" t="s">
        <v>17</v>
      </c>
      <c r="Q1644">
        <v>5</v>
      </c>
      <c r="R1644" s="8">
        <f>(Tabela2[[#This Row],[FAF_atividade_fisica_frequente_em_horas]]+ 0.1)</f>
        <v>0.1</v>
      </c>
      <c r="S1644" s="1">
        <f>(Tabela2[[#This Row],[TUE_tempo_uso_aparelhos_em_horas]]/Tabela2[[#This Row],[FAF_Var]])</f>
        <v>17.499199999999998</v>
      </c>
      <c r="T1644">
        <f>(Tabela2[[#This Row],[CAEC_lanche_entre_refeicoes]]*Tabela2[[#This Row],[FAVC_consumo_frequente_de_alimentos_mt_caloricos]])</f>
        <v>1</v>
      </c>
      <c r="U1644" s="1">
        <f>IF(OR(Tabela2[[#This Row],[MTRANS]]="Walking",Tabela2[[#This Row],[MTRANS]]="Bike"),Tabela2[[#This Row],[FAF_atividade_fisica_frequente_em_horas]]+1,M1644)</f>
        <v>0</v>
      </c>
      <c r="V1644">
        <f>(Tabela2[[#This Row],[SMOKE]]+Tabela2[[#This Row],[CALC_bebe_alcool_frequentemente]])</f>
        <v>1</v>
      </c>
      <c r="W1644" s="8">
        <f>(Tabela2[[#This Row],[Weight]]/(Tabela2[[#This Row],[Height]] ^2))</f>
        <v>35.372836018193205</v>
      </c>
    </row>
    <row r="1645" spans="1:23" x14ac:dyDescent="0.25">
      <c r="A1645" t="s">
        <v>15</v>
      </c>
      <c r="B1645" s="7">
        <v>28.493397000000002</v>
      </c>
      <c r="C1645" s="4">
        <v>1.817572</v>
      </c>
      <c r="D1645" s="7">
        <v>120.8158</v>
      </c>
      <c r="E1645">
        <v>1</v>
      </c>
      <c r="F1645">
        <v>1</v>
      </c>
      <c r="G1645" s="2">
        <v>2.969233</v>
      </c>
      <c r="H1645" s="2">
        <v>3</v>
      </c>
      <c r="I1645">
        <v>1</v>
      </c>
      <c r="J1645">
        <v>0</v>
      </c>
      <c r="K1645" s="2">
        <v>2.8079839999999998</v>
      </c>
      <c r="L1645">
        <v>0</v>
      </c>
      <c r="M1645" s="7">
        <v>0.98213399999999995</v>
      </c>
      <c r="N1645" s="7">
        <v>1.1919979999999999</v>
      </c>
      <c r="O1645">
        <v>1</v>
      </c>
      <c r="P1645" t="s">
        <v>14</v>
      </c>
      <c r="Q1645">
        <v>5</v>
      </c>
      <c r="R1645" s="8">
        <f>(Tabela2[[#This Row],[FAF_atividade_fisica_frequente_em_horas]]+ 0.1)</f>
        <v>1.0821339999999999</v>
      </c>
      <c r="S1645" s="1">
        <f>(Tabela2[[#This Row],[TUE_tempo_uso_aparelhos_em_horas]]/Tabela2[[#This Row],[FAF_Var]])</f>
        <v>1.1015253194151555</v>
      </c>
      <c r="T1645">
        <f>(Tabela2[[#This Row],[CAEC_lanche_entre_refeicoes]]*Tabela2[[#This Row],[FAVC_consumo_frequente_de_alimentos_mt_caloricos]])</f>
        <v>1</v>
      </c>
      <c r="U1645" s="1">
        <f>IF(OR(Tabela2[[#This Row],[MTRANS]]="Walking",Tabela2[[#This Row],[MTRANS]]="Bike"),Tabela2[[#This Row],[FAF_atividade_fisica_frequente_em_horas]]+1,M1645)</f>
        <v>0.98213399999999995</v>
      </c>
      <c r="V1645">
        <f>(Tabela2[[#This Row],[SMOKE]]+Tabela2[[#This Row],[CALC_bebe_alcool_frequentemente]])</f>
        <v>1</v>
      </c>
      <c r="W1645" s="8">
        <f>(Tabela2[[#This Row],[Weight]]/(Tabela2[[#This Row],[Height]] ^2))</f>
        <v>36.571307418994728</v>
      </c>
    </row>
    <row r="1646" spans="1:23" x14ac:dyDescent="0.25">
      <c r="A1646" t="s">
        <v>15</v>
      </c>
      <c r="B1646" s="7">
        <v>27.474245</v>
      </c>
      <c r="C1646" s="4">
        <v>1.8434200000000001</v>
      </c>
      <c r="D1646" s="7">
        <v>120.420406</v>
      </c>
      <c r="E1646">
        <v>1</v>
      </c>
      <c r="F1646">
        <v>1</v>
      </c>
      <c r="G1646" s="2">
        <v>2.765063</v>
      </c>
      <c r="H1646" s="2">
        <v>3</v>
      </c>
      <c r="I1646">
        <v>1</v>
      </c>
      <c r="J1646">
        <v>0</v>
      </c>
      <c r="K1646" s="2">
        <v>2.8672059999999999</v>
      </c>
      <c r="L1646">
        <v>0</v>
      </c>
      <c r="M1646" s="7">
        <v>0.70677699999999999</v>
      </c>
      <c r="N1646" s="7">
        <v>0.67790899999999998</v>
      </c>
      <c r="O1646">
        <v>1</v>
      </c>
      <c r="P1646" t="s">
        <v>14</v>
      </c>
      <c r="Q1646">
        <v>5</v>
      </c>
      <c r="R1646" s="8">
        <f>(Tabela2[[#This Row],[FAF_atividade_fisica_frequente_em_horas]]+ 0.1)</f>
        <v>0.80677699999999997</v>
      </c>
      <c r="S1646" s="1">
        <f>(Tabela2[[#This Row],[TUE_tempo_uso_aparelhos_em_horas]]/Tabela2[[#This Row],[FAF_Var]])</f>
        <v>0.84026812861546629</v>
      </c>
      <c r="T1646">
        <f>(Tabela2[[#This Row],[CAEC_lanche_entre_refeicoes]]*Tabela2[[#This Row],[FAVC_consumo_frequente_de_alimentos_mt_caloricos]])</f>
        <v>1</v>
      </c>
      <c r="U1646" s="1">
        <f>IF(OR(Tabela2[[#This Row],[MTRANS]]="Walking",Tabela2[[#This Row],[MTRANS]]="Bike"),Tabela2[[#This Row],[FAF_atividade_fisica_frequente_em_horas]]+1,M1646)</f>
        <v>0.70677699999999999</v>
      </c>
      <c r="V1646">
        <f>(Tabela2[[#This Row],[SMOKE]]+Tabela2[[#This Row],[CALC_bebe_alcool_frequentemente]])</f>
        <v>1</v>
      </c>
      <c r="W1646" s="8">
        <f>(Tabela2[[#This Row],[Weight]]/(Tabela2[[#This Row],[Height]] ^2))</f>
        <v>35.43655517811505</v>
      </c>
    </row>
    <row r="1647" spans="1:23" x14ac:dyDescent="0.25">
      <c r="A1647" t="s">
        <v>15</v>
      </c>
      <c r="B1647" s="7">
        <v>25.036269000000001</v>
      </c>
      <c r="C1647" s="4">
        <v>1.874519</v>
      </c>
      <c r="D1647" s="7">
        <v>121.244969</v>
      </c>
      <c r="E1647">
        <v>1</v>
      </c>
      <c r="F1647">
        <v>1</v>
      </c>
      <c r="G1647" s="2">
        <v>2.6301369999999999</v>
      </c>
      <c r="H1647" s="2">
        <v>3</v>
      </c>
      <c r="I1647">
        <v>1</v>
      </c>
      <c r="J1647">
        <v>0</v>
      </c>
      <c r="K1647" s="2">
        <v>2.9600879999999998</v>
      </c>
      <c r="L1647">
        <v>0</v>
      </c>
      <c r="M1647" s="7">
        <v>1.356468</v>
      </c>
      <c r="N1647" s="7">
        <v>0</v>
      </c>
      <c r="O1647">
        <v>1</v>
      </c>
      <c r="P1647" t="s">
        <v>14</v>
      </c>
      <c r="Q1647">
        <v>5</v>
      </c>
      <c r="R1647" s="8">
        <f>(Tabela2[[#This Row],[FAF_atividade_fisica_frequente_em_horas]]+ 0.1)</f>
        <v>1.4564680000000001</v>
      </c>
      <c r="S1647" s="1">
        <f>(Tabela2[[#This Row],[TUE_tempo_uso_aparelhos_em_horas]]/Tabela2[[#This Row],[FAF_Var]])</f>
        <v>0</v>
      </c>
      <c r="T1647">
        <f>(Tabela2[[#This Row],[CAEC_lanche_entre_refeicoes]]*Tabela2[[#This Row],[FAVC_consumo_frequente_de_alimentos_mt_caloricos]])</f>
        <v>1</v>
      </c>
      <c r="U1647" s="1">
        <f>IF(OR(Tabela2[[#This Row],[MTRANS]]="Walking",Tabela2[[#This Row],[MTRANS]]="Bike"),Tabela2[[#This Row],[FAF_atividade_fisica_frequente_em_horas]]+1,M1647)</f>
        <v>1.356468</v>
      </c>
      <c r="V1647">
        <f>(Tabela2[[#This Row],[SMOKE]]+Tabela2[[#This Row],[CALC_bebe_alcool_frequentemente]])</f>
        <v>1</v>
      </c>
      <c r="W1647" s="8">
        <f>(Tabela2[[#This Row],[Weight]]/(Tabela2[[#This Row],[Height]] ^2))</f>
        <v>34.505159025050546</v>
      </c>
    </row>
    <row r="1648" spans="1:23" x14ac:dyDescent="0.25">
      <c r="A1648" t="s">
        <v>15</v>
      </c>
      <c r="B1648" s="7">
        <v>24.825398</v>
      </c>
      <c r="C1648" s="4">
        <v>1.796332</v>
      </c>
      <c r="D1648" s="7">
        <v>120.901591</v>
      </c>
      <c r="E1648">
        <v>1</v>
      </c>
      <c r="F1648">
        <v>1</v>
      </c>
      <c r="G1648" s="2">
        <v>2.195964</v>
      </c>
      <c r="H1648" s="2">
        <v>3</v>
      </c>
      <c r="I1648">
        <v>1</v>
      </c>
      <c r="J1648">
        <v>0</v>
      </c>
      <c r="K1648" s="2">
        <v>2.514872</v>
      </c>
      <c r="L1648">
        <v>0</v>
      </c>
      <c r="M1648" s="7">
        <v>1.664722</v>
      </c>
      <c r="N1648" s="7">
        <v>0.12767300000000001</v>
      </c>
      <c r="O1648">
        <v>1</v>
      </c>
      <c r="P1648" t="s">
        <v>14</v>
      </c>
      <c r="Q1648">
        <v>5</v>
      </c>
      <c r="R1648" s="8">
        <f>(Tabela2[[#This Row],[FAF_atividade_fisica_frequente_em_horas]]+ 0.1)</f>
        <v>1.7647220000000001</v>
      </c>
      <c r="S1648" s="1">
        <f>(Tabela2[[#This Row],[TUE_tempo_uso_aparelhos_em_horas]]/Tabela2[[#This Row],[FAF_Var]])</f>
        <v>7.2347372560663939E-2</v>
      </c>
      <c r="T1648">
        <f>(Tabela2[[#This Row],[CAEC_lanche_entre_refeicoes]]*Tabela2[[#This Row],[FAVC_consumo_frequente_de_alimentos_mt_caloricos]])</f>
        <v>1</v>
      </c>
      <c r="U1648" s="1">
        <f>IF(OR(Tabela2[[#This Row],[MTRANS]]="Walking",Tabela2[[#This Row],[MTRANS]]="Bike"),Tabela2[[#This Row],[FAF_atividade_fisica_frequente_em_horas]]+1,M1648)</f>
        <v>1.664722</v>
      </c>
      <c r="V1648">
        <f>(Tabela2[[#This Row],[SMOKE]]+Tabela2[[#This Row],[CALC_bebe_alcool_frequentemente]])</f>
        <v>1</v>
      </c>
      <c r="W1648" s="8">
        <f>(Tabela2[[#This Row],[Weight]]/(Tabela2[[#This Row],[Height]] ^2))</f>
        <v>37.467852592292942</v>
      </c>
    </row>
    <row r="1649" spans="1:23" x14ac:dyDescent="0.25">
      <c r="A1649" t="s">
        <v>15</v>
      </c>
      <c r="B1649" s="7">
        <v>30.493946000000001</v>
      </c>
      <c r="C1649" s="4">
        <v>1.756221</v>
      </c>
      <c r="D1649" s="7">
        <v>119.11712199999999</v>
      </c>
      <c r="E1649">
        <v>1</v>
      </c>
      <c r="F1649">
        <v>1</v>
      </c>
      <c r="G1649" s="2">
        <v>2.6199870000000001</v>
      </c>
      <c r="H1649" s="2">
        <v>3</v>
      </c>
      <c r="I1649">
        <v>1</v>
      </c>
      <c r="J1649">
        <v>0</v>
      </c>
      <c r="K1649" s="2">
        <v>2.1947459999999999</v>
      </c>
      <c r="L1649">
        <v>0</v>
      </c>
      <c r="M1649" s="7">
        <v>1.076926</v>
      </c>
      <c r="N1649" s="7">
        <v>1.0909949999999999</v>
      </c>
      <c r="O1649">
        <v>1</v>
      </c>
      <c r="P1649" t="s">
        <v>17</v>
      </c>
      <c r="Q1649">
        <v>5</v>
      </c>
      <c r="R1649" s="8">
        <f>(Tabela2[[#This Row],[FAF_atividade_fisica_frequente_em_horas]]+ 0.1)</f>
        <v>1.1769260000000001</v>
      </c>
      <c r="S1649" s="1">
        <f>(Tabela2[[#This Row],[TUE_tempo_uso_aparelhos_em_horas]]/Tabela2[[#This Row],[FAF_Var]])</f>
        <v>0.92698691336583594</v>
      </c>
      <c r="T1649">
        <f>(Tabela2[[#This Row],[CAEC_lanche_entre_refeicoes]]*Tabela2[[#This Row],[FAVC_consumo_frequente_de_alimentos_mt_caloricos]])</f>
        <v>1</v>
      </c>
      <c r="U1649" s="1">
        <f>IF(OR(Tabela2[[#This Row],[MTRANS]]="Walking",Tabela2[[#This Row],[MTRANS]]="Bike"),Tabela2[[#This Row],[FAF_atividade_fisica_frequente_em_horas]]+1,M1649)</f>
        <v>1.076926</v>
      </c>
      <c r="V1649">
        <f>(Tabela2[[#This Row],[SMOKE]]+Tabela2[[#This Row],[CALC_bebe_alcool_frequentemente]])</f>
        <v>1</v>
      </c>
      <c r="W1649" s="8">
        <f>(Tabela2[[#This Row],[Weight]]/(Tabela2[[#This Row],[Height]] ^2))</f>
        <v>38.620319294369843</v>
      </c>
    </row>
    <row r="1650" spans="1:23" x14ac:dyDescent="0.25">
      <c r="A1650" t="s">
        <v>15</v>
      </c>
      <c r="B1650" s="7">
        <v>30.607545999999999</v>
      </c>
      <c r="C1650" s="4">
        <v>1.7571319999999999</v>
      </c>
      <c r="D1650" s="7">
        <v>118.565568</v>
      </c>
      <c r="E1650">
        <v>1</v>
      </c>
      <c r="F1650">
        <v>1</v>
      </c>
      <c r="G1650" s="2">
        <v>2.918113</v>
      </c>
      <c r="H1650" s="2">
        <v>3</v>
      </c>
      <c r="I1650">
        <v>1</v>
      </c>
      <c r="J1650">
        <v>0</v>
      </c>
      <c r="K1650" s="2">
        <v>2.2404630000000001</v>
      </c>
      <c r="L1650">
        <v>0</v>
      </c>
      <c r="M1650" s="7">
        <v>1.0762480000000001</v>
      </c>
      <c r="N1650" s="7">
        <v>1.4808749999999999</v>
      </c>
      <c r="O1650">
        <v>1</v>
      </c>
      <c r="P1650" t="s">
        <v>17</v>
      </c>
      <c r="Q1650">
        <v>5</v>
      </c>
      <c r="R1650" s="8">
        <f>(Tabela2[[#This Row],[FAF_atividade_fisica_frequente_em_horas]]+ 0.1)</f>
        <v>1.1762480000000002</v>
      </c>
      <c r="S1650" s="1">
        <f>(Tabela2[[#This Row],[TUE_tempo_uso_aparelhos_em_horas]]/Tabela2[[#This Row],[FAF_Var]])</f>
        <v>1.2589819493848233</v>
      </c>
      <c r="T1650">
        <f>(Tabela2[[#This Row],[CAEC_lanche_entre_refeicoes]]*Tabela2[[#This Row],[FAVC_consumo_frequente_de_alimentos_mt_caloricos]])</f>
        <v>1</v>
      </c>
      <c r="U1650" s="1">
        <f>IF(OR(Tabela2[[#This Row],[MTRANS]]="Walking",Tabela2[[#This Row],[MTRANS]]="Bike"),Tabela2[[#This Row],[FAF_atividade_fisica_frequente_em_horas]]+1,M1650)</f>
        <v>1.0762480000000001</v>
      </c>
      <c r="V1650">
        <f>(Tabela2[[#This Row],[SMOKE]]+Tabela2[[#This Row],[CALC_bebe_alcool_frequentemente]])</f>
        <v>1</v>
      </c>
      <c r="W1650" s="8">
        <f>(Tabela2[[#This Row],[Weight]]/(Tabela2[[#This Row],[Height]] ^2))</f>
        <v>38.401643383506261</v>
      </c>
    </row>
    <row r="1651" spans="1:23" x14ac:dyDescent="0.25">
      <c r="A1651" t="s">
        <v>15</v>
      </c>
      <c r="B1651" s="7">
        <v>31.194323000000001</v>
      </c>
      <c r="C1651" s="4">
        <v>1.8891039999999999</v>
      </c>
      <c r="D1651" s="7">
        <v>129.15734599999999</v>
      </c>
      <c r="E1651">
        <v>1</v>
      </c>
      <c r="F1651">
        <v>1</v>
      </c>
      <c r="G1651" s="2">
        <v>2.8894850000000001</v>
      </c>
      <c r="H1651" s="2">
        <v>3</v>
      </c>
      <c r="I1651">
        <v>1</v>
      </c>
      <c r="J1651">
        <v>1</v>
      </c>
      <c r="K1651" s="2">
        <v>1.279771</v>
      </c>
      <c r="L1651">
        <v>0</v>
      </c>
      <c r="M1651" s="7">
        <v>0.94142400000000004</v>
      </c>
      <c r="N1651" s="7">
        <v>8.3429999999999997E-3</v>
      </c>
      <c r="O1651">
        <v>1</v>
      </c>
      <c r="P1651" t="s">
        <v>14</v>
      </c>
      <c r="Q1651">
        <v>5</v>
      </c>
      <c r="R1651" s="8">
        <f>(Tabela2[[#This Row],[FAF_atividade_fisica_frequente_em_horas]]+ 0.1)</f>
        <v>1.0414240000000001</v>
      </c>
      <c r="S1651" s="1">
        <f>(Tabela2[[#This Row],[TUE_tempo_uso_aparelhos_em_horas]]/Tabela2[[#This Row],[FAF_Var]])</f>
        <v>8.0111462766366045E-3</v>
      </c>
      <c r="T1651">
        <f>(Tabela2[[#This Row],[CAEC_lanche_entre_refeicoes]]*Tabela2[[#This Row],[FAVC_consumo_frequente_de_alimentos_mt_caloricos]])</f>
        <v>1</v>
      </c>
      <c r="U1651" s="1">
        <f>IF(OR(Tabela2[[#This Row],[MTRANS]]="Walking",Tabela2[[#This Row],[MTRANS]]="Bike"),Tabela2[[#This Row],[FAF_atividade_fisica_frequente_em_horas]]+1,M1651)</f>
        <v>0.94142400000000004</v>
      </c>
      <c r="V1651">
        <f>(Tabela2[[#This Row],[SMOKE]]+Tabela2[[#This Row],[CALC_bebe_alcool_frequentemente]])</f>
        <v>2</v>
      </c>
      <c r="W1651" s="8">
        <f>(Tabela2[[#This Row],[Weight]]/(Tabela2[[#This Row],[Height]] ^2))</f>
        <v>36.19156614775234</v>
      </c>
    </row>
    <row r="1652" spans="1:23" x14ac:dyDescent="0.25">
      <c r="A1652" t="s">
        <v>15</v>
      </c>
      <c r="B1652" s="7">
        <v>31.36347</v>
      </c>
      <c r="C1652" s="4">
        <v>1.8693230000000001</v>
      </c>
      <c r="D1652" s="7">
        <v>127.507411</v>
      </c>
      <c r="E1652">
        <v>1</v>
      </c>
      <c r="F1652">
        <v>1</v>
      </c>
      <c r="G1652" s="2">
        <v>2.939727</v>
      </c>
      <c r="H1652" s="2">
        <v>3</v>
      </c>
      <c r="I1652">
        <v>1</v>
      </c>
      <c r="J1652">
        <v>1</v>
      </c>
      <c r="K1652" s="2">
        <v>1.344122</v>
      </c>
      <c r="L1652">
        <v>0</v>
      </c>
      <c r="M1652" s="7">
        <v>0.92342800000000003</v>
      </c>
      <c r="N1652" s="7">
        <v>1.4323360000000001</v>
      </c>
      <c r="O1652">
        <v>1</v>
      </c>
      <c r="P1652" t="s">
        <v>14</v>
      </c>
      <c r="Q1652">
        <v>5</v>
      </c>
      <c r="R1652" s="8">
        <f>(Tabela2[[#This Row],[FAF_atividade_fisica_frequente_em_horas]]+ 0.1)</f>
        <v>1.023428</v>
      </c>
      <c r="S1652" s="1">
        <f>(Tabela2[[#This Row],[TUE_tempo_uso_aparelhos_em_horas]]/Tabela2[[#This Row],[FAF_Var]])</f>
        <v>1.399547403432386</v>
      </c>
      <c r="T1652">
        <f>(Tabela2[[#This Row],[CAEC_lanche_entre_refeicoes]]*Tabela2[[#This Row],[FAVC_consumo_frequente_de_alimentos_mt_caloricos]])</f>
        <v>1</v>
      </c>
      <c r="U1652" s="1">
        <f>IF(OR(Tabela2[[#This Row],[MTRANS]]="Walking",Tabela2[[#This Row],[MTRANS]]="Bike"),Tabela2[[#This Row],[FAF_atividade_fisica_frequente_em_horas]]+1,M1652)</f>
        <v>0.92342800000000003</v>
      </c>
      <c r="V1652">
        <f>(Tabela2[[#This Row],[SMOKE]]+Tabela2[[#This Row],[CALC_bebe_alcool_frequentemente]])</f>
        <v>2</v>
      </c>
      <c r="W1652" s="8">
        <f>(Tabela2[[#This Row],[Weight]]/(Tabela2[[#This Row],[Height]] ^2))</f>
        <v>36.489400528525195</v>
      </c>
    </row>
    <row r="1653" spans="1:23" x14ac:dyDescent="0.25">
      <c r="A1653" t="s">
        <v>15</v>
      </c>
      <c r="B1653" s="7">
        <v>25.027253999999999</v>
      </c>
      <c r="C1653" s="4">
        <v>1.7571540000000001</v>
      </c>
      <c r="D1653" s="7">
        <v>112.200812</v>
      </c>
      <c r="E1653">
        <v>1</v>
      </c>
      <c r="F1653">
        <v>1</v>
      </c>
      <c r="G1653" s="2">
        <v>1.2642340000000001</v>
      </c>
      <c r="H1653" s="2">
        <v>3</v>
      </c>
      <c r="I1653">
        <v>1</v>
      </c>
      <c r="J1653">
        <v>0</v>
      </c>
      <c r="K1653" s="2">
        <v>2</v>
      </c>
      <c r="L1653">
        <v>0</v>
      </c>
      <c r="M1653" s="7">
        <v>1.3334349999999999</v>
      </c>
      <c r="N1653" s="7">
        <v>2.1679999999999998E-3</v>
      </c>
      <c r="O1653">
        <v>1</v>
      </c>
      <c r="P1653" t="s">
        <v>14</v>
      </c>
      <c r="Q1653">
        <v>5</v>
      </c>
      <c r="R1653" s="8">
        <f>(Tabela2[[#This Row],[FAF_atividade_fisica_frequente_em_horas]]+ 0.1)</f>
        <v>1.433435</v>
      </c>
      <c r="S1653" s="1">
        <f>(Tabela2[[#This Row],[TUE_tempo_uso_aparelhos_em_horas]]/Tabela2[[#This Row],[FAF_Var]])</f>
        <v>1.512450861043577E-3</v>
      </c>
      <c r="T1653">
        <f>(Tabela2[[#This Row],[CAEC_lanche_entre_refeicoes]]*Tabela2[[#This Row],[FAVC_consumo_frequente_de_alimentos_mt_caloricos]])</f>
        <v>1</v>
      </c>
      <c r="U1653" s="1">
        <f>IF(OR(Tabela2[[#This Row],[MTRANS]]="Walking",Tabela2[[#This Row],[MTRANS]]="Bike"),Tabela2[[#This Row],[FAF_atividade_fisica_frequente_em_horas]]+1,M1653)</f>
        <v>1.3334349999999999</v>
      </c>
      <c r="V1653">
        <f>(Tabela2[[#This Row],[SMOKE]]+Tabela2[[#This Row],[CALC_bebe_alcool_frequentemente]])</f>
        <v>1</v>
      </c>
      <c r="W1653" s="8">
        <f>(Tabela2[[#This Row],[Weight]]/(Tabela2[[#This Row],[Height]] ^2))</f>
        <v>36.339282569657719</v>
      </c>
    </row>
    <row r="1654" spans="1:23" x14ac:dyDescent="0.25">
      <c r="A1654" t="s">
        <v>15</v>
      </c>
      <c r="B1654" s="7">
        <v>25.058565999999999</v>
      </c>
      <c r="C1654" s="4">
        <v>1.7644839999999999</v>
      </c>
      <c r="D1654" s="7">
        <v>113.23434899999999</v>
      </c>
      <c r="E1654">
        <v>1</v>
      </c>
      <c r="F1654">
        <v>1</v>
      </c>
      <c r="G1654" s="2">
        <v>1.5179119999999999</v>
      </c>
      <c r="H1654" s="2">
        <v>3</v>
      </c>
      <c r="I1654">
        <v>1</v>
      </c>
      <c r="J1654">
        <v>0</v>
      </c>
      <c r="K1654" s="2">
        <v>2.038958</v>
      </c>
      <c r="L1654">
        <v>0</v>
      </c>
      <c r="M1654" s="7">
        <v>1.590255</v>
      </c>
      <c r="N1654" s="7">
        <v>1.64E-3</v>
      </c>
      <c r="O1654">
        <v>1</v>
      </c>
      <c r="P1654" t="s">
        <v>14</v>
      </c>
      <c r="Q1654">
        <v>5</v>
      </c>
      <c r="R1654" s="8">
        <f>(Tabela2[[#This Row],[FAF_atividade_fisica_frequente_em_horas]]+ 0.1)</f>
        <v>1.6902550000000001</v>
      </c>
      <c r="S1654" s="1">
        <f>(Tabela2[[#This Row],[TUE_tempo_uso_aparelhos_em_horas]]/Tabela2[[#This Row],[FAF_Var]])</f>
        <v>9.7026779982901977E-4</v>
      </c>
      <c r="T1654">
        <f>(Tabela2[[#This Row],[CAEC_lanche_entre_refeicoes]]*Tabela2[[#This Row],[FAVC_consumo_frequente_de_alimentos_mt_caloricos]])</f>
        <v>1</v>
      </c>
      <c r="U1654" s="1">
        <f>IF(OR(Tabela2[[#This Row],[MTRANS]]="Walking",Tabela2[[#This Row],[MTRANS]]="Bike"),Tabela2[[#This Row],[FAF_atividade_fisica_frequente_em_horas]]+1,M1654)</f>
        <v>1.590255</v>
      </c>
      <c r="V1654">
        <f>(Tabela2[[#This Row],[SMOKE]]+Tabela2[[#This Row],[CALC_bebe_alcool_frequentemente]])</f>
        <v>1</v>
      </c>
      <c r="W1654" s="8">
        <f>(Tabela2[[#This Row],[Weight]]/(Tabela2[[#This Row],[Height]] ^2))</f>
        <v>36.36995287918279</v>
      </c>
    </row>
    <row r="1655" spans="1:23" x14ac:dyDescent="0.25">
      <c r="A1655" t="s">
        <v>15</v>
      </c>
      <c r="B1655" s="7">
        <v>24.417552000000001</v>
      </c>
      <c r="C1655" s="4">
        <v>1.774775</v>
      </c>
      <c r="D1655" s="7">
        <v>117.398976</v>
      </c>
      <c r="E1655">
        <v>1</v>
      </c>
      <c r="F1655">
        <v>1</v>
      </c>
      <c r="G1655" s="2">
        <v>2.2337199999999999</v>
      </c>
      <c r="H1655" s="2">
        <v>2.9936340000000001</v>
      </c>
      <c r="I1655">
        <v>1</v>
      </c>
      <c r="J1655">
        <v>0</v>
      </c>
      <c r="K1655" s="2">
        <v>2.0283679999999999</v>
      </c>
      <c r="L1655">
        <v>0</v>
      </c>
      <c r="M1655" s="7">
        <v>0.86315799999999998</v>
      </c>
      <c r="N1655" s="7">
        <v>0.44988600000000001</v>
      </c>
      <c r="O1655">
        <v>1</v>
      </c>
      <c r="P1655" t="s">
        <v>14</v>
      </c>
      <c r="Q1655">
        <v>5</v>
      </c>
      <c r="R1655" s="8">
        <f>(Tabela2[[#This Row],[FAF_atividade_fisica_frequente_em_horas]]+ 0.1)</f>
        <v>0.96315799999999996</v>
      </c>
      <c r="S1655" s="1">
        <f>(Tabela2[[#This Row],[TUE_tempo_uso_aparelhos_em_horas]]/Tabela2[[#This Row],[FAF_Var]])</f>
        <v>0.46709470304975925</v>
      </c>
      <c r="T1655">
        <f>(Tabela2[[#This Row],[CAEC_lanche_entre_refeicoes]]*Tabela2[[#This Row],[FAVC_consumo_frequente_de_alimentos_mt_caloricos]])</f>
        <v>1</v>
      </c>
      <c r="U1655" s="1">
        <f>IF(OR(Tabela2[[#This Row],[MTRANS]]="Walking",Tabela2[[#This Row],[MTRANS]]="Bike"),Tabela2[[#This Row],[FAF_atividade_fisica_frequente_em_horas]]+1,M1655)</f>
        <v>0.86315799999999998</v>
      </c>
      <c r="V1655">
        <f>(Tabela2[[#This Row],[SMOKE]]+Tabela2[[#This Row],[CALC_bebe_alcool_frequentemente]])</f>
        <v>1</v>
      </c>
      <c r="W1655" s="8">
        <f>(Tabela2[[#This Row],[Weight]]/(Tabela2[[#This Row],[Height]] ^2))</f>
        <v>37.271571444020665</v>
      </c>
    </row>
    <row r="1656" spans="1:23" x14ac:dyDescent="0.25">
      <c r="A1656" t="s">
        <v>15</v>
      </c>
      <c r="B1656" s="7">
        <v>24.5822</v>
      </c>
      <c r="C1656" s="4">
        <v>1.769933</v>
      </c>
      <c r="D1656" s="7">
        <v>117.70870499999999</v>
      </c>
      <c r="E1656">
        <v>1</v>
      </c>
      <c r="F1656">
        <v>1</v>
      </c>
      <c r="G1656" s="2">
        <v>1.4759059999999999</v>
      </c>
      <c r="H1656" s="2">
        <v>2.9993460000000001</v>
      </c>
      <c r="I1656">
        <v>1</v>
      </c>
      <c r="J1656">
        <v>0</v>
      </c>
      <c r="K1656" s="2">
        <v>2.0194299999999998</v>
      </c>
      <c r="L1656">
        <v>0</v>
      </c>
      <c r="M1656" s="7">
        <v>1.046878</v>
      </c>
      <c r="N1656" s="7">
        <v>0.460866</v>
      </c>
      <c r="O1656">
        <v>1</v>
      </c>
      <c r="P1656" t="s">
        <v>14</v>
      </c>
      <c r="Q1656">
        <v>5</v>
      </c>
      <c r="R1656" s="8">
        <f>(Tabela2[[#This Row],[FAF_atividade_fisica_frequente_em_horas]]+ 0.1)</f>
        <v>1.1468780000000001</v>
      </c>
      <c r="S1656" s="1">
        <f>(Tabela2[[#This Row],[TUE_tempo_uso_aparelhos_em_horas]]/Tabela2[[#This Row],[FAF_Var]])</f>
        <v>0.40184396247900822</v>
      </c>
      <c r="T1656">
        <f>(Tabela2[[#This Row],[CAEC_lanche_entre_refeicoes]]*Tabela2[[#This Row],[FAVC_consumo_frequente_de_alimentos_mt_caloricos]])</f>
        <v>1</v>
      </c>
      <c r="U1656" s="1">
        <f>IF(OR(Tabela2[[#This Row],[MTRANS]]="Walking",Tabela2[[#This Row],[MTRANS]]="Bike"),Tabela2[[#This Row],[FAF_atividade_fisica_frequente_em_horas]]+1,M1656)</f>
        <v>1.046878</v>
      </c>
      <c r="V1656">
        <f>(Tabela2[[#This Row],[SMOKE]]+Tabela2[[#This Row],[CALC_bebe_alcool_frequentemente]])</f>
        <v>1</v>
      </c>
      <c r="W1656" s="8">
        <f>(Tabela2[[#This Row],[Weight]]/(Tabela2[[#This Row],[Height]] ^2))</f>
        <v>37.574648659866753</v>
      </c>
    </row>
    <row r="1657" spans="1:23" x14ac:dyDescent="0.25">
      <c r="A1657" t="s">
        <v>15</v>
      </c>
      <c r="B1657" s="7">
        <v>40.106144999999998</v>
      </c>
      <c r="C1657" s="4">
        <v>1.760175</v>
      </c>
      <c r="D1657" s="7">
        <v>117.65104599999999</v>
      </c>
      <c r="E1657">
        <v>1</v>
      </c>
      <c r="F1657">
        <v>1</v>
      </c>
      <c r="G1657" s="2">
        <v>2.032883</v>
      </c>
      <c r="H1657" s="2">
        <v>2.9762110000000002</v>
      </c>
      <c r="I1657">
        <v>1</v>
      </c>
      <c r="J1657">
        <v>0</v>
      </c>
      <c r="K1657" s="2">
        <v>1.7261089999999999</v>
      </c>
      <c r="L1657">
        <v>0</v>
      </c>
      <c r="M1657" s="7">
        <v>0.47785499999999997</v>
      </c>
      <c r="N1657" s="7">
        <v>0</v>
      </c>
      <c r="O1657">
        <v>1</v>
      </c>
      <c r="P1657" t="s">
        <v>17</v>
      </c>
      <c r="Q1657">
        <v>5</v>
      </c>
      <c r="R1657" s="8">
        <f>(Tabela2[[#This Row],[FAF_atividade_fisica_frequente_em_horas]]+ 0.1)</f>
        <v>0.57785500000000001</v>
      </c>
      <c r="S1657" s="1">
        <f>(Tabela2[[#This Row],[TUE_tempo_uso_aparelhos_em_horas]]/Tabela2[[#This Row],[FAF_Var]])</f>
        <v>0</v>
      </c>
      <c r="T1657">
        <f>(Tabela2[[#This Row],[CAEC_lanche_entre_refeicoes]]*Tabela2[[#This Row],[FAVC_consumo_frequente_de_alimentos_mt_caloricos]])</f>
        <v>1</v>
      </c>
      <c r="U1657" s="1">
        <f>IF(OR(Tabela2[[#This Row],[MTRANS]]="Walking",Tabela2[[#This Row],[MTRANS]]="Bike"),Tabela2[[#This Row],[FAF_atividade_fisica_frequente_em_horas]]+1,M1657)</f>
        <v>0.47785499999999997</v>
      </c>
      <c r="V1657">
        <f>(Tabela2[[#This Row],[SMOKE]]+Tabela2[[#This Row],[CALC_bebe_alcool_frequentemente]])</f>
        <v>1</v>
      </c>
      <c r="W1657" s="8">
        <f>(Tabela2[[#This Row],[Weight]]/(Tabela2[[#This Row],[Height]] ^2))</f>
        <v>37.973803258730918</v>
      </c>
    </row>
    <row r="1658" spans="1:23" x14ac:dyDescent="0.25">
      <c r="A1658" t="s">
        <v>15</v>
      </c>
      <c r="B1658" s="7">
        <v>40.174191</v>
      </c>
      <c r="C1658" s="4">
        <v>1.763029</v>
      </c>
      <c r="D1658" s="7">
        <v>116.974504</v>
      </c>
      <c r="E1658">
        <v>1</v>
      </c>
      <c r="F1658">
        <v>1</v>
      </c>
      <c r="G1658" s="2">
        <v>2.0466510000000002</v>
      </c>
      <c r="H1658" s="2">
        <v>2.8420350000000001</v>
      </c>
      <c r="I1658">
        <v>1</v>
      </c>
      <c r="J1658">
        <v>0</v>
      </c>
      <c r="K1658" s="2">
        <v>1.7320720000000001</v>
      </c>
      <c r="L1658">
        <v>0</v>
      </c>
      <c r="M1658" s="7">
        <v>0.58427200000000001</v>
      </c>
      <c r="N1658" s="7">
        <v>0</v>
      </c>
      <c r="O1658">
        <v>1</v>
      </c>
      <c r="P1658" t="s">
        <v>17</v>
      </c>
      <c r="Q1658">
        <v>5</v>
      </c>
      <c r="R1658" s="8">
        <f>(Tabela2[[#This Row],[FAF_atividade_fisica_frequente_em_horas]]+ 0.1)</f>
        <v>0.68427199999999999</v>
      </c>
      <c r="S1658" s="1">
        <f>(Tabela2[[#This Row],[TUE_tempo_uso_aparelhos_em_horas]]/Tabela2[[#This Row],[FAF_Var]])</f>
        <v>0</v>
      </c>
      <c r="T1658">
        <f>(Tabela2[[#This Row],[CAEC_lanche_entre_refeicoes]]*Tabela2[[#This Row],[FAVC_consumo_frequente_de_alimentos_mt_caloricos]])</f>
        <v>1</v>
      </c>
      <c r="U1658" s="1">
        <f>IF(OR(Tabela2[[#This Row],[MTRANS]]="Walking",Tabela2[[#This Row],[MTRANS]]="Bike"),Tabela2[[#This Row],[FAF_atividade_fisica_frequente_em_horas]]+1,M1658)</f>
        <v>0.58427200000000001</v>
      </c>
      <c r="V1658">
        <f>(Tabela2[[#This Row],[SMOKE]]+Tabela2[[#This Row],[CALC_bebe_alcool_frequentemente]])</f>
        <v>1</v>
      </c>
      <c r="W1658" s="8">
        <f>(Tabela2[[#This Row],[Weight]]/(Tabela2[[#This Row],[Height]] ^2))</f>
        <v>37.633299802202657</v>
      </c>
    </row>
    <row r="1659" spans="1:23" x14ac:dyDescent="0.25">
      <c r="A1659" t="s">
        <v>15</v>
      </c>
      <c r="B1659" s="7">
        <v>27.186872999999999</v>
      </c>
      <c r="C1659" s="4">
        <v>1.6795150000000001</v>
      </c>
      <c r="D1659" s="7">
        <v>102.87280199999999</v>
      </c>
      <c r="E1659">
        <v>1</v>
      </c>
      <c r="F1659">
        <v>1</v>
      </c>
      <c r="G1659" s="2">
        <v>2.6672289999999998</v>
      </c>
      <c r="H1659" s="2">
        <v>1.0974900000000001</v>
      </c>
      <c r="I1659">
        <v>1</v>
      </c>
      <c r="J1659">
        <v>0</v>
      </c>
      <c r="K1659" s="2">
        <v>1.2259580000000001</v>
      </c>
      <c r="L1659">
        <v>0</v>
      </c>
      <c r="M1659" s="7">
        <v>0.206954</v>
      </c>
      <c r="N1659" s="7">
        <v>1.0030110000000001</v>
      </c>
      <c r="O1659">
        <v>0</v>
      </c>
      <c r="P1659" t="s">
        <v>14</v>
      </c>
      <c r="Q1659">
        <v>5</v>
      </c>
      <c r="R1659" s="8">
        <f>(Tabela2[[#This Row],[FAF_atividade_fisica_frequente_em_horas]]+ 0.1)</f>
        <v>0.306954</v>
      </c>
      <c r="S1659" s="1">
        <f>(Tabela2[[#This Row],[TUE_tempo_uso_aparelhos_em_horas]]/Tabela2[[#This Row],[FAF_Var]])</f>
        <v>3.2676264195938156</v>
      </c>
      <c r="T1659">
        <f>(Tabela2[[#This Row],[CAEC_lanche_entre_refeicoes]]*Tabela2[[#This Row],[FAVC_consumo_frequente_de_alimentos_mt_caloricos]])</f>
        <v>1</v>
      </c>
      <c r="U1659" s="1">
        <f>IF(OR(Tabela2[[#This Row],[MTRANS]]="Walking",Tabela2[[#This Row],[MTRANS]]="Bike"),Tabela2[[#This Row],[FAF_atividade_fisica_frequente_em_horas]]+1,M1659)</f>
        <v>0.206954</v>
      </c>
      <c r="V1659">
        <f>(Tabela2[[#This Row],[SMOKE]]+Tabela2[[#This Row],[CALC_bebe_alcool_frequentemente]])</f>
        <v>0</v>
      </c>
      <c r="W1659" s="8">
        <f>(Tabela2[[#This Row],[Weight]]/(Tabela2[[#This Row],[Height]] ^2))</f>
        <v>36.46975075369582</v>
      </c>
    </row>
    <row r="1660" spans="1:23" x14ac:dyDescent="0.25">
      <c r="A1660" t="s">
        <v>15</v>
      </c>
      <c r="B1660" s="7">
        <v>30.424368999999999</v>
      </c>
      <c r="C1660" s="4">
        <v>1.699354</v>
      </c>
      <c r="D1660" s="7">
        <v>100.176866</v>
      </c>
      <c r="E1660">
        <v>1</v>
      </c>
      <c r="F1660">
        <v>1</v>
      </c>
      <c r="G1660" s="2">
        <v>2.8199339999999999</v>
      </c>
      <c r="H1660" s="2">
        <v>1.9186300000000001</v>
      </c>
      <c r="I1660">
        <v>1</v>
      </c>
      <c r="J1660">
        <v>0</v>
      </c>
      <c r="K1660" s="2">
        <v>1</v>
      </c>
      <c r="L1660">
        <v>0</v>
      </c>
      <c r="M1660" s="7">
        <v>1.3930199999999999</v>
      </c>
      <c r="N1660" s="7">
        <v>0.553311</v>
      </c>
      <c r="O1660">
        <v>0</v>
      </c>
      <c r="P1660" t="s">
        <v>14</v>
      </c>
      <c r="Q1660">
        <v>5</v>
      </c>
      <c r="R1660" s="8">
        <f>(Tabela2[[#This Row],[FAF_atividade_fisica_frequente_em_horas]]+ 0.1)</f>
        <v>1.49302</v>
      </c>
      <c r="S1660" s="1">
        <f>(Tabela2[[#This Row],[TUE_tempo_uso_aparelhos_em_horas]]/Tabela2[[#This Row],[FAF_Var]])</f>
        <v>0.37059851843913677</v>
      </c>
      <c r="T1660">
        <f>(Tabela2[[#This Row],[CAEC_lanche_entre_refeicoes]]*Tabela2[[#This Row],[FAVC_consumo_frequente_de_alimentos_mt_caloricos]])</f>
        <v>1</v>
      </c>
      <c r="U1660" s="1">
        <f>IF(OR(Tabela2[[#This Row],[MTRANS]]="Walking",Tabela2[[#This Row],[MTRANS]]="Bike"),Tabela2[[#This Row],[FAF_atividade_fisica_frequente_em_horas]]+1,M1660)</f>
        <v>1.3930199999999999</v>
      </c>
      <c r="V1660">
        <f>(Tabela2[[#This Row],[SMOKE]]+Tabela2[[#This Row],[CALC_bebe_alcool_frequentemente]])</f>
        <v>0</v>
      </c>
      <c r="W1660" s="8">
        <f>(Tabela2[[#This Row],[Weight]]/(Tabela2[[#This Row],[Height]] ^2))</f>
        <v>34.689634545597379</v>
      </c>
    </row>
    <row r="1661" spans="1:23" x14ac:dyDescent="0.25">
      <c r="A1661" t="s">
        <v>15</v>
      </c>
      <c r="B1661" s="7">
        <v>23.141401999999999</v>
      </c>
      <c r="C1661" s="4">
        <v>1.849307</v>
      </c>
      <c r="D1661" s="7">
        <v>121.65872899999999</v>
      </c>
      <c r="E1661">
        <v>1</v>
      </c>
      <c r="F1661">
        <v>1</v>
      </c>
      <c r="G1661" s="2">
        <v>3</v>
      </c>
      <c r="H1661" s="2">
        <v>2.510135</v>
      </c>
      <c r="I1661">
        <v>1</v>
      </c>
      <c r="J1661">
        <v>0</v>
      </c>
      <c r="K1661" s="2">
        <v>1.693362</v>
      </c>
      <c r="L1661">
        <v>0</v>
      </c>
      <c r="M1661" s="7">
        <v>0.76970899999999998</v>
      </c>
      <c r="N1661" s="7">
        <v>0</v>
      </c>
      <c r="O1661">
        <v>1</v>
      </c>
      <c r="P1661" t="s">
        <v>14</v>
      </c>
      <c r="Q1661">
        <v>5</v>
      </c>
      <c r="R1661" s="8">
        <f>(Tabela2[[#This Row],[FAF_atividade_fisica_frequente_em_horas]]+ 0.1)</f>
        <v>0.86970899999999995</v>
      </c>
      <c r="S1661" s="1">
        <f>(Tabela2[[#This Row],[TUE_tempo_uso_aparelhos_em_horas]]/Tabela2[[#This Row],[FAF_Var]])</f>
        <v>0</v>
      </c>
      <c r="T1661">
        <f>(Tabela2[[#This Row],[CAEC_lanche_entre_refeicoes]]*Tabela2[[#This Row],[FAVC_consumo_frequente_de_alimentos_mt_caloricos]])</f>
        <v>1</v>
      </c>
      <c r="U1661" s="1">
        <f>IF(OR(Tabela2[[#This Row],[MTRANS]]="Walking",Tabela2[[#This Row],[MTRANS]]="Bike"),Tabela2[[#This Row],[FAF_atividade_fisica_frequente_em_horas]]+1,M1661)</f>
        <v>0.76970899999999998</v>
      </c>
      <c r="V1661">
        <f>(Tabela2[[#This Row],[SMOKE]]+Tabela2[[#This Row],[CALC_bebe_alcool_frequentemente]])</f>
        <v>1</v>
      </c>
      <c r="W1661" s="8">
        <f>(Tabela2[[#This Row],[Weight]]/(Tabela2[[#This Row],[Height]] ^2))</f>
        <v>35.573389523445528</v>
      </c>
    </row>
    <row r="1662" spans="1:23" x14ac:dyDescent="0.25">
      <c r="A1662" t="s">
        <v>15</v>
      </c>
      <c r="B1662" s="7">
        <v>24.178637999999999</v>
      </c>
      <c r="C1662" s="4">
        <v>1.86741</v>
      </c>
      <c r="D1662" s="7">
        <v>121.68431099999999</v>
      </c>
      <c r="E1662">
        <v>1</v>
      </c>
      <c r="F1662">
        <v>1</v>
      </c>
      <c r="G1662" s="2">
        <v>2.9544169999999998</v>
      </c>
      <c r="H1662" s="2">
        <v>2.6577199999999999</v>
      </c>
      <c r="I1662">
        <v>1</v>
      </c>
      <c r="J1662">
        <v>0</v>
      </c>
      <c r="K1662" s="2">
        <v>2.1046960000000001</v>
      </c>
      <c r="L1662">
        <v>0</v>
      </c>
      <c r="M1662" s="7">
        <v>0.87005600000000005</v>
      </c>
      <c r="N1662" s="7">
        <v>0</v>
      </c>
      <c r="O1662">
        <v>1</v>
      </c>
      <c r="P1662" t="s">
        <v>14</v>
      </c>
      <c r="Q1662">
        <v>5</v>
      </c>
      <c r="R1662" s="8">
        <f>(Tabela2[[#This Row],[FAF_atividade_fisica_frequente_em_horas]]+ 0.1)</f>
        <v>0.97005600000000003</v>
      </c>
      <c r="S1662" s="1">
        <f>(Tabela2[[#This Row],[TUE_tempo_uso_aparelhos_em_horas]]/Tabela2[[#This Row],[FAF_Var]])</f>
        <v>0</v>
      </c>
      <c r="T1662">
        <f>(Tabela2[[#This Row],[CAEC_lanche_entre_refeicoes]]*Tabela2[[#This Row],[FAVC_consumo_frequente_de_alimentos_mt_caloricos]])</f>
        <v>1</v>
      </c>
      <c r="U1662" s="1">
        <f>IF(OR(Tabela2[[#This Row],[MTRANS]]="Walking",Tabela2[[#This Row],[MTRANS]]="Bike"),Tabela2[[#This Row],[FAF_atividade_fisica_frequente_em_horas]]+1,M1662)</f>
        <v>0.87005600000000005</v>
      </c>
      <c r="V1662">
        <f>(Tabela2[[#This Row],[SMOKE]]+Tabela2[[#This Row],[CALC_bebe_alcool_frequentemente]])</f>
        <v>1</v>
      </c>
      <c r="W1662" s="8">
        <f>(Tabela2[[#This Row],[Weight]]/(Tabela2[[#This Row],[Height]] ^2))</f>
        <v>34.894359182362962</v>
      </c>
    </row>
    <row r="1663" spans="1:23" x14ac:dyDescent="0.25">
      <c r="A1663" t="s">
        <v>15</v>
      </c>
      <c r="B1663" s="7">
        <v>22.832104999999999</v>
      </c>
      <c r="C1663" s="4">
        <v>1.86714</v>
      </c>
      <c r="D1663" s="7">
        <v>121.835883</v>
      </c>
      <c r="E1663">
        <v>1</v>
      </c>
      <c r="F1663">
        <v>1</v>
      </c>
      <c r="G1663" s="2">
        <v>2.8262510000000001</v>
      </c>
      <c r="H1663" s="2">
        <v>2.6049980000000001</v>
      </c>
      <c r="I1663">
        <v>1</v>
      </c>
      <c r="J1663">
        <v>0</v>
      </c>
      <c r="K1663" s="2">
        <v>1.8421730000000001</v>
      </c>
      <c r="L1663">
        <v>0</v>
      </c>
      <c r="M1663" s="7">
        <v>1.2847980000000001</v>
      </c>
      <c r="N1663" s="7">
        <v>0</v>
      </c>
      <c r="O1663">
        <v>1</v>
      </c>
      <c r="P1663" t="s">
        <v>14</v>
      </c>
      <c r="Q1663">
        <v>5</v>
      </c>
      <c r="R1663" s="8">
        <f>(Tabela2[[#This Row],[FAF_atividade_fisica_frequente_em_horas]]+ 0.1)</f>
        <v>1.3847980000000002</v>
      </c>
      <c r="S1663" s="1">
        <f>(Tabela2[[#This Row],[TUE_tempo_uso_aparelhos_em_horas]]/Tabela2[[#This Row],[FAF_Var]])</f>
        <v>0</v>
      </c>
      <c r="T1663">
        <f>(Tabela2[[#This Row],[CAEC_lanche_entre_refeicoes]]*Tabela2[[#This Row],[FAVC_consumo_frequente_de_alimentos_mt_caloricos]])</f>
        <v>1</v>
      </c>
      <c r="U1663" s="1">
        <f>IF(OR(Tabela2[[#This Row],[MTRANS]]="Walking",Tabela2[[#This Row],[MTRANS]]="Bike"),Tabela2[[#This Row],[FAF_atividade_fisica_frequente_em_horas]]+1,M1663)</f>
        <v>1.2847980000000001</v>
      </c>
      <c r="V1663">
        <f>(Tabela2[[#This Row],[SMOKE]]+Tabela2[[#This Row],[CALC_bebe_alcool_frequentemente]])</f>
        <v>1</v>
      </c>
      <c r="W1663" s="8">
        <f>(Tabela2[[#This Row],[Weight]]/(Tabela2[[#This Row],[Height]] ^2))</f>
        <v>34.947929357859941</v>
      </c>
    </row>
    <row r="1664" spans="1:23" x14ac:dyDescent="0.25">
      <c r="A1664" t="s">
        <v>15</v>
      </c>
      <c r="B1664" s="7">
        <v>23.083621000000001</v>
      </c>
      <c r="C1664" s="4">
        <v>1.8485529999999999</v>
      </c>
      <c r="D1664" s="7">
        <v>121.421121</v>
      </c>
      <c r="E1664">
        <v>1</v>
      </c>
      <c r="F1664">
        <v>1</v>
      </c>
      <c r="G1664" s="2">
        <v>3</v>
      </c>
      <c r="H1664" s="2">
        <v>2.5675669999999999</v>
      </c>
      <c r="I1664">
        <v>1</v>
      </c>
      <c r="J1664">
        <v>0</v>
      </c>
      <c r="K1664" s="2">
        <v>2.0110229999999998</v>
      </c>
      <c r="L1664">
        <v>0</v>
      </c>
      <c r="M1664" s="7">
        <v>0.91647800000000001</v>
      </c>
      <c r="N1664" s="7">
        <v>0</v>
      </c>
      <c r="O1664">
        <v>1</v>
      </c>
      <c r="P1664" t="s">
        <v>14</v>
      </c>
      <c r="Q1664">
        <v>5</v>
      </c>
      <c r="R1664" s="8">
        <f>(Tabela2[[#This Row],[FAF_atividade_fisica_frequente_em_horas]]+ 0.1)</f>
        <v>1.016478</v>
      </c>
      <c r="S1664" s="1">
        <f>(Tabela2[[#This Row],[TUE_tempo_uso_aparelhos_em_horas]]/Tabela2[[#This Row],[FAF_Var]])</f>
        <v>0</v>
      </c>
      <c r="T1664">
        <f>(Tabela2[[#This Row],[CAEC_lanche_entre_refeicoes]]*Tabela2[[#This Row],[FAVC_consumo_frequente_de_alimentos_mt_caloricos]])</f>
        <v>1</v>
      </c>
      <c r="U1664" s="1">
        <f>IF(OR(Tabela2[[#This Row],[MTRANS]]="Walking",Tabela2[[#This Row],[MTRANS]]="Bike"),Tabela2[[#This Row],[FAF_atividade_fisica_frequente_em_horas]]+1,M1664)</f>
        <v>0.91647800000000001</v>
      </c>
      <c r="V1664">
        <f>(Tabela2[[#This Row],[SMOKE]]+Tabela2[[#This Row],[CALC_bebe_alcool_frequentemente]])</f>
        <v>1</v>
      </c>
      <c r="W1664" s="8">
        <f>(Tabela2[[#This Row],[Weight]]/(Tabela2[[#This Row],[Height]] ^2))</f>
        <v>35.532881254604085</v>
      </c>
    </row>
    <row r="1665" spans="1:23" x14ac:dyDescent="0.25">
      <c r="A1665" t="s">
        <v>15</v>
      </c>
      <c r="B1665" s="7">
        <v>24.079971</v>
      </c>
      <c r="C1665" s="4">
        <v>1.61981</v>
      </c>
      <c r="D1665" s="7">
        <v>98.543019999999999</v>
      </c>
      <c r="E1665">
        <v>1</v>
      </c>
      <c r="F1665">
        <v>1</v>
      </c>
      <c r="G1665" s="2">
        <v>2.9584100000000002</v>
      </c>
      <c r="H1665" s="2">
        <v>2.4343469999999998</v>
      </c>
      <c r="I1665">
        <v>1</v>
      </c>
      <c r="J1665">
        <v>0</v>
      </c>
      <c r="K1665" s="2">
        <v>1</v>
      </c>
      <c r="L1665">
        <v>0</v>
      </c>
      <c r="M1665" s="7">
        <v>1.9300330000000001</v>
      </c>
      <c r="N1665" s="7">
        <v>0.754023</v>
      </c>
      <c r="O1665">
        <v>0</v>
      </c>
      <c r="P1665" t="s">
        <v>14</v>
      </c>
      <c r="Q1665">
        <v>5</v>
      </c>
      <c r="R1665" s="8">
        <f>(Tabela2[[#This Row],[FAF_atividade_fisica_frequente_em_horas]]+ 0.1)</f>
        <v>2.030033</v>
      </c>
      <c r="S1665" s="1">
        <f>(Tabela2[[#This Row],[TUE_tempo_uso_aparelhos_em_horas]]/Tabela2[[#This Row],[FAF_Var]])</f>
        <v>0.37143386339039808</v>
      </c>
      <c r="T1665">
        <f>(Tabela2[[#This Row],[CAEC_lanche_entre_refeicoes]]*Tabela2[[#This Row],[FAVC_consumo_frequente_de_alimentos_mt_caloricos]])</f>
        <v>1</v>
      </c>
      <c r="U1665" s="1">
        <f>IF(OR(Tabela2[[#This Row],[MTRANS]]="Walking",Tabela2[[#This Row],[MTRANS]]="Bike"),Tabela2[[#This Row],[FAF_atividade_fisica_frequente_em_horas]]+1,M1665)</f>
        <v>1.9300330000000001</v>
      </c>
      <c r="V1665">
        <f>(Tabela2[[#This Row],[SMOKE]]+Tabela2[[#This Row],[CALC_bebe_alcool_frequentemente]])</f>
        <v>0</v>
      </c>
      <c r="W1665" s="8">
        <f>(Tabela2[[#This Row],[Weight]]/(Tabela2[[#This Row],[Height]] ^2))</f>
        <v>37.557589962106263</v>
      </c>
    </row>
    <row r="1666" spans="1:23" x14ac:dyDescent="0.25">
      <c r="A1666" t="s">
        <v>15</v>
      </c>
      <c r="B1666" s="7">
        <v>26.947786000000001</v>
      </c>
      <c r="C1666" s="4">
        <v>1.647807</v>
      </c>
      <c r="D1666" s="7">
        <v>99.592224999999999</v>
      </c>
      <c r="E1666">
        <v>1</v>
      </c>
      <c r="F1666">
        <v>1</v>
      </c>
      <c r="G1666" s="2">
        <v>2.9351569999999998</v>
      </c>
      <c r="H1666" s="2">
        <v>1.845858</v>
      </c>
      <c r="I1666">
        <v>1</v>
      </c>
      <c r="J1666">
        <v>0</v>
      </c>
      <c r="K1666" s="2">
        <v>1</v>
      </c>
      <c r="L1666">
        <v>0</v>
      </c>
      <c r="M1666" s="7">
        <v>1.0898909999999999</v>
      </c>
      <c r="N1666" s="7">
        <v>0.71599299999999999</v>
      </c>
      <c r="O1666">
        <v>0</v>
      </c>
      <c r="P1666" t="s">
        <v>14</v>
      </c>
      <c r="Q1666">
        <v>5</v>
      </c>
      <c r="R1666" s="8">
        <f>(Tabela2[[#This Row],[FAF_atividade_fisica_frequente_em_horas]]+ 0.1)</f>
        <v>1.189891</v>
      </c>
      <c r="S1666" s="1">
        <f>(Tabela2[[#This Row],[TUE_tempo_uso_aparelhos_em_horas]]/Tabela2[[#This Row],[FAF_Var]])</f>
        <v>0.6017299063527668</v>
      </c>
      <c r="T1666">
        <f>(Tabela2[[#This Row],[CAEC_lanche_entre_refeicoes]]*Tabela2[[#This Row],[FAVC_consumo_frequente_de_alimentos_mt_caloricos]])</f>
        <v>1</v>
      </c>
      <c r="U1666" s="1">
        <f>IF(OR(Tabela2[[#This Row],[MTRANS]]="Walking",Tabela2[[#This Row],[MTRANS]]="Bike"),Tabela2[[#This Row],[FAF_atividade_fisica_frequente_em_horas]]+1,M1666)</f>
        <v>1.0898909999999999</v>
      </c>
      <c r="V1666">
        <f>(Tabela2[[#This Row],[SMOKE]]+Tabela2[[#This Row],[CALC_bebe_alcool_frequentemente]])</f>
        <v>0</v>
      </c>
      <c r="W1666" s="8">
        <f>(Tabela2[[#This Row],[Weight]]/(Tabela2[[#This Row],[Height]] ^2))</f>
        <v>36.678599802531316</v>
      </c>
    </row>
    <row r="1667" spans="1:23" x14ac:dyDescent="0.25">
      <c r="A1667" t="s">
        <v>15</v>
      </c>
      <c r="B1667" s="7">
        <v>20.101026000000001</v>
      </c>
      <c r="C1667" s="4">
        <v>1.6191279999999999</v>
      </c>
      <c r="D1667" s="7">
        <v>104.30371100000001</v>
      </c>
      <c r="E1667">
        <v>1</v>
      </c>
      <c r="F1667">
        <v>1</v>
      </c>
      <c r="G1667" s="2">
        <v>2.870895</v>
      </c>
      <c r="H1667" s="2">
        <v>1.6275550000000001</v>
      </c>
      <c r="I1667">
        <v>1</v>
      </c>
      <c r="J1667">
        <v>0</v>
      </c>
      <c r="K1667" s="2">
        <v>1.3757280000000001</v>
      </c>
      <c r="L1667">
        <v>0</v>
      </c>
      <c r="M1667" s="7">
        <v>0.21018100000000001</v>
      </c>
      <c r="N1667" s="7">
        <v>1.163117</v>
      </c>
      <c r="O1667">
        <v>0</v>
      </c>
      <c r="P1667" t="s">
        <v>14</v>
      </c>
      <c r="Q1667">
        <v>5</v>
      </c>
      <c r="R1667" s="8">
        <f>(Tabela2[[#This Row],[FAF_atividade_fisica_frequente_em_horas]]+ 0.1)</f>
        <v>0.31018100000000004</v>
      </c>
      <c r="S1667" s="1">
        <f>(Tabela2[[#This Row],[TUE_tempo_uso_aparelhos_em_horas]]/Tabela2[[#This Row],[FAF_Var]])</f>
        <v>3.7498009226870757</v>
      </c>
      <c r="T1667">
        <f>(Tabela2[[#This Row],[CAEC_lanche_entre_refeicoes]]*Tabela2[[#This Row],[FAVC_consumo_frequente_de_alimentos_mt_caloricos]])</f>
        <v>1</v>
      </c>
      <c r="U1667" s="1">
        <f>IF(OR(Tabela2[[#This Row],[MTRANS]]="Walking",Tabela2[[#This Row],[MTRANS]]="Bike"),Tabela2[[#This Row],[FAF_atividade_fisica_frequente_em_horas]]+1,M1667)</f>
        <v>0.21018100000000001</v>
      </c>
      <c r="V1667">
        <f>(Tabela2[[#This Row],[SMOKE]]+Tabela2[[#This Row],[CALC_bebe_alcool_frequentemente]])</f>
        <v>0</v>
      </c>
      <c r="W1667" s="8">
        <f>(Tabela2[[#This Row],[Weight]]/(Tabela2[[#This Row],[Height]] ^2))</f>
        <v>39.786651874208843</v>
      </c>
    </row>
    <row r="1668" spans="1:23" x14ac:dyDescent="0.25">
      <c r="A1668" t="s">
        <v>15</v>
      </c>
      <c r="B1668" s="7">
        <v>22.789401999999999</v>
      </c>
      <c r="C1668" s="4">
        <v>1.6418699999999999</v>
      </c>
      <c r="D1668" s="7">
        <v>104.270062</v>
      </c>
      <c r="E1668">
        <v>1</v>
      </c>
      <c r="F1668">
        <v>1</v>
      </c>
      <c r="G1668" s="2">
        <v>2.8698329999999999</v>
      </c>
      <c r="H1668" s="2">
        <v>1.5691759999999999</v>
      </c>
      <c r="I1668">
        <v>1</v>
      </c>
      <c r="J1668">
        <v>0</v>
      </c>
      <c r="K1668" s="2">
        <v>1.533682</v>
      </c>
      <c r="L1668">
        <v>0</v>
      </c>
      <c r="M1668" s="7">
        <v>0.16794300000000001</v>
      </c>
      <c r="N1668" s="7">
        <v>1.3682620000000001</v>
      </c>
      <c r="O1668">
        <v>0</v>
      </c>
      <c r="P1668" t="s">
        <v>14</v>
      </c>
      <c r="Q1668">
        <v>5</v>
      </c>
      <c r="R1668" s="8">
        <f>(Tabela2[[#This Row],[FAF_atividade_fisica_frequente_em_horas]]+ 0.1)</f>
        <v>0.26794300000000004</v>
      </c>
      <c r="S1668" s="1">
        <f>(Tabela2[[#This Row],[TUE_tempo_uso_aparelhos_em_horas]]/Tabela2[[#This Row],[FAF_Var]])</f>
        <v>5.1065413166233116</v>
      </c>
      <c r="T1668">
        <f>(Tabela2[[#This Row],[CAEC_lanche_entre_refeicoes]]*Tabela2[[#This Row],[FAVC_consumo_frequente_de_alimentos_mt_caloricos]])</f>
        <v>1</v>
      </c>
      <c r="U1668" s="1">
        <f>IF(OR(Tabela2[[#This Row],[MTRANS]]="Walking",Tabela2[[#This Row],[MTRANS]]="Bike"),Tabela2[[#This Row],[FAF_atividade_fisica_frequente_em_horas]]+1,M1668)</f>
        <v>0.16794300000000001</v>
      </c>
      <c r="V1668">
        <f>(Tabela2[[#This Row],[SMOKE]]+Tabela2[[#This Row],[CALC_bebe_alcool_frequentemente]])</f>
        <v>0</v>
      </c>
      <c r="W1668" s="8">
        <f>(Tabela2[[#This Row],[Weight]]/(Tabela2[[#This Row],[Height]] ^2))</f>
        <v>38.679610901191658</v>
      </c>
    </row>
    <row r="1669" spans="1:23" x14ac:dyDescent="0.25">
      <c r="A1669" t="s">
        <v>15</v>
      </c>
      <c r="B1669" s="7">
        <v>28.404332</v>
      </c>
      <c r="C1669" s="4">
        <v>1.7873790000000001</v>
      </c>
      <c r="D1669" s="7">
        <v>112.173731</v>
      </c>
      <c r="E1669">
        <v>1</v>
      </c>
      <c r="F1669">
        <v>1</v>
      </c>
      <c r="G1669" s="2">
        <v>1.8782509999999999</v>
      </c>
      <c r="H1669" s="2">
        <v>3</v>
      </c>
      <c r="I1669">
        <v>1</v>
      </c>
      <c r="J1669">
        <v>0</v>
      </c>
      <c r="K1669" s="2">
        <v>2.0229330000000001</v>
      </c>
      <c r="L1669">
        <v>0</v>
      </c>
      <c r="M1669" s="7">
        <v>0</v>
      </c>
      <c r="N1669" s="7">
        <v>0.32544499999999998</v>
      </c>
      <c r="O1669">
        <v>1</v>
      </c>
      <c r="P1669" t="s">
        <v>17</v>
      </c>
      <c r="Q1669">
        <v>5</v>
      </c>
      <c r="R1669" s="8">
        <f>(Tabela2[[#This Row],[FAF_atividade_fisica_frequente_em_horas]]+ 0.1)</f>
        <v>0.1</v>
      </c>
      <c r="S1669" s="1">
        <f>(Tabela2[[#This Row],[TUE_tempo_uso_aparelhos_em_horas]]/Tabela2[[#This Row],[FAF_Var]])</f>
        <v>3.2544499999999998</v>
      </c>
      <c r="T1669">
        <f>(Tabela2[[#This Row],[CAEC_lanche_entre_refeicoes]]*Tabela2[[#This Row],[FAVC_consumo_frequente_de_alimentos_mt_caloricos]])</f>
        <v>1</v>
      </c>
      <c r="U1669" s="1">
        <f>IF(OR(Tabela2[[#This Row],[MTRANS]]="Walking",Tabela2[[#This Row],[MTRANS]]="Bike"),Tabela2[[#This Row],[FAF_atividade_fisica_frequente_em_horas]]+1,M1669)</f>
        <v>0</v>
      </c>
      <c r="V1669">
        <f>(Tabela2[[#This Row],[SMOKE]]+Tabela2[[#This Row],[CALC_bebe_alcool_frequentemente]])</f>
        <v>1</v>
      </c>
      <c r="W1669" s="8">
        <f>(Tabela2[[#This Row],[Weight]]/(Tabela2[[#This Row],[Height]] ^2))</f>
        <v>35.112185558872312</v>
      </c>
    </row>
    <row r="1670" spans="1:23" x14ac:dyDescent="0.25">
      <c r="A1670" t="s">
        <v>15</v>
      </c>
      <c r="B1670" s="7">
        <v>30.003357999999999</v>
      </c>
      <c r="C1670" s="4">
        <v>1.7583549999999999</v>
      </c>
      <c r="D1670" s="7">
        <v>112.00710100000001</v>
      </c>
      <c r="E1670">
        <v>1</v>
      </c>
      <c r="F1670">
        <v>1</v>
      </c>
      <c r="G1670" s="2">
        <v>1.7508090000000001</v>
      </c>
      <c r="H1670" s="2">
        <v>3</v>
      </c>
      <c r="I1670">
        <v>1</v>
      </c>
      <c r="J1670">
        <v>0</v>
      </c>
      <c r="K1670" s="2">
        <v>2.0028709999999998</v>
      </c>
      <c r="L1670">
        <v>0</v>
      </c>
      <c r="M1670" s="7">
        <v>0</v>
      </c>
      <c r="N1670" s="7">
        <v>0.114457</v>
      </c>
      <c r="O1670">
        <v>1</v>
      </c>
      <c r="P1670" t="s">
        <v>17</v>
      </c>
      <c r="Q1670">
        <v>5</v>
      </c>
      <c r="R1670" s="8">
        <f>(Tabela2[[#This Row],[FAF_atividade_fisica_frequente_em_horas]]+ 0.1)</f>
        <v>0.1</v>
      </c>
      <c r="S1670" s="1">
        <f>(Tabela2[[#This Row],[TUE_tempo_uso_aparelhos_em_horas]]/Tabela2[[#This Row],[FAF_Var]])</f>
        <v>1.1445699999999999</v>
      </c>
      <c r="T1670">
        <f>(Tabela2[[#This Row],[CAEC_lanche_entre_refeicoes]]*Tabela2[[#This Row],[FAVC_consumo_frequente_de_alimentos_mt_caloricos]])</f>
        <v>1</v>
      </c>
      <c r="U1670" s="1">
        <f>IF(OR(Tabela2[[#This Row],[MTRANS]]="Walking",Tabela2[[#This Row],[MTRANS]]="Bike"),Tabela2[[#This Row],[FAF_atividade_fisica_frequente_em_horas]]+1,M1670)</f>
        <v>0</v>
      </c>
      <c r="V1670">
        <f>(Tabela2[[#This Row],[SMOKE]]+Tabela2[[#This Row],[CALC_bebe_alcool_frequentemente]])</f>
        <v>1</v>
      </c>
      <c r="W1670" s="8">
        <f>(Tabela2[[#This Row],[Weight]]/(Tabela2[[#This Row],[Height]] ^2))</f>
        <v>36.227005365666059</v>
      </c>
    </row>
    <row r="1671" spans="1:23" x14ac:dyDescent="0.25">
      <c r="A1671" t="s">
        <v>15</v>
      </c>
      <c r="B1671" s="7">
        <v>25.136116000000001</v>
      </c>
      <c r="C1671" s="4">
        <v>1.76414</v>
      </c>
      <c r="D1671" s="7">
        <v>113.089716</v>
      </c>
      <c r="E1671">
        <v>1</v>
      </c>
      <c r="F1671">
        <v>1</v>
      </c>
      <c r="G1671" s="2">
        <v>1.1688559999999999</v>
      </c>
      <c r="H1671" s="2">
        <v>3</v>
      </c>
      <c r="I1671">
        <v>1</v>
      </c>
      <c r="J1671">
        <v>0</v>
      </c>
      <c r="K1671" s="2">
        <v>2.0132050000000001</v>
      </c>
      <c r="L1671">
        <v>0</v>
      </c>
      <c r="M1671" s="7">
        <v>1.2462230000000001</v>
      </c>
      <c r="N1671" s="7">
        <v>1.5900000000000001E-3</v>
      </c>
      <c r="O1671">
        <v>1</v>
      </c>
      <c r="P1671" t="s">
        <v>14</v>
      </c>
      <c r="Q1671">
        <v>5</v>
      </c>
      <c r="R1671" s="8">
        <f>(Tabela2[[#This Row],[FAF_atividade_fisica_frequente_em_horas]]+ 0.1)</f>
        <v>1.3462230000000002</v>
      </c>
      <c r="S1671" s="1">
        <f>(Tabela2[[#This Row],[TUE_tempo_uso_aparelhos_em_horas]]/Tabela2[[#This Row],[FAF_Var]])</f>
        <v>1.1810821832638424E-3</v>
      </c>
      <c r="T1671">
        <f>(Tabela2[[#This Row],[CAEC_lanche_entre_refeicoes]]*Tabela2[[#This Row],[FAVC_consumo_frequente_de_alimentos_mt_caloricos]])</f>
        <v>1</v>
      </c>
      <c r="U1671" s="1">
        <f>IF(OR(Tabela2[[#This Row],[MTRANS]]="Walking",Tabela2[[#This Row],[MTRANS]]="Bike"),Tabela2[[#This Row],[FAF_atividade_fisica_frequente_em_horas]]+1,M1671)</f>
        <v>1.2462230000000001</v>
      </c>
      <c r="V1671">
        <f>(Tabela2[[#This Row],[SMOKE]]+Tabela2[[#This Row],[CALC_bebe_alcool_frequentemente]])</f>
        <v>1</v>
      </c>
      <c r="W1671" s="8">
        <f>(Tabela2[[#This Row],[Weight]]/(Tabela2[[#This Row],[Height]] ^2))</f>
        <v>36.337665179437941</v>
      </c>
    </row>
    <row r="1672" spans="1:23" x14ac:dyDescent="0.25">
      <c r="A1672" t="s">
        <v>15</v>
      </c>
      <c r="B1672" s="7">
        <v>25.139465999999999</v>
      </c>
      <c r="C1672" s="4">
        <v>1.7671859999999999</v>
      </c>
      <c r="D1672" s="7">
        <v>112.226032</v>
      </c>
      <c r="E1672">
        <v>1</v>
      </c>
      <c r="F1672">
        <v>1</v>
      </c>
      <c r="G1672" s="2">
        <v>1.4436739999999999</v>
      </c>
      <c r="H1672" s="2">
        <v>3</v>
      </c>
      <c r="I1672">
        <v>1</v>
      </c>
      <c r="J1672">
        <v>0</v>
      </c>
      <c r="K1672" s="2">
        <v>2.0021939999999998</v>
      </c>
      <c r="L1672">
        <v>0</v>
      </c>
      <c r="M1672" s="7">
        <v>1.3861509999999999</v>
      </c>
      <c r="N1672" s="7">
        <v>1.3370000000000001E-3</v>
      </c>
      <c r="O1672">
        <v>1</v>
      </c>
      <c r="P1672" t="s">
        <v>14</v>
      </c>
      <c r="Q1672">
        <v>5</v>
      </c>
      <c r="R1672" s="8">
        <f>(Tabela2[[#This Row],[FAF_atividade_fisica_frequente_em_horas]]+ 0.1)</f>
        <v>1.486151</v>
      </c>
      <c r="S1672" s="1">
        <f>(Tabela2[[#This Row],[TUE_tempo_uso_aparelhos_em_horas]]/Tabela2[[#This Row],[FAF_Var]])</f>
        <v>8.9963940407132255E-4</v>
      </c>
      <c r="T1672">
        <f>(Tabela2[[#This Row],[CAEC_lanche_entre_refeicoes]]*Tabela2[[#This Row],[FAVC_consumo_frequente_de_alimentos_mt_caloricos]])</f>
        <v>1</v>
      </c>
      <c r="U1672" s="1">
        <f>IF(OR(Tabela2[[#This Row],[MTRANS]]="Walking",Tabela2[[#This Row],[MTRANS]]="Bike"),Tabela2[[#This Row],[FAF_atividade_fisica_frequente_em_horas]]+1,M1672)</f>
        <v>1.3861509999999999</v>
      </c>
      <c r="V1672">
        <f>(Tabela2[[#This Row],[SMOKE]]+Tabela2[[#This Row],[CALC_bebe_alcool_frequentemente]])</f>
        <v>1</v>
      </c>
      <c r="W1672" s="8">
        <f>(Tabela2[[#This Row],[Weight]]/(Tabela2[[#This Row],[Height]] ^2))</f>
        <v>35.935946094973623</v>
      </c>
    </row>
    <row r="1673" spans="1:23" x14ac:dyDescent="0.25">
      <c r="A1673" t="s">
        <v>15</v>
      </c>
      <c r="B1673" s="7">
        <v>31.743821000000001</v>
      </c>
      <c r="C1673" s="4">
        <v>1.6778200000000001</v>
      </c>
      <c r="D1673" s="7">
        <v>102.022057</v>
      </c>
      <c r="E1673">
        <v>1</v>
      </c>
      <c r="F1673">
        <v>1</v>
      </c>
      <c r="G1673" s="2">
        <v>2.8260360000000002</v>
      </c>
      <c r="H1673" s="2">
        <v>2.371658</v>
      </c>
      <c r="I1673">
        <v>1</v>
      </c>
      <c r="J1673">
        <v>0</v>
      </c>
      <c r="K1673" s="2">
        <v>1</v>
      </c>
      <c r="L1673">
        <v>0</v>
      </c>
      <c r="M1673" s="7">
        <v>1.9964869999999999</v>
      </c>
      <c r="N1673" s="7">
        <v>0</v>
      </c>
      <c r="O1673">
        <v>0</v>
      </c>
      <c r="P1673" t="s">
        <v>14</v>
      </c>
      <c r="Q1673">
        <v>5</v>
      </c>
      <c r="R1673" s="8">
        <f>(Tabela2[[#This Row],[FAF_atividade_fisica_frequente_em_horas]]+ 0.1)</f>
        <v>2.0964869999999998</v>
      </c>
      <c r="S1673" s="1">
        <f>(Tabela2[[#This Row],[TUE_tempo_uso_aparelhos_em_horas]]/Tabela2[[#This Row],[FAF_Var]])</f>
        <v>0</v>
      </c>
      <c r="T1673">
        <f>(Tabela2[[#This Row],[CAEC_lanche_entre_refeicoes]]*Tabela2[[#This Row],[FAVC_consumo_frequente_de_alimentos_mt_caloricos]])</f>
        <v>1</v>
      </c>
      <c r="U1673" s="1">
        <f>IF(OR(Tabela2[[#This Row],[MTRANS]]="Walking",Tabela2[[#This Row],[MTRANS]]="Bike"),Tabela2[[#This Row],[FAF_atividade_fisica_frequente_em_horas]]+1,M1673)</f>
        <v>1.9964869999999999</v>
      </c>
      <c r="V1673">
        <f>(Tabela2[[#This Row],[SMOKE]]+Tabela2[[#This Row],[CALC_bebe_alcool_frequentemente]])</f>
        <v>0</v>
      </c>
      <c r="W1673" s="8">
        <f>(Tabela2[[#This Row],[Weight]]/(Tabela2[[#This Row],[Height]] ^2))</f>
        <v>36.241264448997612</v>
      </c>
    </row>
    <row r="1674" spans="1:23" x14ac:dyDescent="0.25">
      <c r="A1674" t="s">
        <v>15</v>
      </c>
      <c r="B1674" s="7">
        <v>30.796261999999999</v>
      </c>
      <c r="C1674" s="4">
        <v>1.6684779999999999</v>
      </c>
      <c r="D1674" s="7">
        <v>100.543983</v>
      </c>
      <c r="E1674">
        <v>1</v>
      </c>
      <c r="F1674">
        <v>1</v>
      </c>
      <c r="G1674" s="2">
        <v>2.9552999999999998</v>
      </c>
      <c r="H1674" s="2">
        <v>2.3782109999999999</v>
      </c>
      <c r="I1674">
        <v>1</v>
      </c>
      <c r="J1674">
        <v>0</v>
      </c>
      <c r="K1674" s="2">
        <v>1</v>
      </c>
      <c r="L1674">
        <v>0</v>
      </c>
      <c r="M1674" s="7">
        <v>1.738267</v>
      </c>
      <c r="N1674" s="7">
        <v>0.39453300000000002</v>
      </c>
      <c r="O1674">
        <v>0</v>
      </c>
      <c r="P1674" t="s">
        <v>14</v>
      </c>
      <c r="Q1674">
        <v>5</v>
      </c>
      <c r="R1674" s="8">
        <f>(Tabela2[[#This Row],[FAF_atividade_fisica_frequente_em_horas]]+ 0.1)</f>
        <v>1.8382670000000001</v>
      </c>
      <c r="S1674" s="1">
        <f>(Tabela2[[#This Row],[TUE_tempo_uso_aparelhos_em_horas]]/Tabela2[[#This Row],[FAF_Var]])</f>
        <v>0.21462225019542863</v>
      </c>
      <c r="T1674">
        <f>(Tabela2[[#This Row],[CAEC_lanche_entre_refeicoes]]*Tabela2[[#This Row],[FAVC_consumo_frequente_de_alimentos_mt_caloricos]])</f>
        <v>1</v>
      </c>
      <c r="U1674" s="1">
        <f>IF(OR(Tabela2[[#This Row],[MTRANS]]="Walking",Tabela2[[#This Row],[MTRANS]]="Bike"),Tabela2[[#This Row],[FAF_atividade_fisica_frequente_em_horas]]+1,M1674)</f>
        <v>1.738267</v>
      </c>
      <c r="V1674">
        <f>(Tabela2[[#This Row],[SMOKE]]+Tabela2[[#This Row],[CALC_bebe_alcool_frequentemente]])</f>
        <v>0</v>
      </c>
      <c r="W1674" s="8">
        <f>(Tabela2[[#This Row],[Weight]]/(Tabela2[[#This Row],[Height]] ^2))</f>
        <v>36.117286686294712</v>
      </c>
    </row>
    <row r="1675" spans="1:23" x14ac:dyDescent="0.25">
      <c r="A1675" t="s">
        <v>15</v>
      </c>
      <c r="B1675" s="7">
        <v>28.393111000000001</v>
      </c>
      <c r="C1675" s="4">
        <v>1.685462</v>
      </c>
      <c r="D1675" s="7">
        <v>99.540121999999997</v>
      </c>
      <c r="E1675">
        <v>1</v>
      </c>
      <c r="F1675">
        <v>1</v>
      </c>
      <c r="G1675" s="2">
        <v>2.774562</v>
      </c>
      <c r="H1675" s="2">
        <v>2.301129</v>
      </c>
      <c r="I1675">
        <v>1</v>
      </c>
      <c r="J1675">
        <v>0</v>
      </c>
      <c r="K1675" s="2">
        <v>1</v>
      </c>
      <c r="L1675">
        <v>0</v>
      </c>
      <c r="M1675" s="7">
        <v>1.6217330000000001</v>
      </c>
      <c r="N1675" s="7">
        <v>0.13831399999999999</v>
      </c>
      <c r="O1675">
        <v>0</v>
      </c>
      <c r="P1675" t="s">
        <v>14</v>
      </c>
      <c r="Q1675">
        <v>5</v>
      </c>
      <c r="R1675" s="8">
        <f>(Tabela2[[#This Row],[FAF_atividade_fisica_frequente_em_horas]]+ 0.1)</f>
        <v>1.7217330000000002</v>
      </c>
      <c r="S1675" s="1">
        <f>(Tabela2[[#This Row],[TUE_tempo_uso_aparelhos_em_horas]]/Tabela2[[#This Row],[FAF_Var]])</f>
        <v>8.0334174927239002E-2</v>
      </c>
      <c r="T1675">
        <f>(Tabela2[[#This Row],[CAEC_lanche_entre_refeicoes]]*Tabela2[[#This Row],[FAVC_consumo_frequente_de_alimentos_mt_caloricos]])</f>
        <v>1</v>
      </c>
      <c r="U1675" s="1">
        <f>IF(OR(Tabela2[[#This Row],[MTRANS]]="Walking",Tabela2[[#This Row],[MTRANS]]="Bike"),Tabela2[[#This Row],[FAF_atividade_fisica_frequente_em_horas]]+1,M1675)</f>
        <v>1.6217330000000001</v>
      </c>
      <c r="V1675">
        <f>(Tabela2[[#This Row],[SMOKE]]+Tabela2[[#This Row],[CALC_bebe_alcool_frequentemente]])</f>
        <v>0</v>
      </c>
      <c r="W1675" s="8">
        <f>(Tabela2[[#This Row],[Weight]]/(Tabela2[[#This Row],[Height]] ^2))</f>
        <v>35.039688586934872</v>
      </c>
    </row>
    <row r="1676" spans="1:23" x14ac:dyDescent="0.25">
      <c r="A1676" t="s">
        <v>15</v>
      </c>
      <c r="B1676" s="7">
        <v>27.939820000000001</v>
      </c>
      <c r="C1676" s="4">
        <v>1.694642</v>
      </c>
      <c r="D1676" s="7">
        <v>99.709328999999997</v>
      </c>
      <c r="E1676">
        <v>1</v>
      </c>
      <c r="F1676">
        <v>1</v>
      </c>
      <c r="G1676" s="2">
        <v>2.772027</v>
      </c>
      <c r="H1676" s="2">
        <v>2.4544320000000002</v>
      </c>
      <c r="I1676">
        <v>1</v>
      </c>
      <c r="J1676">
        <v>0</v>
      </c>
      <c r="K1676" s="2">
        <v>1</v>
      </c>
      <c r="L1676">
        <v>0</v>
      </c>
      <c r="M1676" s="7">
        <v>0.85855400000000004</v>
      </c>
      <c r="N1676" s="7">
        <v>5.1268000000000001E-2</v>
      </c>
      <c r="O1676">
        <v>0</v>
      </c>
      <c r="P1676" t="s">
        <v>14</v>
      </c>
      <c r="Q1676">
        <v>5</v>
      </c>
      <c r="R1676" s="8">
        <f>(Tabela2[[#This Row],[FAF_atividade_fisica_frequente_em_horas]]+ 0.1)</f>
        <v>0.95855400000000002</v>
      </c>
      <c r="S1676" s="1">
        <f>(Tabela2[[#This Row],[TUE_tempo_uso_aparelhos_em_horas]]/Tabela2[[#This Row],[FAF_Var]])</f>
        <v>5.3484728038274316E-2</v>
      </c>
      <c r="T1676">
        <f>(Tabela2[[#This Row],[CAEC_lanche_entre_refeicoes]]*Tabela2[[#This Row],[FAVC_consumo_frequente_de_alimentos_mt_caloricos]])</f>
        <v>1</v>
      </c>
      <c r="U1676" s="1">
        <f>IF(OR(Tabela2[[#This Row],[MTRANS]]="Walking",Tabela2[[#This Row],[MTRANS]]="Bike"),Tabela2[[#This Row],[FAF_atividade_fisica_frequente_em_horas]]+1,M1676)</f>
        <v>0.85855400000000004</v>
      </c>
      <c r="V1676">
        <f>(Tabela2[[#This Row],[SMOKE]]+Tabela2[[#This Row],[CALC_bebe_alcool_frequentemente]])</f>
        <v>0</v>
      </c>
      <c r="W1676" s="8">
        <f>(Tabela2[[#This Row],[Weight]]/(Tabela2[[#This Row],[Height]] ^2))</f>
        <v>34.720011643015503</v>
      </c>
    </row>
    <row r="1677" spans="1:23" x14ac:dyDescent="0.25">
      <c r="A1677" t="s">
        <v>15</v>
      </c>
      <c r="B1677" s="7">
        <v>31.034092000000001</v>
      </c>
      <c r="C1677" s="4">
        <v>1.886109</v>
      </c>
      <c r="D1677" s="7">
        <v>129.34947099999999</v>
      </c>
      <c r="E1677">
        <v>1</v>
      </c>
      <c r="F1677">
        <v>1</v>
      </c>
      <c r="G1677" s="2">
        <v>2.4996260000000001</v>
      </c>
      <c r="H1677" s="2">
        <v>3</v>
      </c>
      <c r="I1677">
        <v>1</v>
      </c>
      <c r="J1677">
        <v>1</v>
      </c>
      <c r="K1677" s="2">
        <v>1.1253379999999999</v>
      </c>
      <c r="L1677">
        <v>0</v>
      </c>
      <c r="M1677" s="7">
        <v>0.94521999999999995</v>
      </c>
      <c r="N1677" s="7">
        <v>1.022505</v>
      </c>
      <c r="O1677">
        <v>1</v>
      </c>
      <c r="P1677" t="s">
        <v>14</v>
      </c>
      <c r="Q1677">
        <v>5</v>
      </c>
      <c r="R1677" s="8">
        <f>(Tabela2[[#This Row],[FAF_atividade_fisica_frequente_em_horas]]+ 0.1)</f>
        <v>1.04522</v>
      </c>
      <c r="S1677" s="1">
        <f>(Tabela2[[#This Row],[TUE_tempo_uso_aparelhos_em_horas]]/Tabela2[[#This Row],[FAF_Var]])</f>
        <v>0.9782677331088192</v>
      </c>
      <c r="T1677">
        <f>(Tabela2[[#This Row],[CAEC_lanche_entre_refeicoes]]*Tabela2[[#This Row],[FAVC_consumo_frequente_de_alimentos_mt_caloricos]])</f>
        <v>1</v>
      </c>
      <c r="U1677" s="1">
        <f>IF(OR(Tabela2[[#This Row],[MTRANS]]="Walking",Tabela2[[#This Row],[MTRANS]]="Bike"),Tabela2[[#This Row],[FAF_atividade_fisica_frequente_em_horas]]+1,M1677)</f>
        <v>0.94521999999999995</v>
      </c>
      <c r="V1677">
        <f>(Tabela2[[#This Row],[SMOKE]]+Tabela2[[#This Row],[CALC_bebe_alcool_frequentemente]])</f>
        <v>2</v>
      </c>
      <c r="W1677" s="8">
        <f>(Tabela2[[#This Row],[Weight]]/(Tabela2[[#This Row],[Height]] ^2))</f>
        <v>36.36060343576947</v>
      </c>
    </row>
    <row r="1678" spans="1:23" x14ac:dyDescent="0.25">
      <c r="A1678" t="s">
        <v>15</v>
      </c>
      <c r="B1678" s="7">
        <v>30.684346999999999</v>
      </c>
      <c r="C1678" s="4">
        <v>1.915</v>
      </c>
      <c r="D1678" s="7">
        <v>129.96642800000001</v>
      </c>
      <c r="E1678">
        <v>1</v>
      </c>
      <c r="F1678">
        <v>1</v>
      </c>
      <c r="G1678" s="2">
        <v>2.108638</v>
      </c>
      <c r="H1678" s="2">
        <v>3</v>
      </c>
      <c r="I1678">
        <v>1</v>
      </c>
      <c r="J1678">
        <v>1</v>
      </c>
      <c r="K1678" s="2">
        <v>1.0148759999999999</v>
      </c>
      <c r="L1678">
        <v>0</v>
      </c>
      <c r="M1678" s="7">
        <v>0.98752099999999998</v>
      </c>
      <c r="N1678" s="7">
        <v>4.7473000000000001E-2</v>
      </c>
      <c r="O1678">
        <v>1</v>
      </c>
      <c r="P1678" t="s">
        <v>14</v>
      </c>
      <c r="Q1678">
        <v>5</v>
      </c>
      <c r="R1678" s="8">
        <f>(Tabela2[[#This Row],[FAF_atividade_fisica_frequente_em_horas]]+ 0.1)</f>
        <v>1.087521</v>
      </c>
      <c r="S1678" s="1">
        <f>(Tabela2[[#This Row],[TUE_tempo_uso_aparelhos_em_horas]]/Tabela2[[#This Row],[FAF_Var]])</f>
        <v>4.3652490388691345E-2</v>
      </c>
      <c r="T1678">
        <f>(Tabela2[[#This Row],[CAEC_lanche_entre_refeicoes]]*Tabela2[[#This Row],[FAVC_consumo_frequente_de_alimentos_mt_caloricos]])</f>
        <v>1</v>
      </c>
      <c r="U1678" s="1">
        <f>IF(OR(Tabela2[[#This Row],[MTRANS]]="Walking",Tabela2[[#This Row],[MTRANS]]="Bike"),Tabela2[[#This Row],[FAF_atividade_fisica_frequente_em_horas]]+1,M1678)</f>
        <v>0.98752099999999998</v>
      </c>
      <c r="V1678">
        <f>(Tabela2[[#This Row],[SMOKE]]+Tabela2[[#This Row],[CALC_bebe_alcool_frequentemente]])</f>
        <v>2</v>
      </c>
      <c r="W1678" s="8">
        <f>(Tabela2[[#This Row],[Weight]]/(Tabela2[[#This Row],[Height]] ^2))</f>
        <v>35.439992910170496</v>
      </c>
    </row>
    <row r="1679" spans="1:23" x14ac:dyDescent="0.25">
      <c r="A1679" t="s">
        <v>15</v>
      </c>
      <c r="B1679" s="7">
        <v>30.108215999999999</v>
      </c>
      <c r="C1679" s="4">
        <v>1.8419080000000001</v>
      </c>
      <c r="D1679" s="7">
        <v>124.070717</v>
      </c>
      <c r="E1679">
        <v>1</v>
      </c>
      <c r="F1679">
        <v>1</v>
      </c>
      <c r="G1679" s="2">
        <v>2.4675479999999999</v>
      </c>
      <c r="H1679" s="2">
        <v>3</v>
      </c>
      <c r="I1679">
        <v>1</v>
      </c>
      <c r="J1679">
        <v>0</v>
      </c>
      <c r="K1679" s="2">
        <v>2.6602899999999998</v>
      </c>
      <c r="L1679">
        <v>0</v>
      </c>
      <c r="M1679" s="7">
        <v>0.99442200000000003</v>
      </c>
      <c r="N1679" s="7">
        <v>0.310394</v>
      </c>
      <c r="O1679">
        <v>1</v>
      </c>
      <c r="P1679" t="s">
        <v>14</v>
      </c>
      <c r="Q1679">
        <v>5</v>
      </c>
      <c r="R1679" s="8">
        <f>(Tabela2[[#This Row],[FAF_atividade_fisica_frequente_em_horas]]+ 0.1)</f>
        <v>1.094422</v>
      </c>
      <c r="S1679" s="1">
        <f>(Tabela2[[#This Row],[TUE_tempo_uso_aparelhos_em_horas]]/Tabela2[[#This Row],[FAF_Var]])</f>
        <v>0.28361454722218671</v>
      </c>
      <c r="T1679">
        <f>(Tabela2[[#This Row],[CAEC_lanche_entre_refeicoes]]*Tabela2[[#This Row],[FAVC_consumo_frequente_de_alimentos_mt_caloricos]])</f>
        <v>1</v>
      </c>
      <c r="U1679" s="1">
        <f>IF(OR(Tabela2[[#This Row],[MTRANS]]="Walking",Tabela2[[#This Row],[MTRANS]]="Bike"),Tabela2[[#This Row],[FAF_atividade_fisica_frequente_em_horas]]+1,M1679)</f>
        <v>0.99442200000000003</v>
      </c>
      <c r="V1679">
        <f>(Tabela2[[#This Row],[SMOKE]]+Tabela2[[#This Row],[CALC_bebe_alcool_frequentemente]])</f>
        <v>1</v>
      </c>
      <c r="W1679" s="8">
        <f>(Tabela2[[#This Row],[Weight]]/(Tabela2[[#This Row],[Height]] ^2))</f>
        <v>36.570712665671614</v>
      </c>
    </row>
    <row r="1680" spans="1:23" x14ac:dyDescent="0.25">
      <c r="A1680" t="s">
        <v>15</v>
      </c>
      <c r="B1680" s="7">
        <v>31.347497000000001</v>
      </c>
      <c r="C1680" s="4">
        <v>1.8681270000000001</v>
      </c>
      <c r="D1680" s="7">
        <v>123.172214</v>
      </c>
      <c r="E1680">
        <v>1</v>
      </c>
      <c r="F1680">
        <v>1</v>
      </c>
      <c r="G1680" s="2">
        <v>2.5859420000000002</v>
      </c>
      <c r="H1680" s="2">
        <v>3</v>
      </c>
      <c r="I1680">
        <v>1</v>
      </c>
      <c r="J1680">
        <v>0</v>
      </c>
      <c r="K1680" s="2">
        <v>2.3025060000000002</v>
      </c>
      <c r="L1680">
        <v>0</v>
      </c>
      <c r="M1680" s="7">
        <v>0.59786300000000003</v>
      </c>
      <c r="N1680" s="7">
        <v>0.111925</v>
      </c>
      <c r="O1680">
        <v>1</v>
      </c>
      <c r="P1680" t="s">
        <v>14</v>
      </c>
      <c r="Q1680">
        <v>5</v>
      </c>
      <c r="R1680" s="8">
        <f>(Tabela2[[#This Row],[FAF_atividade_fisica_frequente_em_horas]]+ 0.1)</f>
        <v>0.69786300000000001</v>
      </c>
      <c r="S1680" s="1">
        <f>(Tabela2[[#This Row],[TUE_tempo_uso_aparelhos_em_horas]]/Tabela2[[#This Row],[FAF_Var]])</f>
        <v>0.16038248194846266</v>
      </c>
      <c r="T1680">
        <f>(Tabela2[[#This Row],[CAEC_lanche_entre_refeicoes]]*Tabela2[[#This Row],[FAVC_consumo_frequente_de_alimentos_mt_caloricos]])</f>
        <v>1</v>
      </c>
      <c r="U1680" s="1">
        <f>IF(OR(Tabela2[[#This Row],[MTRANS]]="Walking",Tabela2[[#This Row],[MTRANS]]="Bike"),Tabela2[[#This Row],[FAF_atividade_fisica_frequente_em_horas]]+1,M1680)</f>
        <v>0.59786300000000003</v>
      </c>
      <c r="V1680">
        <f>(Tabela2[[#This Row],[SMOKE]]+Tabela2[[#This Row],[CALC_bebe_alcool_frequentemente]])</f>
        <v>1</v>
      </c>
      <c r="W1680" s="8">
        <f>(Tabela2[[#This Row],[Weight]]/(Tabela2[[#This Row],[Height]] ^2))</f>
        <v>35.293924570864782</v>
      </c>
    </row>
    <row r="1681" spans="1:23" x14ac:dyDescent="0.25">
      <c r="A1681" t="s">
        <v>15</v>
      </c>
      <c r="B1681" s="7">
        <v>31.761799</v>
      </c>
      <c r="C1681" s="4">
        <v>1.7516879999999999</v>
      </c>
      <c r="D1681" s="7">
        <v>119.205308</v>
      </c>
      <c r="E1681">
        <v>1</v>
      </c>
      <c r="F1681">
        <v>1</v>
      </c>
      <c r="G1681" s="2">
        <v>2.14961</v>
      </c>
      <c r="H1681" s="2">
        <v>3</v>
      </c>
      <c r="I1681">
        <v>1</v>
      </c>
      <c r="J1681">
        <v>0</v>
      </c>
      <c r="K1681" s="2">
        <v>2.1338759999999999</v>
      </c>
      <c r="L1681">
        <v>0</v>
      </c>
      <c r="M1681" s="7">
        <v>0.39345200000000002</v>
      </c>
      <c r="N1681" s="7">
        <v>0.345887</v>
      </c>
      <c r="O1681">
        <v>1</v>
      </c>
      <c r="P1681" t="s">
        <v>17</v>
      </c>
      <c r="Q1681">
        <v>5</v>
      </c>
      <c r="R1681" s="8">
        <f>(Tabela2[[#This Row],[FAF_atividade_fisica_frequente_em_horas]]+ 0.1)</f>
        <v>0.493452</v>
      </c>
      <c r="S1681" s="1">
        <f>(Tabela2[[#This Row],[TUE_tempo_uso_aparelhos_em_horas]]/Tabela2[[#This Row],[FAF_Var]])</f>
        <v>0.7009536895179268</v>
      </c>
      <c r="T1681">
        <f>(Tabela2[[#This Row],[CAEC_lanche_entre_refeicoes]]*Tabela2[[#This Row],[FAVC_consumo_frequente_de_alimentos_mt_caloricos]])</f>
        <v>1</v>
      </c>
      <c r="U1681" s="1">
        <f>IF(OR(Tabela2[[#This Row],[MTRANS]]="Walking",Tabela2[[#This Row],[MTRANS]]="Bike"),Tabela2[[#This Row],[FAF_atividade_fisica_frequente_em_horas]]+1,M1681)</f>
        <v>0.39345200000000002</v>
      </c>
      <c r="V1681">
        <f>(Tabela2[[#This Row],[SMOKE]]+Tabela2[[#This Row],[CALC_bebe_alcool_frequentemente]])</f>
        <v>1</v>
      </c>
      <c r="W1681" s="8">
        <f>(Tabela2[[#This Row],[Weight]]/(Tabela2[[#This Row],[Height]] ^2))</f>
        <v>38.849200401401625</v>
      </c>
    </row>
    <row r="1682" spans="1:23" x14ac:dyDescent="0.25">
      <c r="A1682" t="s">
        <v>15</v>
      </c>
      <c r="B1682" s="7">
        <v>30.976932000000001</v>
      </c>
      <c r="C1682" s="4">
        <v>1.755333</v>
      </c>
      <c r="D1682" s="7">
        <v>118.237782</v>
      </c>
      <c r="E1682">
        <v>1</v>
      </c>
      <c r="F1682">
        <v>1</v>
      </c>
      <c r="G1682" s="2">
        <v>2.9386160000000001</v>
      </c>
      <c r="H1682" s="2">
        <v>3</v>
      </c>
      <c r="I1682">
        <v>1</v>
      </c>
      <c r="J1682">
        <v>0</v>
      </c>
      <c r="K1682" s="2">
        <v>2.0603899999999999</v>
      </c>
      <c r="L1682">
        <v>0</v>
      </c>
      <c r="M1682" s="7">
        <v>0.371508</v>
      </c>
      <c r="N1682" s="7">
        <v>1.3335589999999999</v>
      </c>
      <c r="O1682">
        <v>1</v>
      </c>
      <c r="P1682" t="s">
        <v>17</v>
      </c>
      <c r="Q1682">
        <v>5</v>
      </c>
      <c r="R1682" s="8">
        <f>(Tabela2[[#This Row],[FAF_atividade_fisica_frequente_em_horas]]+ 0.1)</f>
        <v>0.47150800000000004</v>
      </c>
      <c r="S1682" s="1">
        <f>(Tabela2[[#This Row],[TUE_tempo_uso_aparelhos_em_horas]]/Tabela2[[#This Row],[FAF_Var]])</f>
        <v>2.8282849919831685</v>
      </c>
      <c r="T1682">
        <f>(Tabela2[[#This Row],[CAEC_lanche_entre_refeicoes]]*Tabela2[[#This Row],[FAVC_consumo_frequente_de_alimentos_mt_caloricos]])</f>
        <v>1</v>
      </c>
      <c r="U1682" s="1">
        <f>IF(OR(Tabela2[[#This Row],[MTRANS]]="Walking",Tabela2[[#This Row],[MTRANS]]="Bike"),Tabela2[[#This Row],[FAF_atividade_fisica_frequente_em_horas]]+1,M1682)</f>
        <v>0.371508</v>
      </c>
      <c r="V1682">
        <f>(Tabela2[[#This Row],[SMOKE]]+Tabela2[[#This Row],[CALC_bebe_alcool_frequentemente]])</f>
        <v>1</v>
      </c>
      <c r="W1682" s="8">
        <f>(Tabela2[[#This Row],[Weight]]/(Tabela2[[#This Row],[Height]] ^2))</f>
        <v>38.374014835913087</v>
      </c>
    </row>
    <row r="1683" spans="1:23" x14ac:dyDescent="0.25">
      <c r="A1683" t="s">
        <v>15</v>
      </c>
      <c r="B1683" s="7">
        <v>37.588628</v>
      </c>
      <c r="C1683" s="4">
        <v>1.7542169999999999</v>
      </c>
      <c r="D1683" s="7">
        <v>117.8972</v>
      </c>
      <c r="E1683">
        <v>1</v>
      </c>
      <c r="F1683">
        <v>1</v>
      </c>
      <c r="G1683" s="2">
        <v>2.5351539999999999</v>
      </c>
      <c r="H1683" s="2">
        <v>2.915921</v>
      </c>
      <c r="I1683">
        <v>1</v>
      </c>
      <c r="J1683">
        <v>0</v>
      </c>
      <c r="K1683" s="2">
        <v>1.8924000000000001</v>
      </c>
      <c r="L1683">
        <v>0</v>
      </c>
      <c r="M1683" s="7">
        <v>0.69373200000000002</v>
      </c>
      <c r="N1683" s="7">
        <v>6.7409999999999998E-2</v>
      </c>
      <c r="O1683">
        <v>1</v>
      </c>
      <c r="P1683" t="s">
        <v>17</v>
      </c>
      <c r="Q1683">
        <v>5</v>
      </c>
      <c r="R1683" s="8">
        <f>(Tabela2[[#This Row],[FAF_atividade_fisica_frequente_em_horas]]+ 0.1)</f>
        <v>0.79373199999999999</v>
      </c>
      <c r="S1683" s="1">
        <f>(Tabela2[[#This Row],[TUE_tempo_uso_aparelhos_em_horas]]/Tabela2[[#This Row],[FAF_Var]])</f>
        <v>8.4927910176230761E-2</v>
      </c>
      <c r="T1683">
        <f>(Tabela2[[#This Row],[CAEC_lanche_entre_refeicoes]]*Tabela2[[#This Row],[FAVC_consumo_frequente_de_alimentos_mt_caloricos]])</f>
        <v>1</v>
      </c>
      <c r="U1683" s="1">
        <f>IF(OR(Tabela2[[#This Row],[MTRANS]]="Walking",Tabela2[[#This Row],[MTRANS]]="Bike"),Tabela2[[#This Row],[FAF_atividade_fisica_frequente_em_horas]]+1,M1683)</f>
        <v>0.69373200000000002</v>
      </c>
      <c r="V1683">
        <f>(Tabela2[[#This Row],[SMOKE]]+Tabela2[[#This Row],[CALC_bebe_alcool_frequentemente]])</f>
        <v>1</v>
      </c>
      <c r="W1683" s="8">
        <f>(Tabela2[[#This Row],[Weight]]/(Tabela2[[#This Row],[Height]] ^2))</f>
        <v>38.312179616668693</v>
      </c>
    </row>
    <row r="1684" spans="1:23" x14ac:dyDescent="0.25">
      <c r="A1684" t="s">
        <v>15</v>
      </c>
      <c r="B1684" s="7">
        <v>37.997911999999999</v>
      </c>
      <c r="C1684" s="4">
        <v>1.76071</v>
      </c>
      <c r="D1684" s="7">
        <v>118.66833200000001</v>
      </c>
      <c r="E1684">
        <v>1</v>
      </c>
      <c r="F1684">
        <v>1</v>
      </c>
      <c r="G1684" s="2">
        <v>2.6112220000000002</v>
      </c>
      <c r="H1684" s="2">
        <v>2.992083</v>
      </c>
      <c r="I1684">
        <v>1</v>
      </c>
      <c r="J1684">
        <v>0</v>
      </c>
      <c r="K1684" s="2">
        <v>1.796376</v>
      </c>
      <c r="L1684">
        <v>0</v>
      </c>
      <c r="M1684" s="7">
        <v>0.64195400000000002</v>
      </c>
      <c r="N1684" s="7">
        <v>0.20280999999999999</v>
      </c>
      <c r="O1684">
        <v>1</v>
      </c>
      <c r="P1684" t="s">
        <v>17</v>
      </c>
      <c r="Q1684">
        <v>5</v>
      </c>
      <c r="R1684" s="8">
        <f>(Tabela2[[#This Row],[FAF_atividade_fisica_frequente_em_horas]]+ 0.1)</f>
        <v>0.741954</v>
      </c>
      <c r="S1684" s="1">
        <f>(Tabela2[[#This Row],[TUE_tempo_uso_aparelhos_em_horas]]/Tabela2[[#This Row],[FAF_Var]])</f>
        <v>0.27334578693557821</v>
      </c>
      <c r="T1684">
        <f>(Tabela2[[#This Row],[CAEC_lanche_entre_refeicoes]]*Tabela2[[#This Row],[FAVC_consumo_frequente_de_alimentos_mt_caloricos]])</f>
        <v>1</v>
      </c>
      <c r="U1684" s="1">
        <f>IF(OR(Tabela2[[#This Row],[MTRANS]]="Walking",Tabela2[[#This Row],[MTRANS]]="Bike"),Tabela2[[#This Row],[FAF_atividade_fisica_frequente_em_horas]]+1,M1684)</f>
        <v>0.64195400000000002</v>
      </c>
      <c r="V1684">
        <f>(Tabela2[[#This Row],[SMOKE]]+Tabela2[[#This Row],[CALC_bebe_alcool_frequentemente]])</f>
        <v>1</v>
      </c>
      <c r="W1684" s="8">
        <f>(Tabela2[[#This Row],[Weight]]/(Tabela2[[#This Row],[Height]] ^2))</f>
        <v>38.278875948104705</v>
      </c>
    </row>
    <row r="1685" spans="1:23" x14ac:dyDescent="0.25">
      <c r="A1685" t="s">
        <v>15</v>
      </c>
      <c r="B1685" s="7">
        <v>21.654800000000002</v>
      </c>
      <c r="C1685" s="4">
        <v>1.755938</v>
      </c>
      <c r="D1685" s="7">
        <v>116.31196199999999</v>
      </c>
      <c r="E1685">
        <v>1</v>
      </c>
      <c r="F1685">
        <v>1</v>
      </c>
      <c r="G1685" s="2">
        <v>1.800122</v>
      </c>
      <c r="H1685" s="2">
        <v>3</v>
      </c>
      <c r="I1685">
        <v>1</v>
      </c>
      <c r="J1685">
        <v>0</v>
      </c>
      <c r="K1685" s="2">
        <v>2</v>
      </c>
      <c r="L1685">
        <v>0</v>
      </c>
      <c r="M1685" s="7">
        <v>1.6895249999999999</v>
      </c>
      <c r="N1685" s="7">
        <v>0.76445200000000002</v>
      </c>
      <c r="O1685">
        <v>1</v>
      </c>
      <c r="P1685" t="s">
        <v>14</v>
      </c>
      <c r="Q1685">
        <v>5</v>
      </c>
      <c r="R1685" s="8">
        <f>(Tabela2[[#This Row],[FAF_atividade_fisica_frequente_em_horas]]+ 0.1)</f>
        <v>1.789525</v>
      </c>
      <c r="S1685" s="1">
        <f>(Tabela2[[#This Row],[TUE_tempo_uso_aparelhos_em_horas]]/Tabela2[[#This Row],[FAF_Var]])</f>
        <v>0.42718151464774173</v>
      </c>
      <c r="T1685">
        <f>(Tabela2[[#This Row],[CAEC_lanche_entre_refeicoes]]*Tabela2[[#This Row],[FAVC_consumo_frequente_de_alimentos_mt_caloricos]])</f>
        <v>1</v>
      </c>
      <c r="U1685" s="1">
        <f>IF(OR(Tabela2[[#This Row],[MTRANS]]="Walking",Tabela2[[#This Row],[MTRANS]]="Bike"),Tabela2[[#This Row],[FAF_atividade_fisica_frequente_em_horas]]+1,M1685)</f>
        <v>1.6895249999999999</v>
      </c>
      <c r="V1685">
        <f>(Tabela2[[#This Row],[SMOKE]]+Tabela2[[#This Row],[CALC_bebe_alcool_frequentemente]])</f>
        <v>1</v>
      </c>
      <c r="W1685" s="8">
        <f>(Tabela2[[#This Row],[Weight]]/(Tabela2[[#This Row],[Height]] ^2))</f>
        <v>37.722982902804453</v>
      </c>
    </row>
    <row r="1686" spans="1:23" x14ac:dyDescent="0.25">
      <c r="A1686" t="s">
        <v>15</v>
      </c>
      <c r="B1686" s="7">
        <v>22.829753</v>
      </c>
      <c r="C1686" s="4">
        <v>1.765137</v>
      </c>
      <c r="D1686" s="7">
        <v>116.669906</v>
      </c>
      <c r="E1686">
        <v>1</v>
      </c>
      <c r="F1686">
        <v>1</v>
      </c>
      <c r="G1686" s="2">
        <v>1.4827220000000001</v>
      </c>
      <c r="H1686" s="2">
        <v>3</v>
      </c>
      <c r="I1686">
        <v>1</v>
      </c>
      <c r="J1686">
        <v>0</v>
      </c>
      <c r="K1686" s="2">
        <v>2</v>
      </c>
      <c r="L1686">
        <v>0</v>
      </c>
      <c r="M1686" s="7">
        <v>1.1125039999999999</v>
      </c>
      <c r="N1686" s="7">
        <v>0.69035299999999999</v>
      </c>
      <c r="O1686">
        <v>1</v>
      </c>
      <c r="P1686" t="s">
        <v>14</v>
      </c>
      <c r="Q1686">
        <v>5</v>
      </c>
      <c r="R1686" s="8">
        <f>(Tabela2[[#This Row],[FAF_atividade_fisica_frequente_em_horas]]+ 0.1)</f>
        <v>1.212504</v>
      </c>
      <c r="S1686" s="1">
        <f>(Tabela2[[#This Row],[TUE_tempo_uso_aparelhos_em_horas]]/Tabela2[[#This Row],[FAF_Var]])</f>
        <v>0.56936142066335449</v>
      </c>
      <c r="T1686">
        <f>(Tabela2[[#This Row],[CAEC_lanche_entre_refeicoes]]*Tabela2[[#This Row],[FAVC_consumo_frequente_de_alimentos_mt_caloricos]])</f>
        <v>1</v>
      </c>
      <c r="U1686" s="1">
        <f>IF(OR(Tabela2[[#This Row],[MTRANS]]="Walking",Tabela2[[#This Row],[MTRANS]]="Bike"),Tabela2[[#This Row],[FAF_atividade_fisica_frequente_em_horas]]+1,M1686)</f>
        <v>1.1125039999999999</v>
      </c>
      <c r="V1686">
        <f>(Tabela2[[#This Row],[SMOKE]]+Tabela2[[#This Row],[CALC_bebe_alcool_frequentemente]])</f>
        <v>1</v>
      </c>
      <c r="W1686" s="8">
        <f>(Tabela2[[#This Row],[Weight]]/(Tabela2[[#This Row],[Height]] ^2))</f>
        <v>37.445704942601026</v>
      </c>
    </row>
    <row r="1687" spans="1:23" x14ac:dyDescent="0.25">
      <c r="A1687" t="s">
        <v>15</v>
      </c>
      <c r="B1687" s="7">
        <v>25.015173000000001</v>
      </c>
      <c r="C1687" s="4">
        <v>1.7882389999999999</v>
      </c>
      <c r="D1687" s="7">
        <v>115.382519</v>
      </c>
      <c r="E1687">
        <v>1</v>
      </c>
      <c r="F1687">
        <v>1</v>
      </c>
      <c r="G1687" s="2">
        <v>1.7356640000000001</v>
      </c>
      <c r="H1687" s="2">
        <v>3</v>
      </c>
      <c r="I1687">
        <v>1</v>
      </c>
      <c r="J1687">
        <v>0</v>
      </c>
      <c r="K1687" s="2">
        <v>2.0415359999999998</v>
      </c>
      <c r="L1687">
        <v>0</v>
      </c>
      <c r="M1687" s="7">
        <v>1.392406</v>
      </c>
      <c r="N1687" s="7">
        <v>0.39173999999999998</v>
      </c>
      <c r="O1687">
        <v>1</v>
      </c>
      <c r="P1687" t="s">
        <v>14</v>
      </c>
      <c r="Q1687">
        <v>5</v>
      </c>
      <c r="R1687" s="8">
        <f>(Tabela2[[#This Row],[FAF_atividade_fisica_frequente_em_horas]]+ 0.1)</f>
        <v>1.4924060000000001</v>
      </c>
      <c r="S1687" s="1">
        <f>(Tabela2[[#This Row],[TUE_tempo_uso_aparelhos_em_horas]]/Tabela2[[#This Row],[FAF_Var]])</f>
        <v>0.2624888937728741</v>
      </c>
      <c r="T1687">
        <f>(Tabela2[[#This Row],[CAEC_lanche_entre_refeicoes]]*Tabela2[[#This Row],[FAVC_consumo_frequente_de_alimentos_mt_caloricos]])</f>
        <v>1</v>
      </c>
      <c r="U1687" s="1">
        <f>IF(OR(Tabela2[[#This Row],[MTRANS]]="Walking",Tabela2[[#This Row],[MTRANS]]="Bike"),Tabela2[[#This Row],[FAF_atividade_fisica_frequente_em_horas]]+1,M1687)</f>
        <v>1.392406</v>
      </c>
      <c r="V1687">
        <f>(Tabela2[[#This Row],[SMOKE]]+Tabela2[[#This Row],[CALC_bebe_alcool_frequentemente]])</f>
        <v>1</v>
      </c>
      <c r="W1687" s="8">
        <f>(Tabela2[[#This Row],[Weight]]/(Tabela2[[#This Row],[Height]] ^2))</f>
        <v>36.081857884899101</v>
      </c>
    </row>
    <row r="1688" spans="1:23" x14ac:dyDescent="0.25">
      <c r="A1688" t="s">
        <v>15</v>
      </c>
      <c r="B1688" s="7">
        <v>23.812795000000001</v>
      </c>
      <c r="C1688" s="4">
        <v>1.7671209999999999</v>
      </c>
      <c r="D1688" s="7">
        <v>116.164351</v>
      </c>
      <c r="E1688">
        <v>1</v>
      </c>
      <c r="F1688">
        <v>1</v>
      </c>
      <c r="G1688" s="2">
        <v>1.6556839999999999</v>
      </c>
      <c r="H1688" s="2">
        <v>3</v>
      </c>
      <c r="I1688">
        <v>1</v>
      </c>
      <c r="J1688">
        <v>0</v>
      </c>
      <c r="K1688" s="2">
        <v>2</v>
      </c>
      <c r="L1688">
        <v>0</v>
      </c>
      <c r="M1688" s="7">
        <v>0.97642499999999999</v>
      </c>
      <c r="N1688" s="7">
        <v>0.69008199999999997</v>
      </c>
      <c r="O1688">
        <v>1</v>
      </c>
      <c r="P1688" t="s">
        <v>14</v>
      </c>
      <c r="Q1688">
        <v>5</v>
      </c>
      <c r="R1688" s="8">
        <f>(Tabela2[[#This Row],[FAF_atividade_fisica_frequente_em_horas]]+ 0.1)</f>
        <v>1.076425</v>
      </c>
      <c r="S1688" s="1">
        <f>(Tabela2[[#This Row],[TUE_tempo_uso_aparelhos_em_horas]]/Tabela2[[#This Row],[FAF_Var]])</f>
        <v>0.64108693127714422</v>
      </c>
      <c r="T1688">
        <f>(Tabela2[[#This Row],[CAEC_lanche_entre_refeicoes]]*Tabela2[[#This Row],[FAVC_consumo_frequente_de_alimentos_mt_caloricos]])</f>
        <v>1</v>
      </c>
      <c r="U1688" s="1">
        <f>IF(OR(Tabela2[[#This Row],[MTRANS]]="Walking",Tabela2[[#This Row],[MTRANS]]="Bike"),Tabela2[[#This Row],[FAF_atividade_fisica_frequente_em_horas]]+1,M1688)</f>
        <v>0.97642499999999999</v>
      </c>
      <c r="V1688">
        <f>(Tabela2[[#This Row],[SMOKE]]+Tabela2[[#This Row],[CALC_bebe_alcool_frequentemente]])</f>
        <v>1</v>
      </c>
      <c r="W1688" s="8">
        <f>(Tabela2[[#This Row],[Weight]]/(Tabela2[[#This Row],[Height]] ^2))</f>
        <v>37.199773407090895</v>
      </c>
    </row>
    <row r="1689" spans="1:23" x14ac:dyDescent="0.25">
      <c r="A1689" t="s">
        <v>15</v>
      </c>
      <c r="B1689" s="7">
        <v>23.975684999999999</v>
      </c>
      <c r="C1689" s="4">
        <v>1.840039</v>
      </c>
      <c r="D1689" s="7">
        <v>120.975489</v>
      </c>
      <c r="E1689">
        <v>1</v>
      </c>
      <c r="F1689">
        <v>1</v>
      </c>
      <c r="G1689" s="2">
        <v>2.5982069999999999</v>
      </c>
      <c r="H1689" s="2">
        <v>2.8493469999999999</v>
      </c>
      <c r="I1689">
        <v>1</v>
      </c>
      <c r="J1689">
        <v>0</v>
      </c>
      <c r="K1689" s="2">
        <v>2.006167</v>
      </c>
      <c r="L1689">
        <v>0</v>
      </c>
      <c r="M1689" s="7">
        <v>1.5200100000000001</v>
      </c>
      <c r="N1689" s="7">
        <v>0.29568499999999998</v>
      </c>
      <c r="O1689">
        <v>1</v>
      </c>
      <c r="P1689" t="s">
        <v>14</v>
      </c>
      <c r="Q1689">
        <v>5</v>
      </c>
      <c r="R1689" s="8">
        <f>(Tabela2[[#This Row],[FAF_atividade_fisica_frequente_em_horas]]+ 0.1)</f>
        <v>1.6200100000000002</v>
      </c>
      <c r="S1689" s="1">
        <f>(Tabela2[[#This Row],[TUE_tempo_uso_aparelhos_em_horas]]/Tabela2[[#This Row],[FAF_Var]])</f>
        <v>0.18252047826865264</v>
      </c>
      <c r="T1689">
        <f>(Tabela2[[#This Row],[CAEC_lanche_entre_refeicoes]]*Tabela2[[#This Row],[FAVC_consumo_frequente_de_alimentos_mt_caloricos]])</f>
        <v>1</v>
      </c>
      <c r="U1689" s="1">
        <f>IF(OR(Tabela2[[#This Row],[MTRANS]]="Walking",Tabela2[[#This Row],[MTRANS]]="Bike"),Tabela2[[#This Row],[FAF_atividade_fisica_frequente_em_horas]]+1,M1689)</f>
        <v>1.5200100000000001</v>
      </c>
      <c r="V1689">
        <f>(Tabela2[[#This Row],[SMOKE]]+Tabela2[[#This Row],[CALC_bebe_alcool_frequentemente]])</f>
        <v>1</v>
      </c>
      <c r="W1689" s="8">
        <f>(Tabela2[[#This Row],[Weight]]/(Tabela2[[#This Row],[Height]] ^2))</f>
        <v>35.730848551001102</v>
      </c>
    </row>
    <row r="1690" spans="1:23" x14ac:dyDescent="0.25">
      <c r="A1690" t="s">
        <v>15</v>
      </c>
      <c r="B1690" s="7">
        <v>24.149035999999999</v>
      </c>
      <c r="C1690" s="4">
        <v>1.8249010000000001</v>
      </c>
      <c r="D1690" s="7">
        <v>120.80571500000001</v>
      </c>
      <c r="E1690">
        <v>1</v>
      </c>
      <c r="F1690">
        <v>1</v>
      </c>
      <c r="G1690" s="2">
        <v>2.225149</v>
      </c>
      <c r="H1690" s="2">
        <v>3</v>
      </c>
      <c r="I1690">
        <v>1</v>
      </c>
      <c r="J1690">
        <v>0</v>
      </c>
      <c r="K1690" s="2">
        <v>2.3579780000000001</v>
      </c>
      <c r="L1690">
        <v>0</v>
      </c>
      <c r="M1690" s="7">
        <v>1.943743</v>
      </c>
      <c r="N1690" s="7">
        <v>0.68212799999999996</v>
      </c>
      <c r="O1690">
        <v>1</v>
      </c>
      <c r="P1690" t="s">
        <v>14</v>
      </c>
      <c r="Q1690">
        <v>5</v>
      </c>
      <c r="R1690" s="8">
        <f>(Tabela2[[#This Row],[FAF_atividade_fisica_frequente_em_horas]]+ 0.1)</f>
        <v>2.0437430000000001</v>
      </c>
      <c r="S1690" s="1">
        <f>(Tabela2[[#This Row],[TUE_tempo_uso_aparelhos_em_horas]]/Tabela2[[#This Row],[FAF_Var]])</f>
        <v>0.33376407894730398</v>
      </c>
      <c r="T1690">
        <f>(Tabela2[[#This Row],[CAEC_lanche_entre_refeicoes]]*Tabela2[[#This Row],[FAVC_consumo_frequente_de_alimentos_mt_caloricos]])</f>
        <v>1</v>
      </c>
      <c r="U1690" s="1">
        <f>IF(OR(Tabela2[[#This Row],[MTRANS]]="Walking",Tabela2[[#This Row],[MTRANS]]="Bike"),Tabela2[[#This Row],[FAF_atividade_fisica_frequente_em_horas]]+1,M1690)</f>
        <v>1.943743</v>
      </c>
      <c r="V1690">
        <f>(Tabela2[[#This Row],[SMOKE]]+Tabela2[[#This Row],[CALC_bebe_alcool_frequentemente]])</f>
        <v>1</v>
      </c>
      <c r="W1690" s="8">
        <f>(Tabela2[[#This Row],[Weight]]/(Tabela2[[#This Row],[Height]] ^2))</f>
        <v>36.27512033303055</v>
      </c>
    </row>
    <row r="1691" spans="1:23" x14ac:dyDescent="0.25">
      <c r="A1691" t="s">
        <v>15</v>
      </c>
      <c r="B1691" s="7">
        <v>25.062942</v>
      </c>
      <c r="C1691" s="4">
        <v>1.8283910000000001</v>
      </c>
      <c r="D1691" s="7">
        <v>120.998266</v>
      </c>
      <c r="E1691">
        <v>1</v>
      </c>
      <c r="F1691">
        <v>1</v>
      </c>
      <c r="G1691" s="2">
        <v>3</v>
      </c>
      <c r="H1691" s="2">
        <v>3</v>
      </c>
      <c r="I1691">
        <v>1</v>
      </c>
      <c r="J1691">
        <v>0</v>
      </c>
      <c r="K1691" s="2">
        <v>3</v>
      </c>
      <c r="L1691">
        <v>0</v>
      </c>
      <c r="M1691" s="7">
        <v>1.6853689999999999</v>
      </c>
      <c r="N1691" s="7">
        <v>0.26496900000000001</v>
      </c>
      <c r="O1691">
        <v>1</v>
      </c>
      <c r="P1691" t="s">
        <v>14</v>
      </c>
      <c r="Q1691">
        <v>5</v>
      </c>
      <c r="R1691" s="8">
        <f>(Tabela2[[#This Row],[FAF_atividade_fisica_frequente_em_horas]]+ 0.1)</f>
        <v>1.785369</v>
      </c>
      <c r="S1691" s="1">
        <f>(Tabela2[[#This Row],[TUE_tempo_uso_aparelhos_em_horas]]/Tabela2[[#This Row],[FAF_Var]])</f>
        <v>0.14841133681608676</v>
      </c>
      <c r="T1691">
        <f>(Tabela2[[#This Row],[CAEC_lanche_entre_refeicoes]]*Tabela2[[#This Row],[FAVC_consumo_frequente_de_alimentos_mt_caloricos]])</f>
        <v>1</v>
      </c>
      <c r="U1691" s="1">
        <f>IF(OR(Tabela2[[#This Row],[MTRANS]]="Walking",Tabela2[[#This Row],[MTRANS]]="Bike"),Tabela2[[#This Row],[FAF_atividade_fisica_frequente_em_horas]]+1,M1691)</f>
        <v>1.6853689999999999</v>
      </c>
      <c r="V1691">
        <f>(Tabela2[[#This Row],[SMOKE]]+Tabela2[[#This Row],[CALC_bebe_alcool_frequentemente]])</f>
        <v>1</v>
      </c>
      <c r="W1691" s="8">
        <f>(Tabela2[[#This Row],[Weight]]/(Tabela2[[#This Row],[Height]] ^2))</f>
        <v>36.194367929219041</v>
      </c>
    </row>
    <row r="1692" spans="1:23" x14ac:dyDescent="0.25">
      <c r="A1692" t="s">
        <v>15</v>
      </c>
      <c r="B1692" s="7">
        <v>25.140073999999998</v>
      </c>
      <c r="C1692" s="4">
        <v>1.829529</v>
      </c>
      <c r="D1692" s="7">
        <v>120.99658100000001</v>
      </c>
      <c r="E1692">
        <v>1</v>
      </c>
      <c r="F1692">
        <v>1</v>
      </c>
      <c r="G1692" s="2">
        <v>3</v>
      </c>
      <c r="H1692" s="2">
        <v>3</v>
      </c>
      <c r="I1692">
        <v>1</v>
      </c>
      <c r="J1692">
        <v>0</v>
      </c>
      <c r="K1692" s="2">
        <v>3</v>
      </c>
      <c r="L1692">
        <v>0</v>
      </c>
      <c r="M1692" s="7">
        <v>1.4678629999999999</v>
      </c>
      <c r="N1692" s="7">
        <v>0.34363500000000002</v>
      </c>
      <c r="O1692">
        <v>1</v>
      </c>
      <c r="P1692" t="s">
        <v>14</v>
      </c>
      <c r="Q1692">
        <v>5</v>
      </c>
      <c r="R1692" s="8">
        <f>(Tabela2[[#This Row],[FAF_atividade_fisica_frequente_em_horas]]+ 0.1)</f>
        <v>1.567863</v>
      </c>
      <c r="S1692" s="1">
        <f>(Tabela2[[#This Row],[TUE_tempo_uso_aparelhos_em_horas]]/Tabela2[[#This Row],[FAF_Var]])</f>
        <v>0.21917412426978633</v>
      </c>
      <c r="T1692">
        <f>(Tabela2[[#This Row],[CAEC_lanche_entre_refeicoes]]*Tabela2[[#This Row],[FAVC_consumo_frequente_de_alimentos_mt_caloricos]])</f>
        <v>1</v>
      </c>
      <c r="U1692" s="1">
        <f>IF(OR(Tabela2[[#This Row],[MTRANS]]="Walking",Tabela2[[#This Row],[MTRANS]]="Bike"),Tabela2[[#This Row],[FAF_atividade_fisica_frequente_em_horas]]+1,M1692)</f>
        <v>1.4678629999999999</v>
      </c>
      <c r="V1692">
        <f>(Tabela2[[#This Row],[SMOKE]]+Tabela2[[#This Row],[CALC_bebe_alcool_frequentemente]])</f>
        <v>1</v>
      </c>
      <c r="W1692" s="8">
        <f>(Tabela2[[#This Row],[Weight]]/(Tabela2[[#This Row],[Height]] ^2))</f>
        <v>36.148851425758146</v>
      </c>
    </row>
    <row r="1693" spans="1:23" x14ac:dyDescent="0.25">
      <c r="A1693" t="s">
        <v>15</v>
      </c>
      <c r="B1693" s="7">
        <v>30.722801</v>
      </c>
      <c r="C1693" s="4">
        <v>1.779325</v>
      </c>
      <c r="D1693" s="7">
        <v>120.751656</v>
      </c>
      <c r="E1693">
        <v>1</v>
      </c>
      <c r="F1693">
        <v>1</v>
      </c>
      <c r="G1693" s="2">
        <v>2.5195919999999998</v>
      </c>
      <c r="H1693" s="2">
        <v>3</v>
      </c>
      <c r="I1693">
        <v>1</v>
      </c>
      <c r="J1693">
        <v>0</v>
      </c>
      <c r="K1693" s="2">
        <v>2.2291449999999999</v>
      </c>
      <c r="L1693">
        <v>0</v>
      </c>
      <c r="M1693" s="7">
        <v>0.350717</v>
      </c>
      <c r="N1693" s="7">
        <v>1.1403479999999999</v>
      </c>
      <c r="O1693">
        <v>1</v>
      </c>
      <c r="P1693" t="s">
        <v>17</v>
      </c>
      <c r="Q1693">
        <v>5</v>
      </c>
      <c r="R1693" s="8">
        <f>(Tabela2[[#This Row],[FAF_atividade_fisica_frequente_em_horas]]+ 0.1)</f>
        <v>0.45071700000000003</v>
      </c>
      <c r="S1693" s="1">
        <f>(Tabela2[[#This Row],[TUE_tempo_uso_aparelhos_em_horas]]/Tabela2[[#This Row],[FAF_Var]])</f>
        <v>2.5300754131750076</v>
      </c>
      <c r="T1693">
        <f>(Tabela2[[#This Row],[CAEC_lanche_entre_refeicoes]]*Tabela2[[#This Row],[FAVC_consumo_frequente_de_alimentos_mt_caloricos]])</f>
        <v>1</v>
      </c>
      <c r="U1693" s="1">
        <f>IF(OR(Tabela2[[#This Row],[MTRANS]]="Walking",Tabela2[[#This Row],[MTRANS]]="Bike"),Tabela2[[#This Row],[FAF_atividade_fisica_frequente_em_horas]]+1,M1693)</f>
        <v>0.350717</v>
      </c>
      <c r="V1693">
        <f>(Tabela2[[#This Row],[SMOKE]]+Tabela2[[#This Row],[CALC_bebe_alcool_frequentemente]])</f>
        <v>1</v>
      </c>
      <c r="W1693" s="8">
        <f>(Tabela2[[#This Row],[Weight]]/(Tabela2[[#This Row],[Height]] ^2))</f>
        <v>38.140162047654705</v>
      </c>
    </row>
    <row r="1694" spans="1:23" x14ac:dyDescent="0.25">
      <c r="A1694" t="s">
        <v>15</v>
      </c>
      <c r="B1694" s="7">
        <v>30.916426000000001</v>
      </c>
      <c r="C1694" s="4">
        <v>1.781139</v>
      </c>
      <c r="D1694" s="7">
        <v>120.794535</v>
      </c>
      <c r="E1694">
        <v>1</v>
      </c>
      <c r="F1694">
        <v>1</v>
      </c>
      <c r="G1694" s="2">
        <v>2.1118869999999998</v>
      </c>
      <c r="H1694" s="2">
        <v>3</v>
      </c>
      <c r="I1694">
        <v>1</v>
      </c>
      <c r="J1694">
        <v>0</v>
      </c>
      <c r="K1694" s="2">
        <v>2.3573729999999999</v>
      </c>
      <c r="L1694">
        <v>0</v>
      </c>
      <c r="M1694" s="7">
        <v>0.42562100000000003</v>
      </c>
      <c r="N1694" s="7">
        <v>1.416353</v>
      </c>
      <c r="O1694">
        <v>1</v>
      </c>
      <c r="P1694" t="s">
        <v>17</v>
      </c>
      <c r="Q1694">
        <v>5</v>
      </c>
      <c r="R1694" s="8">
        <f>(Tabela2[[#This Row],[FAF_atividade_fisica_frequente_em_horas]]+ 0.1)</f>
        <v>0.525621</v>
      </c>
      <c r="S1694" s="1">
        <f>(Tabela2[[#This Row],[TUE_tempo_uso_aparelhos_em_horas]]/Tabela2[[#This Row],[FAF_Var]])</f>
        <v>2.6946278782620938</v>
      </c>
      <c r="T1694">
        <f>(Tabela2[[#This Row],[CAEC_lanche_entre_refeicoes]]*Tabela2[[#This Row],[FAVC_consumo_frequente_de_alimentos_mt_caloricos]])</f>
        <v>1</v>
      </c>
      <c r="U1694" s="1">
        <f>IF(OR(Tabela2[[#This Row],[MTRANS]]="Walking",Tabela2[[#This Row],[MTRANS]]="Bike"),Tabela2[[#This Row],[FAF_atividade_fisica_frequente_em_horas]]+1,M1694)</f>
        <v>0.42562100000000003</v>
      </c>
      <c r="V1694">
        <f>(Tabela2[[#This Row],[SMOKE]]+Tabela2[[#This Row],[CALC_bebe_alcool_frequentemente]])</f>
        <v>1</v>
      </c>
      <c r="W1694" s="8">
        <f>(Tabela2[[#This Row],[Weight]]/(Tabela2[[#This Row],[Height]] ^2))</f>
        <v>38.076029981617232</v>
      </c>
    </row>
    <row r="1695" spans="1:23" x14ac:dyDescent="0.25">
      <c r="A1695" t="s">
        <v>15</v>
      </c>
      <c r="B1695" s="7">
        <v>31.010301999999999</v>
      </c>
      <c r="C1695" s="4">
        <v>1.7641659999999999</v>
      </c>
      <c r="D1695" s="7">
        <v>119.373019</v>
      </c>
      <c r="E1695">
        <v>1</v>
      </c>
      <c r="F1695">
        <v>1</v>
      </c>
      <c r="G1695" s="2">
        <v>2.9709829999999999</v>
      </c>
      <c r="H1695" s="2">
        <v>3</v>
      </c>
      <c r="I1695">
        <v>1</v>
      </c>
      <c r="J1695">
        <v>0</v>
      </c>
      <c r="K1695" s="2">
        <v>2.8288609999999998</v>
      </c>
      <c r="L1695">
        <v>0</v>
      </c>
      <c r="M1695" s="7">
        <v>0.45494400000000002</v>
      </c>
      <c r="N1695" s="7">
        <v>1.915818</v>
      </c>
      <c r="O1695">
        <v>1</v>
      </c>
      <c r="P1695" t="s">
        <v>17</v>
      </c>
      <c r="Q1695">
        <v>5</v>
      </c>
      <c r="R1695" s="8">
        <f>(Tabela2[[#This Row],[FAF_atividade_fisica_frequente_em_horas]]+ 0.1)</f>
        <v>0.55494399999999999</v>
      </c>
      <c r="S1695" s="1">
        <f>(Tabela2[[#This Row],[TUE_tempo_uso_aparelhos_em_horas]]/Tabela2[[#This Row],[FAF_Var]])</f>
        <v>3.4522726617460502</v>
      </c>
      <c r="T1695">
        <f>(Tabela2[[#This Row],[CAEC_lanche_entre_refeicoes]]*Tabela2[[#This Row],[FAVC_consumo_frequente_de_alimentos_mt_caloricos]])</f>
        <v>1</v>
      </c>
      <c r="U1695" s="1">
        <f>IF(OR(Tabela2[[#This Row],[MTRANS]]="Walking",Tabela2[[#This Row],[MTRANS]]="Bike"),Tabela2[[#This Row],[FAF_atividade_fisica_frequente_em_horas]]+1,M1695)</f>
        <v>0.45494400000000002</v>
      </c>
      <c r="V1695">
        <f>(Tabela2[[#This Row],[SMOKE]]+Tabela2[[#This Row],[CALC_bebe_alcool_frequentemente]])</f>
        <v>1</v>
      </c>
      <c r="W1695" s="8">
        <f>(Tabela2[[#This Row],[Weight]]/(Tabela2[[#This Row],[Height]] ^2))</f>
        <v>38.355467610004929</v>
      </c>
    </row>
    <row r="1696" spans="1:23" x14ac:dyDescent="0.25">
      <c r="A1696" t="s">
        <v>15</v>
      </c>
      <c r="B1696" s="7">
        <v>30.605464000000001</v>
      </c>
      <c r="C1696" s="4">
        <v>1.754796</v>
      </c>
      <c r="D1696" s="7">
        <v>118.805937</v>
      </c>
      <c r="E1696">
        <v>1</v>
      </c>
      <c r="F1696">
        <v>1</v>
      </c>
      <c r="G1696" s="2">
        <v>2.9075419999999998</v>
      </c>
      <c r="H1696" s="2">
        <v>3</v>
      </c>
      <c r="I1696">
        <v>1</v>
      </c>
      <c r="J1696">
        <v>0</v>
      </c>
      <c r="K1696" s="2">
        <v>2.284494</v>
      </c>
      <c r="L1696">
        <v>0</v>
      </c>
      <c r="M1696" s="7">
        <v>0.64763199999999999</v>
      </c>
      <c r="N1696" s="7">
        <v>1.668318</v>
      </c>
      <c r="O1696">
        <v>1</v>
      </c>
      <c r="P1696" t="s">
        <v>17</v>
      </c>
      <c r="Q1696">
        <v>5</v>
      </c>
      <c r="R1696" s="8">
        <f>(Tabela2[[#This Row],[FAF_atividade_fisica_frequente_em_horas]]+ 0.1)</f>
        <v>0.74763199999999996</v>
      </c>
      <c r="S1696" s="1">
        <f>(Tabela2[[#This Row],[TUE_tempo_uso_aparelhos_em_horas]]/Tabela2[[#This Row],[FAF_Var]])</f>
        <v>2.2314694930126051</v>
      </c>
      <c r="T1696">
        <f>(Tabela2[[#This Row],[CAEC_lanche_entre_refeicoes]]*Tabela2[[#This Row],[FAVC_consumo_frequente_de_alimentos_mt_caloricos]])</f>
        <v>1</v>
      </c>
      <c r="U1696" s="1">
        <f>IF(OR(Tabela2[[#This Row],[MTRANS]]="Walking",Tabela2[[#This Row],[MTRANS]]="Bike"),Tabela2[[#This Row],[FAF_atividade_fisica_frequente_em_horas]]+1,M1696)</f>
        <v>0.64763199999999999</v>
      </c>
      <c r="V1696">
        <f>(Tabela2[[#This Row],[SMOKE]]+Tabela2[[#This Row],[CALC_bebe_alcool_frequentemente]])</f>
        <v>1</v>
      </c>
      <c r="W1696" s="8">
        <f>(Tabela2[[#This Row],[Weight]]/(Tabela2[[#This Row],[Height]] ^2))</f>
        <v>38.582012048044369</v>
      </c>
    </row>
    <row r="1697" spans="1:23" x14ac:dyDescent="0.25">
      <c r="A1697" t="s">
        <v>15</v>
      </c>
      <c r="B1697" s="7">
        <v>24.622053999999999</v>
      </c>
      <c r="C1697" s="4">
        <v>1.7565090000000001</v>
      </c>
      <c r="D1697" s="7">
        <v>117.36871600000001</v>
      </c>
      <c r="E1697">
        <v>1</v>
      </c>
      <c r="F1697">
        <v>1</v>
      </c>
      <c r="G1697" s="2">
        <v>1.4513370000000001</v>
      </c>
      <c r="H1697" s="2">
        <v>3</v>
      </c>
      <c r="I1697">
        <v>1</v>
      </c>
      <c r="J1697">
        <v>0</v>
      </c>
      <c r="K1697" s="2">
        <v>2</v>
      </c>
      <c r="L1697">
        <v>0</v>
      </c>
      <c r="M1697" s="7">
        <v>1.3846069999999999</v>
      </c>
      <c r="N1697" s="7">
        <v>0.63121700000000003</v>
      </c>
      <c r="O1697">
        <v>1</v>
      </c>
      <c r="P1697" t="s">
        <v>14</v>
      </c>
      <c r="Q1697">
        <v>5</v>
      </c>
      <c r="R1697" s="8">
        <f>(Tabela2[[#This Row],[FAF_atividade_fisica_frequente_em_horas]]+ 0.1)</f>
        <v>1.484607</v>
      </c>
      <c r="S1697" s="1">
        <f>(Tabela2[[#This Row],[TUE_tempo_uso_aparelhos_em_horas]]/Tabela2[[#This Row],[FAF_Var]])</f>
        <v>0.42517447378329754</v>
      </c>
      <c r="T1697">
        <f>(Tabela2[[#This Row],[CAEC_lanche_entre_refeicoes]]*Tabela2[[#This Row],[FAVC_consumo_frequente_de_alimentos_mt_caloricos]])</f>
        <v>1</v>
      </c>
      <c r="U1697" s="1">
        <f>IF(OR(Tabela2[[#This Row],[MTRANS]]="Walking",Tabela2[[#This Row],[MTRANS]]="Bike"),Tabela2[[#This Row],[FAF_atividade_fisica_frequente_em_horas]]+1,M1697)</f>
        <v>1.3846069999999999</v>
      </c>
      <c r="V1697">
        <f>(Tabela2[[#This Row],[SMOKE]]+Tabela2[[#This Row],[CALC_bebe_alcool_frequentemente]])</f>
        <v>1</v>
      </c>
      <c r="W1697" s="8">
        <f>(Tabela2[[#This Row],[Weight]]/(Tabela2[[#This Row],[Height]] ^2))</f>
        <v>38.040971079979876</v>
      </c>
    </row>
    <row r="1698" spans="1:23" x14ac:dyDescent="0.25">
      <c r="A1698" t="s">
        <v>15</v>
      </c>
      <c r="B1698" s="7">
        <v>23.745833000000001</v>
      </c>
      <c r="C1698" s="4">
        <v>1.756772</v>
      </c>
      <c r="D1698" s="7">
        <v>117.32652299999999</v>
      </c>
      <c r="E1698">
        <v>1</v>
      </c>
      <c r="F1698">
        <v>1</v>
      </c>
      <c r="G1698" s="2">
        <v>1.5375049999999999</v>
      </c>
      <c r="H1698" s="2">
        <v>3</v>
      </c>
      <c r="I1698">
        <v>1</v>
      </c>
      <c r="J1698">
        <v>0</v>
      </c>
      <c r="K1698" s="2">
        <v>2</v>
      </c>
      <c r="L1698">
        <v>0</v>
      </c>
      <c r="M1698" s="7">
        <v>1.631912</v>
      </c>
      <c r="N1698" s="7">
        <v>0.63142200000000004</v>
      </c>
      <c r="O1698">
        <v>1</v>
      </c>
      <c r="P1698" t="s">
        <v>14</v>
      </c>
      <c r="Q1698">
        <v>5</v>
      </c>
      <c r="R1698" s="8">
        <f>(Tabela2[[#This Row],[FAF_atividade_fisica_frequente_em_horas]]+ 0.1)</f>
        <v>1.7319120000000001</v>
      </c>
      <c r="S1698" s="1">
        <f>(Tabela2[[#This Row],[TUE_tempo_uso_aparelhos_em_horas]]/Tabela2[[#This Row],[FAF_Var]])</f>
        <v>0.36458087939802947</v>
      </c>
      <c r="T1698">
        <f>(Tabela2[[#This Row],[CAEC_lanche_entre_refeicoes]]*Tabela2[[#This Row],[FAVC_consumo_frequente_de_alimentos_mt_caloricos]])</f>
        <v>1</v>
      </c>
      <c r="U1698" s="1">
        <f>IF(OR(Tabela2[[#This Row],[MTRANS]]="Walking",Tabela2[[#This Row],[MTRANS]]="Bike"),Tabela2[[#This Row],[FAF_atividade_fisica_frequente_em_horas]]+1,M1698)</f>
        <v>1.631912</v>
      </c>
      <c r="V1698">
        <f>(Tabela2[[#This Row],[SMOKE]]+Tabela2[[#This Row],[CALC_bebe_alcool_frequentemente]])</f>
        <v>1</v>
      </c>
      <c r="W1698" s="8">
        <f>(Tabela2[[#This Row],[Weight]]/(Tabela2[[#This Row],[Height]] ^2))</f>
        <v>38.01591068599663</v>
      </c>
    </row>
    <row r="1699" spans="1:23" x14ac:dyDescent="0.25">
      <c r="A1699" t="s">
        <v>15</v>
      </c>
      <c r="B1699" s="7">
        <v>23.327836000000001</v>
      </c>
      <c r="C1699" s="4">
        <v>1.7544390000000001</v>
      </c>
      <c r="D1699" s="7">
        <v>119.44120700000001</v>
      </c>
      <c r="E1699">
        <v>1</v>
      </c>
      <c r="F1699">
        <v>1</v>
      </c>
      <c r="G1699" s="2">
        <v>1.8934280000000001</v>
      </c>
      <c r="H1699" s="2">
        <v>3</v>
      </c>
      <c r="I1699">
        <v>1</v>
      </c>
      <c r="J1699">
        <v>0</v>
      </c>
      <c r="K1699" s="2">
        <v>2</v>
      </c>
      <c r="L1699">
        <v>0</v>
      </c>
      <c r="M1699" s="7">
        <v>1.9173830000000001</v>
      </c>
      <c r="N1699" s="7">
        <v>0.93647999999999998</v>
      </c>
      <c r="O1699">
        <v>1</v>
      </c>
      <c r="P1699" t="s">
        <v>14</v>
      </c>
      <c r="Q1699">
        <v>5</v>
      </c>
      <c r="R1699" s="8">
        <f>(Tabela2[[#This Row],[FAF_atividade_fisica_frequente_em_horas]]+ 0.1)</f>
        <v>2.0173830000000001</v>
      </c>
      <c r="S1699" s="1">
        <f>(Tabela2[[#This Row],[TUE_tempo_uso_aparelhos_em_horas]]/Tabela2[[#This Row],[FAF_Var]])</f>
        <v>0.46420535912119804</v>
      </c>
      <c r="T1699">
        <f>(Tabela2[[#This Row],[CAEC_lanche_entre_refeicoes]]*Tabela2[[#This Row],[FAVC_consumo_frequente_de_alimentos_mt_caloricos]])</f>
        <v>1</v>
      </c>
      <c r="U1699" s="1">
        <f>IF(OR(Tabela2[[#This Row],[MTRANS]]="Walking",Tabela2[[#This Row],[MTRANS]]="Bike"),Tabela2[[#This Row],[FAF_atividade_fisica_frequente_em_horas]]+1,M1699)</f>
        <v>1.9173830000000001</v>
      </c>
      <c r="V1699">
        <f>(Tabela2[[#This Row],[SMOKE]]+Tabela2[[#This Row],[CALC_bebe_alcool_frequentemente]])</f>
        <v>1</v>
      </c>
      <c r="W1699" s="8">
        <f>(Tabela2[[#This Row],[Weight]]/(Tabela2[[#This Row],[Height]] ^2))</f>
        <v>38.804102022830456</v>
      </c>
    </row>
    <row r="1700" spans="1:23" x14ac:dyDescent="0.25">
      <c r="A1700" t="s">
        <v>15</v>
      </c>
      <c r="B1700" s="7">
        <v>23.411141000000001</v>
      </c>
      <c r="C1700" s="4">
        <v>1.755142</v>
      </c>
      <c r="D1700" s="7">
        <v>119.192922</v>
      </c>
      <c r="E1700">
        <v>1</v>
      </c>
      <c r="F1700">
        <v>1</v>
      </c>
      <c r="G1700" s="2">
        <v>2.0078450000000001</v>
      </c>
      <c r="H1700" s="2">
        <v>2.9544459999999999</v>
      </c>
      <c r="I1700">
        <v>1</v>
      </c>
      <c r="J1700">
        <v>0</v>
      </c>
      <c r="K1700" s="2">
        <v>1.968796</v>
      </c>
      <c r="L1700">
        <v>0</v>
      </c>
      <c r="M1700" s="7">
        <v>1.5874060000000001</v>
      </c>
      <c r="N1700" s="7">
        <v>0.838947</v>
      </c>
      <c r="O1700">
        <v>1</v>
      </c>
      <c r="P1700" t="s">
        <v>14</v>
      </c>
      <c r="Q1700">
        <v>5</v>
      </c>
      <c r="R1700" s="8">
        <f>(Tabela2[[#This Row],[FAF_atividade_fisica_frequente_em_horas]]+ 0.1)</f>
        <v>1.6874060000000002</v>
      </c>
      <c r="S1700" s="1">
        <f>(Tabela2[[#This Row],[TUE_tempo_uso_aparelhos_em_horas]]/Tabela2[[#This Row],[FAF_Var]])</f>
        <v>0.4971814726272159</v>
      </c>
      <c r="T1700">
        <f>(Tabela2[[#This Row],[CAEC_lanche_entre_refeicoes]]*Tabela2[[#This Row],[FAVC_consumo_frequente_de_alimentos_mt_caloricos]])</f>
        <v>1</v>
      </c>
      <c r="U1700" s="1">
        <f>IF(OR(Tabela2[[#This Row],[MTRANS]]="Walking",Tabela2[[#This Row],[MTRANS]]="Bike"),Tabela2[[#This Row],[FAF_atividade_fisica_frequente_em_horas]]+1,M1700)</f>
        <v>1.5874060000000001</v>
      </c>
      <c r="V1700">
        <f>(Tabela2[[#This Row],[SMOKE]]+Tabela2[[#This Row],[CALC_bebe_alcool_frequentemente]])</f>
        <v>1</v>
      </c>
      <c r="W1700" s="8">
        <f>(Tabela2[[#This Row],[Weight]]/(Tabela2[[#This Row],[Height]] ^2))</f>
        <v>38.69242494504585</v>
      </c>
    </row>
    <row r="1701" spans="1:23" x14ac:dyDescent="0.25">
      <c r="A1701" t="s">
        <v>15</v>
      </c>
      <c r="B1701" s="7">
        <v>39.825592</v>
      </c>
      <c r="C1701" s="4">
        <v>1.7067410000000001</v>
      </c>
      <c r="D1701" s="7">
        <v>108.012603</v>
      </c>
      <c r="E1701">
        <v>1</v>
      </c>
      <c r="F1701">
        <v>1</v>
      </c>
      <c r="G1701" s="2">
        <v>2.487781</v>
      </c>
      <c r="H1701" s="2">
        <v>3.755976</v>
      </c>
      <c r="I1701">
        <v>1</v>
      </c>
      <c r="J1701">
        <v>0</v>
      </c>
      <c r="K1701" s="2">
        <v>1</v>
      </c>
      <c r="L1701">
        <v>0</v>
      </c>
      <c r="M1701" s="7">
        <v>1.860765</v>
      </c>
      <c r="N1701" s="7">
        <v>0</v>
      </c>
      <c r="O1701">
        <v>0</v>
      </c>
      <c r="P1701" t="s">
        <v>17</v>
      </c>
      <c r="Q1701">
        <v>5</v>
      </c>
      <c r="R1701" s="8">
        <f>(Tabela2[[#This Row],[FAF_atividade_fisica_frequente_em_horas]]+ 0.1)</f>
        <v>1.9607650000000001</v>
      </c>
      <c r="S1701" s="1">
        <f>(Tabela2[[#This Row],[TUE_tempo_uso_aparelhos_em_horas]]/Tabela2[[#This Row],[FAF_Var]])</f>
        <v>0</v>
      </c>
      <c r="T1701">
        <f>(Tabela2[[#This Row],[CAEC_lanche_entre_refeicoes]]*Tabela2[[#This Row],[FAVC_consumo_frequente_de_alimentos_mt_caloricos]])</f>
        <v>1</v>
      </c>
      <c r="U1701" s="1">
        <f>IF(OR(Tabela2[[#This Row],[MTRANS]]="Walking",Tabela2[[#This Row],[MTRANS]]="Bike"),Tabela2[[#This Row],[FAF_atividade_fisica_frequente_em_horas]]+1,M1701)</f>
        <v>1.860765</v>
      </c>
      <c r="V1701">
        <f>(Tabela2[[#This Row],[SMOKE]]+Tabela2[[#This Row],[CALC_bebe_alcool_frequentemente]])</f>
        <v>0</v>
      </c>
      <c r="W1701" s="8">
        <f>(Tabela2[[#This Row],[Weight]]/(Tabela2[[#This Row],[Height]] ^2))</f>
        <v>37.079954236562827</v>
      </c>
    </row>
    <row r="1702" spans="1:23" x14ac:dyDescent="0.25">
      <c r="A1702" t="s">
        <v>15</v>
      </c>
      <c r="B1702" s="7">
        <v>36.839761000000003</v>
      </c>
      <c r="C1702" s="4">
        <v>1.74285</v>
      </c>
      <c r="D1702" s="7">
        <v>106.421042</v>
      </c>
      <c r="E1702">
        <v>1</v>
      </c>
      <c r="F1702">
        <v>1</v>
      </c>
      <c r="G1702" s="2">
        <v>2.541785</v>
      </c>
      <c r="H1702" s="2">
        <v>2.9026390000000002</v>
      </c>
      <c r="I1702">
        <v>1</v>
      </c>
      <c r="J1702">
        <v>0</v>
      </c>
      <c r="K1702" s="2">
        <v>1</v>
      </c>
      <c r="L1702">
        <v>0</v>
      </c>
      <c r="M1702" s="7">
        <v>1.6689609999999999</v>
      </c>
      <c r="N1702" s="7">
        <v>0</v>
      </c>
      <c r="O1702">
        <v>0</v>
      </c>
      <c r="P1702" t="s">
        <v>17</v>
      </c>
      <c r="Q1702">
        <v>5</v>
      </c>
      <c r="R1702" s="8">
        <f>(Tabela2[[#This Row],[FAF_atividade_fisica_frequente_em_horas]]+ 0.1)</f>
        <v>1.768961</v>
      </c>
      <c r="S1702" s="1">
        <f>(Tabela2[[#This Row],[TUE_tempo_uso_aparelhos_em_horas]]/Tabela2[[#This Row],[FAF_Var]])</f>
        <v>0</v>
      </c>
      <c r="T1702">
        <f>(Tabela2[[#This Row],[CAEC_lanche_entre_refeicoes]]*Tabela2[[#This Row],[FAVC_consumo_frequente_de_alimentos_mt_caloricos]])</f>
        <v>1</v>
      </c>
      <c r="U1702" s="1">
        <f>IF(OR(Tabela2[[#This Row],[MTRANS]]="Walking",Tabela2[[#This Row],[MTRANS]]="Bike"),Tabela2[[#This Row],[FAF_atividade_fisica_frequente_em_horas]]+1,M1702)</f>
        <v>1.6689609999999999</v>
      </c>
      <c r="V1702">
        <f>(Tabela2[[#This Row],[SMOKE]]+Tabela2[[#This Row],[CALC_bebe_alcool_frequentemente]])</f>
        <v>0</v>
      </c>
      <c r="W1702" s="8">
        <f>(Tabela2[[#This Row],[Weight]]/(Tabela2[[#This Row],[Height]] ^2))</f>
        <v>35.035432687048434</v>
      </c>
    </row>
    <row r="1703" spans="1:23" x14ac:dyDescent="0.25">
      <c r="A1703" t="s">
        <v>15</v>
      </c>
      <c r="B1703" s="7">
        <v>33.789301000000002</v>
      </c>
      <c r="C1703" s="4">
        <v>1.6811</v>
      </c>
      <c r="D1703" s="7">
        <v>102.523111</v>
      </c>
      <c r="E1703">
        <v>1</v>
      </c>
      <c r="F1703">
        <v>1</v>
      </c>
      <c r="G1703" s="2">
        <v>2.8137750000000001</v>
      </c>
      <c r="H1703" s="2">
        <v>2.3727049999999998</v>
      </c>
      <c r="I1703">
        <v>1</v>
      </c>
      <c r="J1703">
        <v>0</v>
      </c>
      <c r="K1703" s="2">
        <v>1</v>
      </c>
      <c r="L1703">
        <v>0</v>
      </c>
      <c r="M1703" s="7">
        <v>1.979355</v>
      </c>
      <c r="N1703" s="7">
        <v>0</v>
      </c>
      <c r="O1703">
        <v>0</v>
      </c>
      <c r="P1703" t="s">
        <v>14</v>
      </c>
      <c r="Q1703">
        <v>5</v>
      </c>
      <c r="R1703" s="8">
        <f>(Tabela2[[#This Row],[FAF_atividade_fisica_frequente_em_horas]]+ 0.1)</f>
        <v>2.0793550000000001</v>
      </c>
      <c r="S1703" s="1">
        <f>(Tabela2[[#This Row],[TUE_tempo_uso_aparelhos_em_horas]]/Tabela2[[#This Row],[FAF_Var]])</f>
        <v>0</v>
      </c>
      <c r="T1703">
        <f>(Tabela2[[#This Row],[CAEC_lanche_entre_refeicoes]]*Tabela2[[#This Row],[FAVC_consumo_frequente_de_alimentos_mt_caloricos]])</f>
        <v>1</v>
      </c>
      <c r="U1703" s="1">
        <f>IF(OR(Tabela2[[#This Row],[MTRANS]]="Walking",Tabela2[[#This Row],[MTRANS]]="Bike"),Tabela2[[#This Row],[FAF_atividade_fisica_frequente_em_horas]]+1,M1703)</f>
        <v>1.979355</v>
      </c>
      <c r="V1703">
        <f>(Tabela2[[#This Row],[SMOKE]]+Tabela2[[#This Row],[CALC_bebe_alcool_frequentemente]])</f>
        <v>0</v>
      </c>
      <c r="W1703" s="8">
        <f>(Tabela2[[#This Row],[Weight]]/(Tabela2[[#This Row],[Height]] ^2))</f>
        <v>36.277276888150638</v>
      </c>
    </row>
    <row r="1704" spans="1:23" x14ac:dyDescent="0.25">
      <c r="A1704" t="s">
        <v>15</v>
      </c>
      <c r="B1704" s="7">
        <v>34.161997999999997</v>
      </c>
      <c r="C1704" s="4">
        <v>1.7056819999999999</v>
      </c>
      <c r="D1704" s="7">
        <v>103.06776600000001</v>
      </c>
      <c r="E1704">
        <v>1</v>
      </c>
      <c r="F1704">
        <v>1</v>
      </c>
      <c r="G1704" s="2">
        <v>2.5626869999999999</v>
      </c>
      <c r="H1704" s="2">
        <v>2.1009180000000001</v>
      </c>
      <c r="I1704">
        <v>1</v>
      </c>
      <c r="J1704">
        <v>0</v>
      </c>
      <c r="K1704" s="2">
        <v>1.458545</v>
      </c>
      <c r="L1704">
        <v>0</v>
      </c>
      <c r="M1704" s="7">
        <v>1.167856</v>
      </c>
      <c r="N1704" s="7">
        <v>0.412329</v>
      </c>
      <c r="O1704">
        <v>0</v>
      </c>
      <c r="P1704" t="s">
        <v>14</v>
      </c>
      <c r="Q1704">
        <v>5</v>
      </c>
      <c r="R1704" s="8">
        <f>(Tabela2[[#This Row],[FAF_atividade_fisica_frequente_em_horas]]+ 0.1)</f>
        <v>1.2678560000000001</v>
      </c>
      <c r="S1704" s="1">
        <f>(Tabela2[[#This Row],[TUE_tempo_uso_aparelhos_em_horas]]/Tabela2[[#This Row],[FAF_Var]])</f>
        <v>0.32521753259045189</v>
      </c>
      <c r="T1704">
        <f>(Tabela2[[#This Row],[CAEC_lanche_entre_refeicoes]]*Tabela2[[#This Row],[FAVC_consumo_frequente_de_alimentos_mt_caloricos]])</f>
        <v>1</v>
      </c>
      <c r="U1704" s="1">
        <f>IF(OR(Tabela2[[#This Row],[MTRANS]]="Walking",Tabela2[[#This Row],[MTRANS]]="Bike"),Tabela2[[#This Row],[FAF_atividade_fisica_frequente_em_horas]]+1,M1704)</f>
        <v>1.167856</v>
      </c>
      <c r="V1704">
        <f>(Tabela2[[#This Row],[SMOKE]]+Tabela2[[#This Row],[CALC_bebe_alcool_frequentemente]])</f>
        <v>0</v>
      </c>
      <c r="W1704" s="8">
        <f>(Tabela2[[#This Row],[Weight]]/(Tabela2[[#This Row],[Height]] ^2))</f>
        <v>35.426376186429607</v>
      </c>
    </row>
    <row r="1705" spans="1:23" x14ac:dyDescent="0.25">
      <c r="A1705" t="s">
        <v>15</v>
      </c>
      <c r="B1705" s="7">
        <v>22.580037999999998</v>
      </c>
      <c r="C1705" s="4">
        <v>1.849507</v>
      </c>
      <c r="D1705" s="7">
        <v>121.56093799999999</v>
      </c>
      <c r="E1705">
        <v>1</v>
      </c>
      <c r="F1705">
        <v>1</v>
      </c>
      <c r="G1705" s="2">
        <v>3</v>
      </c>
      <c r="H1705" s="2">
        <v>2.2728009999999998</v>
      </c>
      <c r="I1705">
        <v>1</v>
      </c>
      <c r="J1705">
        <v>0</v>
      </c>
      <c r="K1705" s="2">
        <v>1.5600639999999999</v>
      </c>
      <c r="L1705">
        <v>0</v>
      </c>
      <c r="M1705" s="7">
        <v>0.79676999999999998</v>
      </c>
      <c r="N1705" s="7">
        <v>0</v>
      </c>
      <c r="O1705">
        <v>1</v>
      </c>
      <c r="P1705" t="s">
        <v>14</v>
      </c>
      <c r="Q1705">
        <v>5</v>
      </c>
      <c r="R1705" s="8">
        <f>(Tabela2[[#This Row],[FAF_atividade_fisica_frequente_em_horas]]+ 0.1)</f>
        <v>0.89676999999999996</v>
      </c>
      <c r="S1705" s="1">
        <f>(Tabela2[[#This Row],[TUE_tempo_uso_aparelhos_em_horas]]/Tabela2[[#This Row],[FAF_Var]])</f>
        <v>0</v>
      </c>
      <c r="T1705">
        <f>(Tabela2[[#This Row],[CAEC_lanche_entre_refeicoes]]*Tabela2[[#This Row],[FAVC_consumo_frequente_de_alimentos_mt_caloricos]])</f>
        <v>1</v>
      </c>
      <c r="U1705" s="1">
        <f>IF(OR(Tabela2[[#This Row],[MTRANS]]="Walking",Tabela2[[#This Row],[MTRANS]]="Bike"),Tabela2[[#This Row],[FAF_atividade_fisica_frequente_em_horas]]+1,M1705)</f>
        <v>0.79676999999999998</v>
      </c>
      <c r="V1705">
        <f>(Tabela2[[#This Row],[SMOKE]]+Tabela2[[#This Row],[CALC_bebe_alcool_frequentemente]])</f>
        <v>1</v>
      </c>
      <c r="W1705" s="8">
        <f>(Tabela2[[#This Row],[Weight]]/(Tabela2[[#This Row],[Height]] ^2))</f>
        <v>35.537108137821946</v>
      </c>
    </row>
    <row r="1706" spans="1:23" x14ac:dyDescent="0.25">
      <c r="A1706" t="s">
        <v>15</v>
      </c>
      <c r="B1706" s="7">
        <v>22.851721000000001</v>
      </c>
      <c r="C1706" s="4">
        <v>1.8533729999999999</v>
      </c>
      <c r="D1706" s="7">
        <v>121.737836</v>
      </c>
      <c r="E1706">
        <v>1</v>
      </c>
      <c r="F1706">
        <v>1</v>
      </c>
      <c r="G1706" s="2">
        <v>2.9225110000000001</v>
      </c>
      <c r="H1706" s="2">
        <v>2.6928890000000001</v>
      </c>
      <c r="I1706">
        <v>1</v>
      </c>
      <c r="J1706">
        <v>0</v>
      </c>
      <c r="K1706" s="2">
        <v>1.809531</v>
      </c>
      <c r="L1706">
        <v>0</v>
      </c>
      <c r="M1706" s="7">
        <v>0.47859499999999999</v>
      </c>
      <c r="N1706" s="7">
        <v>0</v>
      </c>
      <c r="O1706">
        <v>1</v>
      </c>
      <c r="P1706" t="s">
        <v>14</v>
      </c>
      <c r="Q1706">
        <v>5</v>
      </c>
      <c r="R1706" s="8">
        <f>(Tabela2[[#This Row],[FAF_atividade_fisica_frequente_em_horas]]+ 0.1)</f>
        <v>0.57859499999999997</v>
      </c>
      <c r="S1706" s="1">
        <f>(Tabela2[[#This Row],[TUE_tempo_uso_aparelhos_em_horas]]/Tabela2[[#This Row],[FAF_Var]])</f>
        <v>0</v>
      </c>
      <c r="T1706">
        <f>(Tabela2[[#This Row],[CAEC_lanche_entre_refeicoes]]*Tabela2[[#This Row],[FAVC_consumo_frequente_de_alimentos_mt_caloricos]])</f>
        <v>1</v>
      </c>
      <c r="U1706" s="1">
        <f>IF(OR(Tabela2[[#This Row],[MTRANS]]="Walking",Tabela2[[#This Row],[MTRANS]]="Bike"),Tabela2[[#This Row],[FAF_atividade_fisica_frequente_em_horas]]+1,M1706)</f>
        <v>0.47859499999999999</v>
      </c>
      <c r="V1706">
        <f>(Tabela2[[#This Row],[SMOKE]]+Tabela2[[#This Row],[CALC_bebe_alcool_frequentemente]])</f>
        <v>1</v>
      </c>
      <c r="W1706" s="8">
        <f>(Tabela2[[#This Row],[Weight]]/(Tabela2[[#This Row],[Height]] ^2))</f>
        <v>35.440505983947801</v>
      </c>
    </row>
    <row r="1707" spans="1:23" x14ac:dyDescent="0.25">
      <c r="A1707" t="s">
        <v>15</v>
      </c>
      <c r="B1707" s="7">
        <v>23.254933999999999</v>
      </c>
      <c r="C1707" s="4">
        <v>1.8475299999999999</v>
      </c>
      <c r="D1707" s="7">
        <v>122.06261000000001</v>
      </c>
      <c r="E1707">
        <v>1</v>
      </c>
      <c r="F1707">
        <v>1</v>
      </c>
      <c r="G1707" s="2">
        <v>3</v>
      </c>
      <c r="H1707" s="2">
        <v>2.280545</v>
      </c>
      <c r="I1707">
        <v>1</v>
      </c>
      <c r="J1707">
        <v>0</v>
      </c>
      <c r="K1707" s="2">
        <v>1.5915969999999999</v>
      </c>
      <c r="L1707">
        <v>0</v>
      </c>
      <c r="M1707" s="7">
        <v>0.93278300000000003</v>
      </c>
      <c r="N1707" s="7">
        <v>0</v>
      </c>
      <c r="O1707">
        <v>1</v>
      </c>
      <c r="P1707" t="s">
        <v>14</v>
      </c>
      <c r="Q1707">
        <v>5</v>
      </c>
      <c r="R1707" s="8">
        <f>(Tabela2[[#This Row],[FAF_atividade_fisica_frequente_em_horas]]+ 0.1)</f>
        <v>1.032783</v>
      </c>
      <c r="S1707" s="1">
        <f>(Tabela2[[#This Row],[TUE_tempo_uso_aparelhos_em_horas]]/Tabela2[[#This Row],[FAF_Var]])</f>
        <v>0</v>
      </c>
      <c r="T1707">
        <f>(Tabela2[[#This Row],[CAEC_lanche_entre_refeicoes]]*Tabela2[[#This Row],[FAVC_consumo_frequente_de_alimentos_mt_caloricos]])</f>
        <v>1</v>
      </c>
      <c r="U1707" s="1">
        <f>IF(OR(Tabela2[[#This Row],[MTRANS]]="Walking",Tabela2[[#This Row],[MTRANS]]="Bike"),Tabela2[[#This Row],[FAF_atividade_fisica_frequente_em_horas]]+1,M1707)</f>
        <v>0.93278300000000003</v>
      </c>
      <c r="V1707">
        <f>(Tabela2[[#This Row],[SMOKE]]+Tabela2[[#This Row],[CALC_bebe_alcool_frequentemente]])</f>
        <v>1</v>
      </c>
      <c r="W1707" s="8">
        <f>(Tabela2[[#This Row],[Weight]]/(Tabela2[[#This Row],[Height]] ^2))</f>
        <v>35.760176503668731</v>
      </c>
    </row>
    <row r="1708" spans="1:23" x14ac:dyDescent="0.25">
      <c r="A1708" t="s">
        <v>15</v>
      </c>
      <c r="B1708" s="7">
        <v>22.343204</v>
      </c>
      <c r="C1708" s="4">
        <v>1.8703399999999999</v>
      </c>
      <c r="D1708" s="7">
        <v>121.458232</v>
      </c>
      <c r="E1708">
        <v>1</v>
      </c>
      <c r="F1708">
        <v>1</v>
      </c>
      <c r="G1708" s="2">
        <v>2.836055</v>
      </c>
      <c r="H1708" s="2">
        <v>2.675411</v>
      </c>
      <c r="I1708">
        <v>1</v>
      </c>
      <c r="J1708">
        <v>0</v>
      </c>
      <c r="K1708" s="2">
        <v>1.7116659999999999</v>
      </c>
      <c r="L1708">
        <v>0</v>
      </c>
      <c r="M1708" s="7">
        <v>0.93732000000000004</v>
      </c>
      <c r="N1708" s="7">
        <v>0</v>
      </c>
      <c r="O1708">
        <v>1</v>
      </c>
      <c r="P1708" t="s">
        <v>14</v>
      </c>
      <c r="Q1708">
        <v>5</v>
      </c>
      <c r="R1708" s="8">
        <f>(Tabela2[[#This Row],[FAF_atividade_fisica_frequente_em_horas]]+ 0.1)</f>
        <v>1.03732</v>
      </c>
      <c r="S1708" s="1">
        <f>(Tabela2[[#This Row],[TUE_tempo_uso_aparelhos_em_horas]]/Tabela2[[#This Row],[FAF_Var]])</f>
        <v>0</v>
      </c>
      <c r="T1708">
        <f>(Tabela2[[#This Row],[CAEC_lanche_entre_refeicoes]]*Tabela2[[#This Row],[FAVC_consumo_frequente_de_alimentos_mt_caloricos]])</f>
        <v>1</v>
      </c>
      <c r="U1708" s="1">
        <f>IF(OR(Tabela2[[#This Row],[MTRANS]]="Walking",Tabela2[[#This Row],[MTRANS]]="Bike"),Tabela2[[#This Row],[FAF_atividade_fisica_frequente_em_horas]]+1,M1708)</f>
        <v>0.93732000000000004</v>
      </c>
      <c r="V1708">
        <f>(Tabela2[[#This Row],[SMOKE]]+Tabela2[[#This Row],[CALC_bebe_alcool_frequentemente]])</f>
        <v>1</v>
      </c>
      <c r="W1708" s="8">
        <f>(Tabela2[[#This Row],[Weight]]/(Tabela2[[#This Row],[Height]] ^2))</f>
        <v>34.720488836600097</v>
      </c>
    </row>
    <row r="1709" spans="1:23" x14ac:dyDescent="0.25">
      <c r="A1709" t="s">
        <v>15</v>
      </c>
      <c r="B1709" s="7">
        <v>24.006271000000002</v>
      </c>
      <c r="C1709" s="4">
        <v>1.6077870000000001</v>
      </c>
      <c r="D1709" s="7">
        <v>100.783434</v>
      </c>
      <c r="E1709">
        <v>1</v>
      </c>
      <c r="F1709">
        <v>1</v>
      </c>
      <c r="G1709" s="2">
        <v>2.8807589999999998</v>
      </c>
      <c r="H1709" s="2">
        <v>1.4876739999999999</v>
      </c>
      <c r="I1709">
        <v>1</v>
      </c>
      <c r="J1709">
        <v>0</v>
      </c>
      <c r="K1709" s="2">
        <v>1.0137799999999999</v>
      </c>
      <c r="L1709">
        <v>0</v>
      </c>
      <c r="M1709" s="7">
        <v>1.00109</v>
      </c>
      <c r="N1709" s="7">
        <v>1.0983799999999999</v>
      </c>
      <c r="O1709">
        <v>0</v>
      </c>
      <c r="P1709" t="s">
        <v>14</v>
      </c>
      <c r="Q1709">
        <v>5</v>
      </c>
      <c r="R1709" s="8">
        <f>(Tabela2[[#This Row],[FAF_atividade_fisica_frequente_em_horas]]+ 0.1)</f>
        <v>1.1010900000000001</v>
      </c>
      <c r="S1709" s="1">
        <f>(Tabela2[[#This Row],[TUE_tempo_uso_aparelhos_em_horas]]/Tabela2[[#This Row],[FAF_Var]])</f>
        <v>0.99753880245938098</v>
      </c>
      <c r="T1709">
        <f>(Tabela2[[#This Row],[CAEC_lanche_entre_refeicoes]]*Tabela2[[#This Row],[FAVC_consumo_frequente_de_alimentos_mt_caloricos]])</f>
        <v>1</v>
      </c>
      <c r="U1709" s="1">
        <f>IF(OR(Tabela2[[#This Row],[MTRANS]]="Walking",Tabela2[[#This Row],[MTRANS]]="Bike"),Tabela2[[#This Row],[FAF_atividade_fisica_frequente_em_horas]]+1,M1709)</f>
        <v>1.00109</v>
      </c>
      <c r="V1709">
        <f>(Tabela2[[#This Row],[SMOKE]]+Tabela2[[#This Row],[CALC_bebe_alcool_frequentemente]])</f>
        <v>0</v>
      </c>
      <c r="W1709" s="8">
        <f>(Tabela2[[#This Row],[Weight]]/(Tabela2[[#This Row],[Height]] ^2))</f>
        <v>38.988104949035758</v>
      </c>
    </row>
    <row r="1710" spans="1:23" x14ac:dyDescent="0.25">
      <c r="A1710" t="s">
        <v>15</v>
      </c>
      <c r="B1710" s="7">
        <v>24.001196</v>
      </c>
      <c r="C1710" s="4">
        <v>1.603091</v>
      </c>
      <c r="D1710" s="7">
        <v>100.209405</v>
      </c>
      <c r="E1710">
        <v>1</v>
      </c>
      <c r="F1710">
        <v>1</v>
      </c>
      <c r="G1710" s="2">
        <v>3</v>
      </c>
      <c r="H1710" s="2">
        <v>1.02075</v>
      </c>
      <c r="I1710">
        <v>1</v>
      </c>
      <c r="J1710">
        <v>0</v>
      </c>
      <c r="K1710" s="2">
        <v>1</v>
      </c>
      <c r="L1710">
        <v>0</v>
      </c>
      <c r="M1710" s="7">
        <v>0.23305600000000001</v>
      </c>
      <c r="N1710" s="7">
        <v>1.7074210000000001</v>
      </c>
      <c r="O1710">
        <v>0</v>
      </c>
      <c r="P1710" t="s">
        <v>14</v>
      </c>
      <c r="Q1710">
        <v>5</v>
      </c>
      <c r="R1710" s="8">
        <f>(Tabela2[[#This Row],[FAF_atividade_fisica_frequente_em_horas]]+ 0.1)</f>
        <v>0.33305600000000002</v>
      </c>
      <c r="S1710" s="1">
        <f>(Tabela2[[#This Row],[TUE_tempo_uso_aparelhos_em_horas]]/Tabela2[[#This Row],[FAF_Var]])</f>
        <v>5.1265282715219058</v>
      </c>
      <c r="T1710">
        <f>(Tabela2[[#This Row],[CAEC_lanche_entre_refeicoes]]*Tabela2[[#This Row],[FAVC_consumo_frequente_de_alimentos_mt_caloricos]])</f>
        <v>1</v>
      </c>
      <c r="U1710" s="1">
        <f>IF(OR(Tabela2[[#This Row],[MTRANS]]="Walking",Tabela2[[#This Row],[MTRANS]]="Bike"),Tabela2[[#This Row],[FAF_atividade_fisica_frequente_em_horas]]+1,M1710)</f>
        <v>0.23305600000000001</v>
      </c>
      <c r="V1710">
        <f>(Tabela2[[#This Row],[SMOKE]]+Tabela2[[#This Row],[CALC_bebe_alcool_frequentemente]])</f>
        <v>0</v>
      </c>
      <c r="W1710" s="8">
        <f>(Tabela2[[#This Row],[Weight]]/(Tabela2[[#This Row],[Height]] ^2))</f>
        <v>38.993492193450997</v>
      </c>
    </row>
    <row r="1711" spans="1:23" x14ac:dyDescent="0.25">
      <c r="A1711" t="s">
        <v>15</v>
      </c>
      <c r="B1711" s="7">
        <v>20.156663999999999</v>
      </c>
      <c r="C1711" s="4">
        <v>1.620109</v>
      </c>
      <c r="D1711" s="7">
        <v>103.393354</v>
      </c>
      <c r="E1711">
        <v>1</v>
      </c>
      <c r="F1711">
        <v>1</v>
      </c>
      <c r="G1711" s="2">
        <v>2.7664409999999999</v>
      </c>
      <c r="H1711" s="2">
        <v>1.240424</v>
      </c>
      <c r="I1711">
        <v>1</v>
      </c>
      <c r="J1711">
        <v>0</v>
      </c>
      <c r="K1711" s="2">
        <v>1.4132180000000001</v>
      </c>
      <c r="L1711">
        <v>0</v>
      </c>
      <c r="M1711" s="7">
        <v>0.165269</v>
      </c>
      <c r="N1711" s="7">
        <v>0.86258699999999999</v>
      </c>
      <c r="O1711">
        <v>0</v>
      </c>
      <c r="P1711" t="s">
        <v>14</v>
      </c>
      <c r="Q1711">
        <v>5</v>
      </c>
      <c r="R1711" s="8">
        <f>(Tabela2[[#This Row],[FAF_atividade_fisica_frequente_em_horas]]+ 0.1)</f>
        <v>0.26526899999999998</v>
      </c>
      <c r="S1711" s="1">
        <f>(Tabela2[[#This Row],[TUE_tempo_uso_aparelhos_em_horas]]/Tabela2[[#This Row],[FAF_Var]])</f>
        <v>3.251744455628061</v>
      </c>
      <c r="T1711">
        <f>(Tabela2[[#This Row],[CAEC_lanche_entre_refeicoes]]*Tabela2[[#This Row],[FAVC_consumo_frequente_de_alimentos_mt_caloricos]])</f>
        <v>1</v>
      </c>
      <c r="U1711" s="1">
        <f>IF(OR(Tabela2[[#This Row],[MTRANS]]="Walking",Tabela2[[#This Row],[MTRANS]]="Bike"),Tabela2[[#This Row],[FAF_atividade_fisica_frequente_em_horas]]+1,M1711)</f>
        <v>0.165269</v>
      </c>
      <c r="V1711">
        <f>(Tabela2[[#This Row],[SMOKE]]+Tabela2[[#This Row],[CALC_bebe_alcool_frequentemente]])</f>
        <v>0</v>
      </c>
      <c r="W1711" s="8">
        <f>(Tabela2[[#This Row],[Weight]]/(Tabela2[[#This Row],[Height]] ^2))</f>
        <v>39.391648368179439</v>
      </c>
    </row>
    <row r="1712" spans="1:23" x14ac:dyDescent="0.25">
      <c r="A1712" t="s">
        <v>15</v>
      </c>
      <c r="B1712" s="7">
        <v>23.360306999999999</v>
      </c>
      <c r="C1712" s="4">
        <v>1.6106469999999999</v>
      </c>
      <c r="D1712" s="7">
        <v>100.642257</v>
      </c>
      <c r="E1712">
        <v>1</v>
      </c>
      <c r="F1712">
        <v>1</v>
      </c>
      <c r="G1712" s="2">
        <v>2.9975239999999999</v>
      </c>
      <c r="H1712" s="2">
        <v>1.154318</v>
      </c>
      <c r="I1712">
        <v>1</v>
      </c>
      <c r="J1712">
        <v>0</v>
      </c>
      <c r="K1712" s="2">
        <v>1.238057</v>
      </c>
      <c r="L1712">
        <v>0</v>
      </c>
      <c r="M1712" s="7">
        <v>1.1293</v>
      </c>
      <c r="N1712" s="7">
        <v>1.665621</v>
      </c>
      <c r="O1712">
        <v>0</v>
      </c>
      <c r="P1712" t="s">
        <v>14</v>
      </c>
      <c r="Q1712">
        <v>5</v>
      </c>
      <c r="R1712" s="8">
        <f>(Tabela2[[#This Row],[FAF_atividade_fisica_frequente_em_horas]]+ 0.1)</f>
        <v>1.2293000000000001</v>
      </c>
      <c r="S1712" s="1">
        <f>(Tabela2[[#This Row],[TUE_tempo_uso_aparelhos_em_horas]]/Tabela2[[#This Row],[FAF_Var]])</f>
        <v>1.3549345155779711</v>
      </c>
      <c r="T1712">
        <f>(Tabela2[[#This Row],[CAEC_lanche_entre_refeicoes]]*Tabela2[[#This Row],[FAVC_consumo_frequente_de_alimentos_mt_caloricos]])</f>
        <v>1</v>
      </c>
      <c r="U1712" s="1">
        <f>IF(OR(Tabela2[[#This Row],[MTRANS]]="Walking",Tabela2[[#This Row],[MTRANS]]="Bike"),Tabela2[[#This Row],[FAF_atividade_fisica_frequente_em_horas]]+1,M1712)</f>
        <v>1.1293</v>
      </c>
      <c r="V1712">
        <f>(Tabela2[[#This Row],[SMOKE]]+Tabela2[[#This Row],[CALC_bebe_alcool_frequentemente]])</f>
        <v>0</v>
      </c>
      <c r="W1712" s="8">
        <f>(Tabela2[[#This Row],[Weight]]/(Tabela2[[#This Row],[Height]] ^2))</f>
        <v>38.79534619165311</v>
      </c>
    </row>
    <row r="1713" spans="1:23" x14ac:dyDescent="0.25">
      <c r="A1713" t="s">
        <v>15</v>
      </c>
      <c r="B1713" s="7">
        <v>28.986236999999999</v>
      </c>
      <c r="C1713" s="4">
        <v>1.758618</v>
      </c>
      <c r="D1713" s="7">
        <v>113.501549</v>
      </c>
      <c r="E1713">
        <v>1</v>
      </c>
      <c r="F1713">
        <v>1</v>
      </c>
      <c r="G1713" s="2">
        <v>2.320201</v>
      </c>
      <c r="H1713" s="2">
        <v>3</v>
      </c>
      <c r="I1713">
        <v>1</v>
      </c>
      <c r="J1713">
        <v>0</v>
      </c>
      <c r="K1713" s="2">
        <v>2.164784</v>
      </c>
      <c r="L1713">
        <v>0</v>
      </c>
      <c r="M1713" s="7">
        <v>0</v>
      </c>
      <c r="N1713" s="7">
        <v>1.465479</v>
      </c>
      <c r="O1713">
        <v>1</v>
      </c>
      <c r="P1713" t="s">
        <v>17</v>
      </c>
      <c r="Q1713">
        <v>5</v>
      </c>
      <c r="R1713" s="8">
        <f>(Tabela2[[#This Row],[FAF_atividade_fisica_frequente_em_horas]]+ 0.1)</f>
        <v>0.1</v>
      </c>
      <c r="S1713" s="1">
        <f>(Tabela2[[#This Row],[TUE_tempo_uso_aparelhos_em_horas]]/Tabela2[[#This Row],[FAF_Var]])</f>
        <v>14.654789999999998</v>
      </c>
      <c r="T1713">
        <f>(Tabela2[[#This Row],[CAEC_lanche_entre_refeicoes]]*Tabela2[[#This Row],[FAVC_consumo_frequente_de_alimentos_mt_caloricos]])</f>
        <v>1</v>
      </c>
      <c r="U1713" s="1">
        <f>IF(OR(Tabela2[[#This Row],[MTRANS]]="Walking",Tabela2[[#This Row],[MTRANS]]="Bike"),Tabela2[[#This Row],[FAF_atividade_fisica_frequente_em_horas]]+1,M1713)</f>
        <v>0</v>
      </c>
      <c r="V1713">
        <f>(Tabela2[[#This Row],[SMOKE]]+Tabela2[[#This Row],[CALC_bebe_alcool_frequentemente]])</f>
        <v>1</v>
      </c>
      <c r="W1713" s="8">
        <f>(Tabela2[[#This Row],[Weight]]/(Tabela2[[#This Row],[Height]] ^2))</f>
        <v>36.699382810098562</v>
      </c>
    </row>
    <row r="1714" spans="1:23" x14ac:dyDescent="0.25">
      <c r="A1714" t="s">
        <v>15</v>
      </c>
      <c r="B1714" s="7">
        <v>29.713169000000001</v>
      </c>
      <c r="C1714" s="4">
        <v>1.7632589999999999</v>
      </c>
      <c r="D1714" s="7">
        <v>113.21581399999999</v>
      </c>
      <c r="E1714">
        <v>1</v>
      </c>
      <c r="F1714">
        <v>1</v>
      </c>
      <c r="G1714" s="2">
        <v>2.181057</v>
      </c>
      <c r="H1714" s="2">
        <v>3</v>
      </c>
      <c r="I1714">
        <v>1</v>
      </c>
      <c r="J1714">
        <v>0</v>
      </c>
      <c r="K1714" s="2">
        <v>2.0855399999999999</v>
      </c>
      <c r="L1714">
        <v>0</v>
      </c>
      <c r="M1714" s="7">
        <v>0</v>
      </c>
      <c r="N1714" s="7">
        <v>1.4390039999999999</v>
      </c>
      <c r="O1714">
        <v>1</v>
      </c>
      <c r="P1714" t="s">
        <v>17</v>
      </c>
      <c r="Q1714">
        <v>5</v>
      </c>
      <c r="R1714" s="8">
        <f>(Tabela2[[#This Row],[FAF_atividade_fisica_frequente_em_horas]]+ 0.1)</f>
        <v>0.1</v>
      </c>
      <c r="S1714" s="1">
        <f>(Tabela2[[#This Row],[TUE_tempo_uso_aparelhos_em_horas]]/Tabela2[[#This Row],[FAF_Var]])</f>
        <v>14.390039999999999</v>
      </c>
      <c r="T1714">
        <f>(Tabela2[[#This Row],[CAEC_lanche_entre_refeicoes]]*Tabela2[[#This Row],[FAVC_consumo_frequente_de_alimentos_mt_caloricos]])</f>
        <v>1</v>
      </c>
      <c r="U1714" s="1">
        <f>IF(OR(Tabela2[[#This Row],[MTRANS]]="Walking",Tabela2[[#This Row],[MTRANS]]="Bike"),Tabela2[[#This Row],[FAF_atividade_fisica_frequente_em_horas]]+1,M1714)</f>
        <v>0</v>
      </c>
      <c r="V1714">
        <f>(Tabela2[[#This Row],[SMOKE]]+Tabela2[[#This Row],[CALC_bebe_alcool_frequentemente]])</f>
        <v>1</v>
      </c>
      <c r="W1714" s="8">
        <f>(Tabela2[[#This Row],[Weight]]/(Tabela2[[#This Row],[Height]] ^2))</f>
        <v>36.414543918839293</v>
      </c>
    </row>
    <row r="1715" spans="1:23" x14ac:dyDescent="0.25">
      <c r="A1715" t="s">
        <v>15</v>
      </c>
      <c r="B1715" s="7">
        <v>27.394123</v>
      </c>
      <c r="C1715" s="4">
        <v>1.764138</v>
      </c>
      <c r="D1715" s="7">
        <v>112.323213</v>
      </c>
      <c r="E1715">
        <v>1</v>
      </c>
      <c r="F1715">
        <v>1</v>
      </c>
      <c r="G1715" s="2">
        <v>1.9246319999999999</v>
      </c>
      <c r="H1715" s="2">
        <v>3</v>
      </c>
      <c r="I1715">
        <v>1</v>
      </c>
      <c r="J1715">
        <v>0</v>
      </c>
      <c r="K1715" s="2">
        <v>2.0065949999999999</v>
      </c>
      <c r="L1715">
        <v>0</v>
      </c>
      <c r="M1715" s="7">
        <v>0.17680000000000001</v>
      </c>
      <c r="N1715" s="7">
        <v>0.51169399999999998</v>
      </c>
      <c r="O1715">
        <v>1</v>
      </c>
      <c r="P1715" t="s">
        <v>17</v>
      </c>
      <c r="Q1715">
        <v>5</v>
      </c>
      <c r="R1715" s="8">
        <f>(Tabela2[[#This Row],[FAF_atividade_fisica_frequente_em_horas]]+ 0.1)</f>
        <v>0.27680000000000005</v>
      </c>
      <c r="S1715" s="1">
        <f>(Tabela2[[#This Row],[TUE_tempo_uso_aparelhos_em_horas]]/Tabela2[[#This Row],[FAF_Var]])</f>
        <v>1.8486054913294794</v>
      </c>
      <c r="T1715">
        <f>(Tabela2[[#This Row],[CAEC_lanche_entre_refeicoes]]*Tabela2[[#This Row],[FAVC_consumo_frequente_de_alimentos_mt_caloricos]])</f>
        <v>1</v>
      </c>
      <c r="U1715" s="1">
        <f>IF(OR(Tabela2[[#This Row],[MTRANS]]="Walking",Tabela2[[#This Row],[MTRANS]]="Bike"),Tabela2[[#This Row],[FAF_atividade_fisica_frequente_em_horas]]+1,M1715)</f>
        <v>0.17680000000000001</v>
      </c>
      <c r="V1715">
        <f>(Tabela2[[#This Row],[SMOKE]]+Tabela2[[#This Row],[CALC_bebe_alcool_frequentemente]])</f>
        <v>1</v>
      </c>
      <c r="W1715" s="8">
        <f>(Tabela2[[#This Row],[Weight]]/(Tabela2[[#This Row],[Height]] ^2))</f>
        <v>36.091456453914304</v>
      </c>
    </row>
    <row r="1716" spans="1:23" x14ac:dyDescent="0.25">
      <c r="A1716" t="s">
        <v>15</v>
      </c>
      <c r="B1716" s="7">
        <v>24.912254000000001</v>
      </c>
      <c r="C1716" s="4">
        <v>1.75596</v>
      </c>
      <c r="D1716" s="7">
        <v>112.277567</v>
      </c>
      <c r="E1716">
        <v>1</v>
      </c>
      <c r="F1716">
        <v>1</v>
      </c>
      <c r="G1716" s="2">
        <v>1.3974679999999999</v>
      </c>
      <c r="H1716" s="2">
        <v>3</v>
      </c>
      <c r="I1716">
        <v>1</v>
      </c>
      <c r="J1716">
        <v>0</v>
      </c>
      <c r="K1716" s="2">
        <v>2.0189699999999999</v>
      </c>
      <c r="L1716">
        <v>0</v>
      </c>
      <c r="M1716" s="7">
        <v>0.665439</v>
      </c>
      <c r="N1716" s="7">
        <v>6.2167E-2</v>
      </c>
      <c r="O1716">
        <v>1</v>
      </c>
      <c r="P1716" t="s">
        <v>17</v>
      </c>
      <c r="Q1716">
        <v>5</v>
      </c>
      <c r="R1716" s="8">
        <f>(Tabela2[[#This Row],[FAF_atividade_fisica_frequente_em_horas]]+ 0.1)</f>
        <v>0.76543899999999998</v>
      </c>
      <c r="S1716" s="1">
        <f>(Tabela2[[#This Row],[TUE_tempo_uso_aparelhos_em_horas]]/Tabela2[[#This Row],[FAF_Var]])</f>
        <v>8.1217445152389683E-2</v>
      </c>
      <c r="T1716">
        <f>(Tabela2[[#This Row],[CAEC_lanche_entre_refeicoes]]*Tabela2[[#This Row],[FAVC_consumo_frequente_de_alimentos_mt_caloricos]])</f>
        <v>1</v>
      </c>
      <c r="U1716" s="1">
        <f>IF(OR(Tabela2[[#This Row],[MTRANS]]="Walking",Tabela2[[#This Row],[MTRANS]]="Bike"),Tabela2[[#This Row],[FAF_atividade_fisica_frequente_em_horas]]+1,M1716)</f>
        <v>0.665439</v>
      </c>
      <c r="V1716">
        <f>(Tabela2[[#This Row],[SMOKE]]+Tabela2[[#This Row],[CALC_bebe_alcool_frequentemente]])</f>
        <v>1</v>
      </c>
      <c r="W1716" s="8">
        <f>(Tabela2[[#This Row],[Weight]]/(Tabela2[[#This Row],[Height]] ^2))</f>
        <v>36.413611621819513</v>
      </c>
    </row>
    <row r="1717" spans="1:23" x14ac:dyDescent="0.25">
      <c r="A1717" t="s">
        <v>15</v>
      </c>
      <c r="B1717" s="7">
        <v>25.526745999999999</v>
      </c>
      <c r="C1717" s="4">
        <v>1.7833810000000001</v>
      </c>
      <c r="D1717" s="7">
        <v>115.347176</v>
      </c>
      <c r="E1717">
        <v>1</v>
      </c>
      <c r="F1717">
        <v>1</v>
      </c>
      <c r="G1717" s="2">
        <v>2.1914289999999998</v>
      </c>
      <c r="H1717" s="2">
        <v>3</v>
      </c>
      <c r="I1717">
        <v>1</v>
      </c>
      <c r="J1717">
        <v>0</v>
      </c>
      <c r="K1717" s="2">
        <v>2.1027089999999999</v>
      </c>
      <c r="L1717">
        <v>0</v>
      </c>
      <c r="M1717" s="7">
        <v>1.32534</v>
      </c>
      <c r="N1717" s="7">
        <v>0.38097900000000001</v>
      </c>
      <c r="O1717">
        <v>1</v>
      </c>
      <c r="P1717" t="s">
        <v>14</v>
      </c>
      <c r="Q1717">
        <v>5</v>
      </c>
      <c r="R1717" s="8">
        <f>(Tabela2[[#This Row],[FAF_atividade_fisica_frequente_em_horas]]+ 0.1)</f>
        <v>1.4253400000000001</v>
      </c>
      <c r="S1717" s="1">
        <f>(Tabela2[[#This Row],[TUE_tempo_uso_aparelhos_em_horas]]/Tabela2[[#This Row],[FAF_Var]])</f>
        <v>0.2672899097759131</v>
      </c>
      <c r="T1717">
        <f>(Tabela2[[#This Row],[CAEC_lanche_entre_refeicoes]]*Tabela2[[#This Row],[FAVC_consumo_frequente_de_alimentos_mt_caloricos]])</f>
        <v>1</v>
      </c>
      <c r="U1717" s="1">
        <f>IF(OR(Tabela2[[#This Row],[MTRANS]]="Walking",Tabela2[[#This Row],[MTRANS]]="Bike"),Tabela2[[#This Row],[FAF_atividade_fisica_frequente_em_horas]]+1,M1717)</f>
        <v>1.32534</v>
      </c>
      <c r="V1717">
        <f>(Tabela2[[#This Row],[SMOKE]]+Tabela2[[#This Row],[CALC_bebe_alcool_frequentemente]])</f>
        <v>1</v>
      </c>
      <c r="W1717" s="8">
        <f>(Tabela2[[#This Row],[Weight]]/(Tabela2[[#This Row],[Height]] ^2))</f>
        <v>36.267589840829714</v>
      </c>
    </row>
    <row r="1718" spans="1:23" x14ac:dyDescent="0.25">
      <c r="A1718" t="s">
        <v>15</v>
      </c>
      <c r="B1718" s="7">
        <v>25.523126999999999</v>
      </c>
      <c r="C1718" s="4">
        <v>1.786532</v>
      </c>
      <c r="D1718" s="7">
        <v>114.534678</v>
      </c>
      <c r="E1718">
        <v>1</v>
      </c>
      <c r="F1718">
        <v>1</v>
      </c>
      <c r="G1718" s="2">
        <v>2.100177</v>
      </c>
      <c r="H1718" s="2">
        <v>3</v>
      </c>
      <c r="I1718">
        <v>1</v>
      </c>
      <c r="J1718">
        <v>0</v>
      </c>
      <c r="K1718" s="2">
        <v>2.0996869999999999</v>
      </c>
      <c r="L1718">
        <v>0</v>
      </c>
      <c r="M1718" s="7">
        <v>1.2811650000000001</v>
      </c>
      <c r="N1718" s="7">
        <v>0.247332</v>
      </c>
      <c r="O1718">
        <v>1</v>
      </c>
      <c r="P1718" t="s">
        <v>14</v>
      </c>
      <c r="Q1718">
        <v>5</v>
      </c>
      <c r="R1718" s="8">
        <f>(Tabela2[[#This Row],[FAF_atividade_fisica_frequente_em_horas]]+ 0.1)</f>
        <v>1.3811650000000002</v>
      </c>
      <c r="S1718" s="1">
        <f>(Tabela2[[#This Row],[TUE_tempo_uso_aparelhos_em_horas]]/Tabela2[[#This Row],[FAF_Var]])</f>
        <v>0.17907491139726242</v>
      </c>
      <c r="T1718">
        <f>(Tabela2[[#This Row],[CAEC_lanche_entre_refeicoes]]*Tabela2[[#This Row],[FAVC_consumo_frequente_de_alimentos_mt_caloricos]])</f>
        <v>1</v>
      </c>
      <c r="U1718" s="1">
        <f>IF(OR(Tabela2[[#This Row],[MTRANS]]="Walking",Tabela2[[#This Row],[MTRANS]]="Bike"),Tabela2[[#This Row],[FAF_atividade_fisica_frequente_em_horas]]+1,M1718)</f>
        <v>1.2811650000000001</v>
      </c>
      <c r="V1718">
        <f>(Tabela2[[#This Row],[SMOKE]]+Tabela2[[#This Row],[CALC_bebe_alcool_frequentemente]])</f>
        <v>1</v>
      </c>
      <c r="W1718" s="8">
        <f>(Tabela2[[#This Row],[Weight]]/(Tabela2[[#This Row],[Height]] ^2))</f>
        <v>35.885202392246931</v>
      </c>
    </row>
    <row r="1719" spans="1:23" x14ac:dyDescent="0.25">
      <c r="A1719" t="s">
        <v>15</v>
      </c>
      <c r="B1719" s="7">
        <v>25.822348000000002</v>
      </c>
      <c r="C1719" s="4">
        <v>1.766626</v>
      </c>
      <c r="D1719" s="7">
        <v>114.187096</v>
      </c>
      <c r="E1719">
        <v>1</v>
      </c>
      <c r="F1719">
        <v>1</v>
      </c>
      <c r="G1719" s="2">
        <v>2.0753210000000002</v>
      </c>
      <c r="H1719" s="2">
        <v>3</v>
      </c>
      <c r="I1719">
        <v>1</v>
      </c>
      <c r="J1719">
        <v>0</v>
      </c>
      <c r="K1719" s="2">
        <v>2.144838</v>
      </c>
      <c r="L1719">
        <v>0</v>
      </c>
      <c r="M1719" s="7">
        <v>1.501754</v>
      </c>
      <c r="N1719" s="7">
        <v>0.27631899999999998</v>
      </c>
      <c r="O1719">
        <v>1</v>
      </c>
      <c r="P1719" t="s">
        <v>14</v>
      </c>
      <c r="Q1719">
        <v>5</v>
      </c>
      <c r="R1719" s="8">
        <f>(Tabela2[[#This Row],[FAF_atividade_fisica_frequente_em_horas]]+ 0.1)</f>
        <v>1.6017540000000001</v>
      </c>
      <c r="S1719" s="1">
        <f>(Tabela2[[#This Row],[TUE_tempo_uso_aparelhos_em_horas]]/Tabela2[[#This Row],[FAF_Var]])</f>
        <v>0.17251026062678787</v>
      </c>
      <c r="T1719">
        <f>(Tabela2[[#This Row],[CAEC_lanche_entre_refeicoes]]*Tabela2[[#This Row],[FAVC_consumo_frequente_de_alimentos_mt_caloricos]])</f>
        <v>1</v>
      </c>
      <c r="U1719" s="1">
        <f>IF(OR(Tabela2[[#This Row],[MTRANS]]="Walking",Tabela2[[#This Row],[MTRANS]]="Bike"),Tabela2[[#This Row],[FAF_atividade_fisica_frequente_em_horas]]+1,M1719)</f>
        <v>1.501754</v>
      </c>
      <c r="V1719">
        <f>(Tabela2[[#This Row],[SMOKE]]+Tabela2[[#This Row],[CALC_bebe_alcool_frequentemente]])</f>
        <v>1</v>
      </c>
      <c r="W1719" s="8">
        <f>(Tabela2[[#This Row],[Weight]]/(Tabela2[[#This Row],[Height]] ^2))</f>
        <v>36.58708358390632</v>
      </c>
    </row>
    <row r="1720" spans="1:23" x14ac:dyDescent="0.25">
      <c r="A1720" t="s">
        <v>15</v>
      </c>
      <c r="B1720" s="7">
        <v>25.879411000000001</v>
      </c>
      <c r="C1720" s="4">
        <v>1.7654639999999999</v>
      </c>
      <c r="D1720" s="7">
        <v>114.144378</v>
      </c>
      <c r="E1720">
        <v>1</v>
      </c>
      <c r="F1720">
        <v>1</v>
      </c>
      <c r="G1720" s="2">
        <v>1.626369</v>
      </c>
      <c r="H1720" s="2">
        <v>3</v>
      </c>
      <c r="I1720">
        <v>1</v>
      </c>
      <c r="J1720">
        <v>0</v>
      </c>
      <c r="K1720" s="2">
        <v>2.1096970000000002</v>
      </c>
      <c r="L1720">
        <v>0</v>
      </c>
      <c r="M1720" s="7">
        <v>1.352973</v>
      </c>
      <c r="N1720" s="7">
        <v>7.6692999999999997E-2</v>
      </c>
      <c r="O1720">
        <v>1</v>
      </c>
      <c r="P1720" t="s">
        <v>14</v>
      </c>
      <c r="Q1720">
        <v>5</v>
      </c>
      <c r="R1720" s="8">
        <f>(Tabela2[[#This Row],[FAF_atividade_fisica_frequente_em_horas]]+ 0.1)</f>
        <v>1.4529730000000001</v>
      </c>
      <c r="S1720" s="1">
        <f>(Tabela2[[#This Row],[TUE_tempo_uso_aparelhos_em_horas]]/Tabela2[[#This Row],[FAF_Var]])</f>
        <v>5.278349976221168E-2</v>
      </c>
      <c r="T1720">
        <f>(Tabela2[[#This Row],[CAEC_lanche_entre_refeicoes]]*Tabela2[[#This Row],[FAVC_consumo_frequente_de_alimentos_mt_caloricos]])</f>
        <v>1</v>
      </c>
      <c r="U1720" s="1">
        <f>IF(OR(Tabela2[[#This Row],[MTRANS]]="Walking",Tabela2[[#This Row],[MTRANS]]="Bike"),Tabela2[[#This Row],[FAF_atividade_fisica_frequente_em_horas]]+1,M1720)</f>
        <v>1.352973</v>
      </c>
      <c r="V1720">
        <f>(Tabela2[[#This Row],[SMOKE]]+Tabela2[[#This Row],[CALC_bebe_alcool_frequentemente]])</f>
        <v>1</v>
      </c>
      <c r="W1720" s="8">
        <f>(Tabela2[[#This Row],[Weight]]/(Tabela2[[#This Row],[Height]] ^2))</f>
        <v>36.621556046977354</v>
      </c>
    </row>
    <row r="1721" spans="1:23" x14ac:dyDescent="0.25">
      <c r="A1721" t="s">
        <v>15</v>
      </c>
      <c r="B1721" s="7">
        <v>30.361364999999999</v>
      </c>
      <c r="C1721" s="4">
        <v>1.7585299999999999</v>
      </c>
      <c r="D1721" s="7">
        <v>111.635463</v>
      </c>
      <c r="E1721">
        <v>1</v>
      </c>
      <c r="F1721">
        <v>1</v>
      </c>
      <c r="G1721" s="2">
        <v>1.2632159999999999</v>
      </c>
      <c r="H1721" s="2">
        <v>3.219347</v>
      </c>
      <c r="I1721">
        <v>1</v>
      </c>
      <c r="J1721">
        <v>0</v>
      </c>
      <c r="K1721" s="2">
        <v>1.9817819999999999</v>
      </c>
      <c r="L1721">
        <v>0</v>
      </c>
      <c r="M1721" s="7">
        <v>0.48262500000000003</v>
      </c>
      <c r="N1721" s="7">
        <v>0</v>
      </c>
      <c r="O1721">
        <v>1</v>
      </c>
      <c r="P1721" t="s">
        <v>17</v>
      </c>
      <c r="Q1721">
        <v>5</v>
      </c>
      <c r="R1721" s="8">
        <f>(Tabela2[[#This Row],[FAF_atividade_fisica_frequente_em_horas]]+ 0.1)</f>
        <v>0.58262500000000006</v>
      </c>
      <c r="S1721" s="1">
        <f>(Tabela2[[#This Row],[TUE_tempo_uso_aparelhos_em_horas]]/Tabela2[[#This Row],[FAF_Var]])</f>
        <v>0</v>
      </c>
      <c r="T1721">
        <f>(Tabela2[[#This Row],[CAEC_lanche_entre_refeicoes]]*Tabela2[[#This Row],[FAVC_consumo_frequente_de_alimentos_mt_caloricos]])</f>
        <v>1</v>
      </c>
      <c r="U1721" s="1">
        <f>IF(OR(Tabela2[[#This Row],[MTRANS]]="Walking",Tabela2[[#This Row],[MTRANS]]="Bike"),Tabela2[[#This Row],[FAF_atividade_fisica_frequente_em_horas]]+1,M1721)</f>
        <v>0.48262500000000003</v>
      </c>
      <c r="V1721">
        <f>(Tabela2[[#This Row],[SMOKE]]+Tabela2[[#This Row],[CALC_bebe_alcool_frequentemente]])</f>
        <v>1</v>
      </c>
      <c r="W1721" s="8">
        <f>(Tabela2[[#This Row],[Weight]]/(Tabela2[[#This Row],[Height]] ^2))</f>
        <v>36.099618691661966</v>
      </c>
    </row>
    <row r="1722" spans="1:23" x14ac:dyDescent="0.25">
      <c r="A1722" t="s">
        <v>15</v>
      </c>
      <c r="B1722" s="7">
        <v>30.451174000000002</v>
      </c>
      <c r="C1722" s="4">
        <v>1.7585390000000001</v>
      </c>
      <c r="D1722" s="7">
        <v>111.950413</v>
      </c>
      <c r="E1722">
        <v>1</v>
      </c>
      <c r="F1722">
        <v>1</v>
      </c>
      <c r="G1722" s="2">
        <v>1.067909</v>
      </c>
      <c r="H1722" s="2">
        <v>3.6564009999999998</v>
      </c>
      <c r="I1722">
        <v>1</v>
      </c>
      <c r="J1722">
        <v>0</v>
      </c>
      <c r="K1722" s="2">
        <v>1.9845900000000001</v>
      </c>
      <c r="L1722">
        <v>0</v>
      </c>
      <c r="M1722" s="7">
        <v>5.4238000000000001E-2</v>
      </c>
      <c r="N1722" s="7">
        <v>0</v>
      </c>
      <c r="O1722">
        <v>1</v>
      </c>
      <c r="P1722" t="s">
        <v>17</v>
      </c>
      <c r="Q1722">
        <v>5</v>
      </c>
      <c r="R1722" s="8">
        <f>(Tabela2[[#This Row],[FAF_atividade_fisica_frequente_em_horas]]+ 0.1)</f>
        <v>0.15423800000000001</v>
      </c>
      <c r="S1722" s="1">
        <f>(Tabela2[[#This Row],[TUE_tempo_uso_aparelhos_em_horas]]/Tabela2[[#This Row],[FAF_Var]])</f>
        <v>0</v>
      </c>
      <c r="T1722">
        <f>(Tabela2[[#This Row],[CAEC_lanche_entre_refeicoes]]*Tabela2[[#This Row],[FAVC_consumo_frequente_de_alimentos_mt_caloricos]])</f>
        <v>1</v>
      </c>
      <c r="U1722" s="1">
        <f>IF(OR(Tabela2[[#This Row],[MTRANS]]="Walking",Tabela2[[#This Row],[MTRANS]]="Bike"),Tabela2[[#This Row],[FAF_atividade_fisica_frequente_em_horas]]+1,M1722)</f>
        <v>5.4238000000000001E-2</v>
      </c>
      <c r="V1722">
        <f>(Tabela2[[#This Row],[SMOKE]]+Tabela2[[#This Row],[CALC_bebe_alcool_frequentemente]])</f>
        <v>1</v>
      </c>
      <c r="W1722" s="8">
        <f>(Tabela2[[#This Row],[Weight]]/(Tabela2[[#This Row],[Height]] ^2))</f>
        <v>36.201093690776958</v>
      </c>
    </row>
    <row r="1723" spans="1:23" x14ac:dyDescent="0.25">
      <c r="A1723" t="s">
        <v>15</v>
      </c>
      <c r="B1723" s="7">
        <v>40.564512999999998</v>
      </c>
      <c r="C1723" s="4">
        <v>1.7480150000000001</v>
      </c>
      <c r="D1723" s="7">
        <v>109.758736</v>
      </c>
      <c r="E1723">
        <v>1</v>
      </c>
      <c r="F1723">
        <v>1</v>
      </c>
      <c r="G1723" s="2">
        <v>2.3107510000000002</v>
      </c>
      <c r="H1723" s="2">
        <v>3.2201810000000002</v>
      </c>
      <c r="I1723">
        <v>1</v>
      </c>
      <c r="J1723">
        <v>0</v>
      </c>
      <c r="K1723" s="2">
        <v>1.006643</v>
      </c>
      <c r="L1723">
        <v>0</v>
      </c>
      <c r="M1723" s="7">
        <v>1.15804</v>
      </c>
      <c r="N1723" s="7">
        <v>0</v>
      </c>
      <c r="O1723">
        <v>0</v>
      </c>
      <c r="P1723" t="s">
        <v>17</v>
      </c>
      <c r="Q1723">
        <v>5</v>
      </c>
      <c r="R1723" s="8">
        <f>(Tabela2[[#This Row],[FAF_atividade_fisica_frequente_em_horas]]+ 0.1)</f>
        <v>1.25804</v>
      </c>
      <c r="S1723" s="1">
        <f>(Tabela2[[#This Row],[TUE_tempo_uso_aparelhos_em_horas]]/Tabela2[[#This Row],[FAF_Var]])</f>
        <v>0</v>
      </c>
      <c r="T1723">
        <f>(Tabela2[[#This Row],[CAEC_lanche_entre_refeicoes]]*Tabela2[[#This Row],[FAVC_consumo_frequente_de_alimentos_mt_caloricos]])</f>
        <v>1</v>
      </c>
      <c r="U1723" s="1">
        <f>IF(OR(Tabela2[[#This Row],[MTRANS]]="Walking",Tabela2[[#This Row],[MTRANS]]="Bike"),Tabela2[[#This Row],[FAF_atividade_fisica_frequente_em_horas]]+1,M1723)</f>
        <v>1.15804</v>
      </c>
      <c r="V1723">
        <f>(Tabela2[[#This Row],[SMOKE]]+Tabela2[[#This Row],[CALC_bebe_alcool_frequentemente]])</f>
        <v>0</v>
      </c>
      <c r="W1723" s="8">
        <f>(Tabela2[[#This Row],[Weight]]/(Tabela2[[#This Row],[Height]] ^2))</f>
        <v>35.921030472576632</v>
      </c>
    </row>
    <row r="1724" spans="1:23" x14ac:dyDescent="0.25">
      <c r="A1724" t="s">
        <v>15</v>
      </c>
      <c r="B1724" s="7">
        <v>40.501722000000001</v>
      </c>
      <c r="C1724" s="4">
        <v>1.744974</v>
      </c>
      <c r="D1724" s="7">
        <v>111.169678</v>
      </c>
      <c r="E1724">
        <v>1</v>
      </c>
      <c r="F1724">
        <v>1</v>
      </c>
      <c r="G1724" s="2">
        <v>2.2942589999999998</v>
      </c>
      <c r="H1724" s="2">
        <v>2.8509479999999998</v>
      </c>
      <c r="I1724">
        <v>1</v>
      </c>
      <c r="J1724">
        <v>0</v>
      </c>
      <c r="K1724" s="2">
        <v>1.87029</v>
      </c>
      <c r="L1724">
        <v>0</v>
      </c>
      <c r="M1724" s="7">
        <v>0.917014</v>
      </c>
      <c r="N1724" s="7">
        <v>0</v>
      </c>
      <c r="O1724">
        <v>0</v>
      </c>
      <c r="P1724" t="s">
        <v>17</v>
      </c>
      <c r="Q1724">
        <v>5</v>
      </c>
      <c r="R1724" s="8">
        <f>(Tabela2[[#This Row],[FAF_atividade_fisica_frequente_em_horas]]+ 0.1)</f>
        <v>1.0170140000000001</v>
      </c>
      <c r="S1724" s="1">
        <f>(Tabela2[[#This Row],[TUE_tempo_uso_aparelhos_em_horas]]/Tabela2[[#This Row],[FAF_Var]])</f>
        <v>0</v>
      </c>
      <c r="T1724">
        <f>(Tabela2[[#This Row],[CAEC_lanche_entre_refeicoes]]*Tabela2[[#This Row],[FAVC_consumo_frequente_de_alimentos_mt_caloricos]])</f>
        <v>1</v>
      </c>
      <c r="U1724" s="1">
        <f>IF(OR(Tabela2[[#This Row],[MTRANS]]="Walking",Tabela2[[#This Row],[MTRANS]]="Bike"),Tabela2[[#This Row],[FAF_atividade_fisica_frequente_em_horas]]+1,M1724)</f>
        <v>0.917014</v>
      </c>
      <c r="V1724">
        <f>(Tabela2[[#This Row],[SMOKE]]+Tabela2[[#This Row],[CALC_bebe_alcool_frequentemente]])</f>
        <v>0</v>
      </c>
      <c r="W1724" s="8">
        <f>(Tabela2[[#This Row],[Weight]]/(Tabela2[[#This Row],[Height]] ^2))</f>
        <v>36.509713669588201</v>
      </c>
    </row>
    <row r="1725" spans="1:23" x14ac:dyDescent="0.25">
      <c r="A1725" t="s">
        <v>15</v>
      </c>
      <c r="B1725" s="7">
        <v>30.315784000000001</v>
      </c>
      <c r="C1725" s="4">
        <v>1.7015659999999999</v>
      </c>
      <c r="D1725" s="7">
        <v>103.743534</v>
      </c>
      <c r="E1725">
        <v>1</v>
      </c>
      <c r="F1725">
        <v>1</v>
      </c>
      <c r="G1725" s="2">
        <v>2.5764900000000002</v>
      </c>
      <c r="H1725" s="2">
        <v>2.1871450000000001</v>
      </c>
      <c r="I1725">
        <v>1</v>
      </c>
      <c r="J1725">
        <v>0</v>
      </c>
      <c r="K1725" s="2">
        <v>1.38107</v>
      </c>
      <c r="L1725">
        <v>0</v>
      </c>
      <c r="M1725" s="7">
        <v>1.928275</v>
      </c>
      <c r="N1725" s="7">
        <v>0.413663</v>
      </c>
      <c r="O1725">
        <v>0</v>
      </c>
      <c r="P1725" t="s">
        <v>14</v>
      </c>
      <c r="Q1725">
        <v>5</v>
      </c>
      <c r="R1725" s="8">
        <f>(Tabela2[[#This Row],[FAF_atividade_fisica_frequente_em_horas]]+ 0.1)</f>
        <v>2.0282749999999998</v>
      </c>
      <c r="S1725" s="1">
        <f>(Tabela2[[#This Row],[TUE_tempo_uso_aparelhos_em_horas]]/Tabela2[[#This Row],[FAF_Var]])</f>
        <v>0.20394818256893174</v>
      </c>
      <c r="T1725">
        <f>(Tabela2[[#This Row],[CAEC_lanche_entre_refeicoes]]*Tabela2[[#This Row],[FAVC_consumo_frequente_de_alimentos_mt_caloricos]])</f>
        <v>1</v>
      </c>
      <c r="U1725" s="1">
        <f>IF(OR(Tabela2[[#This Row],[MTRANS]]="Walking",Tabela2[[#This Row],[MTRANS]]="Bike"),Tabela2[[#This Row],[FAF_atividade_fisica_frequente_em_horas]]+1,M1725)</f>
        <v>1.928275</v>
      </c>
      <c r="V1725">
        <f>(Tabela2[[#This Row],[SMOKE]]+Tabela2[[#This Row],[CALC_bebe_alcool_frequentemente]])</f>
        <v>0</v>
      </c>
      <c r="W1725" s="8">
        <f>(Tabela2[[#This Row],[Weight]]/(Tabela2[[#This Row],[Height]] ^2))</f>
        <v>35.831372169805732</v>
      </c>
    </row>
    <row r="1726" spans="1:23" x14ac:dyDescent="0.25">
      <c r="A1726" t="s">
        <v>15</v>
      </c>
      <c r="B1726" s="7">
        <v>33.293165999999999</v>
      </c>
      <c r="C1726" s="4">
        <v>1.696412</v>
      </c>
      <c r="D1726" s="7">
        <v>103.250355</v>
      </c>
      <c r="E1726">
        <v>1</v>
      </c>
      <c r="F1726">
        <v>1</v>
      </c>
      <c r="G1726" s="2">
        <v>2.6796639999999998</v>
      </c>
      <c r="H1726" s="2">
        <v>2.4155220000000002</v>
      </c>
      <c r="I1726">
        <v>1</v>
      </c>
      <c r="J1726">
        <v>0</v>
      </c>
      <c r="K1726" s="2">
        <v>1</v>
      </c>
      <c r="L1726">
        <v>0</v>
      </c>
      <c r="M1726" s="7">
        <v>1.987296</v>
      </c>
      <c r="N1726" s="7">
        <v>0</v>
      </c>
      <c r="O1726">
        <v>0</v>
      </c>
      <c r="P1726" t="s">
        <v>14</v>
      </c>
      <c r="Q1726">
        <v>5</v>
      </c>
      <c r="R1726" s="8">
        <f>(Tabela2[[#This Row],[FAF_atividade_fisica_frequente_em_horas]]+ 0.1)</f>
        <v>2.0872959999999998</v>
      </c>
      <c r="S1726" s="1">
        <f>(Tabela2[[#This Row],[TUE_tempo_uso_aparelhos_em_horas]]/Tabela2[[#This Row],[FAF_Var]])</f>
        <v>0</v>
      </c>
      <c r="T1726">
        <f>(Tabela2[[#This Row],[CAEC_lanche_entre_refeicoes]]*Tabela2[[#This Row],[FAVC_consumo_frequente_de_alimentos_mt_caloricos]])</f>
        <v>1</v>
      </c>
      <c r="U1726" s="1">
        <f>IF(OR(Tabela2[[#This Row],[MTRANS]]="Walking",Tabela2[[#This Row],[MTRANS]]="Bike"),Tabela2[[#This Row],[FAF_atividade_fisica_frequente_em_horas]]+1,M1726)</f>
        <v>1.987296</v>
      </c>
      <c r="V1726">
        <f>(Tabela2[[#This Row],[SMOKE]]+Tabela2[[#This Row],[CALC_bebe_alcool_frequentemente]])</f>
        <v>0</v>
      </c>
      <c r="W1726" s="8">
        <f>(Tabela2[[#This Row],[Weight]]/(Tabela2[[#This Row],[Height]] ^2))</f>
        <v>35.878054212478794</v>
      </c>
    </row>
    <row r="1727" spans="1:23" x14ac:dyDescent="0.25">
      <c r="A1727" t="s">
        <v>15</v>
      </c>
      <c r="B1727" s="7">
        <v>30.638943999999999</v>
      </c>
      <c r="C1727" s="4">
        <v>1.6804889999999999</v>
      </c>
      <c r="D1727" s="7">
        <v>102.004554</v>
      </c>
      <c r="E1727">
        <v>1</v>
      </c>
      <c r="F1727">
        <v>1</v>
      </c>
      <c r="G1727" s="2">
        <v>2.9386869999999998</v>
      </c>
      <c r="H1727" s="2">
        <v>2.1383749999999999</v>
      </c>
      <c r="I1727">
        <v>1</v>
      </c>
      <c r="J1727">
        <v>0</v>
      </c>
      <c r="K1727" s="2">
        <v>1.2517149999999999</v>
      </c>
      <c r="L1727">
        <v>0</v>
      </c>
      <c r="M1727" s="7">
        <v>1.1818109999999999</v>
      </c>
      <c r="N1727" s="7">
        <v>0.77837500000000004</v>
      </c>
      <c r="O1727">
        <v>0</v>
      </c>
      <c r="P1727" t="s">
        <v>14</v>
      </c>
      <c r="Q1727">
        <v>5</v>
      </c>
      <c r="R1727" s="8">
        <f>(Tabela2[[#This Row],[FAF_atividade_fisica_frequente_em_horas]]+ 0.1)</f>
        <v>1.281811</v>
      </c>
      <c r="S1727" s="1">
        <f>(Tabela2[[#This Row],[TUE_tempo_uso_aparelhos_em_horas]]/Tabela2[[#This Row],[FAF_Var]])</f>
        <v>0.60724631010343955</v>
      </c>
      <c r="T1727">
        <f>(Tabela2[[#This Row],[CAEC_lanche_entre_refeicoes]]*Tabela2[[#This Row],[FAVC_consumo_frequente_de_alimentos_mt_caloricos]])</f>
        <v>1</v>
      </c>
      <c r="U1727" s="1">
        <f>IF(OR(Tabela2[[#This Row],[MTRANS]]="Walking",Tabela2[[#This Row],[MTRANS]]="Bike"),Tabela2[[#This Row],[FAF_atividade_fisica_frequente_em_horas]]+1,M1727)</f>
        <v>1.1818109999999999</v>
      </c>
      <c r="V1727">
        <f>(Tabela2[[#This Row],[SMOKE]]+Tabela2[[#This Row],[CALC_bebe_alcool_frequentemente]])</f>
        <v>0</v>
      </c>
      <c r="W1727" s="8">
        <f>(Tabela2[[#This Row],[Weight]]/(Tabela2[[#This Row],[Height]] ^2))</f>
        <v>36.120039219706833</v>
      </c>
    </row>
    <row r="1728" spans="1:23" x14ac:dyDescent="0.25">
      <c r="A1728" t="s">
        <v>15</v>
      </c>
      <c r="B1728" s="7">
        <v>29.791101000000001</v>
      </c>
      <c r="C1728" s="4">
        <v>1.703317</v>
      </c>
      <c r="D1728" s="7">
        <v>102.59217099999999</v>
      </c>
      <c r="E1728">
        <v>1</v>
      </c>
      <c r="F1728">
        <v>1</v>
      </c>
      <c r="G1728" s="2">
        <v>2.654792</v>
      </c>
      <c r="H1728" s="2">
        <v>1.077331</v>
      </c>
      <c r="I1728">
        <v>1</v>
      </c>
      <c r="J1728">
        <v>0</v>
      </c>
      <c r="K1728" s="2">
        <v>1.345407</v>
      </c>
      <c r="L1728">
        <v>0</v>
      </c>
      <c r="M1728" s="7">
        <v>0.32741799999999999</v>
      </c>
      <c r="N1728" s="7">
        <v>0.38686100000000001</v>
      </c>
      <c r="O1728">
        <v>0</v>
      </c>
      <c r="P1728" t="s">
        <v>14</v>
      </c>
      <c r="Q1728">
        <v>5</v>
      </c>
      <c r="R1728" s="8">
        <f>(Tabela2[[#This Row],[FAF_atividade_fisica_frequente_em_horas]]+ 0.1)</f>
        <v>0.42741799999999996</v>
      </c>
      <c r="S1728" s="1">
        <f>(Tabela2[[#This Row],[TUE_tempo_uso_aparelhos_em_horas]]/Tabela2[[#This Row],[FAF_Var]])</f>
        <v>0.90511162375005272</v>
      </c>
      <c r="T1728">
        <f>(Tabela2[[#This Row],[CAEC_lanche_entre_refeicoes]]*Tabela2[[#This Row],[FAVC_consumo_frequente_de_alimentos_mt_caloricos]])</f>
        <v>1</v>
      </c>
      <c r="U1728" s="1">
        <f>IF(OR(Tabela2[[#This Row],[MTRANS]]="Walking",Tabela2[[#This Row],[MTRANS]]="Bike"),Tabela2[[#This Row],[FAF_atividade_fisica_frequente_em_horas]]+1,M1728)</f>
        <v>0.32741799999999999</v>
      </c>
      <c r="V1728">
        <f>(Tabela2[[#This Row],[SMOKE]]+Tabela2[[#This Row],[CALC_bebe_alcool_frequentemente]])</f>
        <v>0</v>
      </c>
      <c r="W1728" s="8">
        <f>(Tabela2[[#This Row],[Weight]]/(Tabela2[[#This Row],[Height]] ^2))</f>
        <v>35.360895789480431</v>
      </c>
    </row>
    <row r="1729" spans="1:23" x14ac:dyDescent="0.25">
      <c r="A1729" t="s">
        <v>15</v>
      </c>
      <c r="B1729" s="7">
        <v>31.205667999999999</v>
      </c>
      <c r="C1729" s="4">
        <v>1.877732</v>
      </c>
      <c r="D1729" s="7">
        <v>127.16138100000001</v>
      </c>
      <c r="E1729">
        <v>1</v>
      </c>
      <c r="F1729">
        <v>1</v>
      </c>
      <c r="G1729" s="2">
        <v>2.7313679999999998</v>
      </c>
      <c r="H1729" s="2">
        <v>3</v>
      </c>
      <c r="I1729">
        <v>1</v>
      </c>
      <c r="J1729">
        <v>1</v>
      </c>
      <c r="K1729" s="2">
        <v>1.4868239999999999</v>
      </c>
      <c r="L1729">
        <v>0</v>
      </c>
      <c r="M1729" s="7">
        <v>1.485978</v>
      </c>
      <c r="N1729" s="7">
        <v>1.150439</v>
      </c>
      <c r="O1729">
        <v>1</v>
      </c>
      <c r="P1729" t="s">
        <v>14</v>
      </c>
      <c r="Q1729">
        <v>5</v>
      </c>
      <c r="R1729" s="8">
        <f>(Tabela2[[#This Row],[FAF_atividade_fisica_frequente_em_horas]]+ 0.1)</f>
        <v>1.5859780000000001</v>
      </c>
      <c r="S1729" s="1">
        <f>(Tabela2[[#This Row],[TUE_tempo_uso_aparelhos_em_horas]]/Tabela2[[#This Row],[FAF_Var]])</f>
        <v>0.72538143656469378</v>
      </c>
      <c r="T1729">
        <f>(Tabela2[[#This Row],[CAEC_lanche_entre_refeicoes]]*Tabela2[[#This Row],[FAVC_consumo_frequente_de_alimentos_mt_caloricos]])</f>
        <v>1</v>
      </c>
      <c r="U1729" s="1">
        <f>IF(OR(Tabela2[[#This Row],[MTRANS]]="Walking",Tabela2[[#This Row],[MTRANS]]="Bike"),Tabela2[[#This Row],[FAF_atividade_fisica_frequente_em_horas]]+1,M1729)</f>
        <v>1.485978</v>
      </c>
      <c r="V1729">
        <f>(Tabela2[[#This Row],[SMOKE]]+Tabela2[[#This Row],[CALC_bebe_alcool_frequentemente]])</f>
        <v>2</v>
      </c>
      <c r="W1729" s="8">
        <f>(Tabela2[[#This Row],[Weight]]/(Tabela2[[#This Row],[Height]] ^2))</f>
        <v>36.065173082358562</v>
      </c>
    </row>
    <row r="1730" spans="1:23" x14ac:dyDescent="0.25">
      <c r="A1730" t="s">
        <v>15</v>
      </c>
      <c r="B1730" s="7">
        <v>30.899218999999999</v>
      </c>
      <c r="C1730" s="4">
        <v>1.9096390000000001</v>
      </c>
      <c r="D1730" s="7">
        <v>129.01317800000001</v>
      </c>
      <c r="E1730">
        <v>1</v>
      </c>
      <c r="F1730">
        <v>1</v>
      </c>
      <c r="G1730" s="2">
        <v>2.2225899999999998</v>
      </c>
      <c r="H1730" s="2">
        <v>3</v>
      </c>
      <c r="I1730">
        <v>1</v>
      </c>
      <c r="J1730">
        <v>1</v>
      </c>
      <c r="K1730" s="2">
        <v>1.591909</v>
      </c>
      <c r="L1730">
        <v>0</v>
      </c>
      <c r="M1730" s="7">
        <v>1.392026</v>
      </c>
      <c r="N1730" s="7">
        <v>0.91772699999999996</v>
      </c>
      <c r="O1730">
        <v>1</v>
      </c>
      <c r="P1730" t="s">
        <v>14</v>
      </c>
      <c r="Q1730">
        <v>5</v>
      </c>
      <c r="R1730" s="8">
        <f>(Tabela2[[#This Row],[FAF_atividade_fisica_frequente_em_horas]]+ 0.1)</f>
        <v>1.4920260000000001</v>
      </c>
      <c r="S1730" s="1">
        <f>(Tabela2[[#This Row],[TUE_tempo_uso_aparelhos_em_horas]]/Tabela2[[#This Row],[FAF_Var]])</f>
        <v>0.61508780678084696</v>
      </c>
      <c r="T1730">
        <f>(Tabela2[[#This Row],[CAEC_lanche_entre_refeicoes]]*Tabela2[[#This Row],[FAVC_consumo_frequente_de_alimentos_mt_caloricos]])</f>
        <v>1</v>
      </c>
      <c r="U1730" s="1">
        <f>IF(OR(Tabela2[[#This Row],[MTRANS]]="Walking",Tabela2[[#This Row],[MTRANS]]="Bike"),Tabela2[[#This Row],[FAF_atividade_fisica_frequente_em_horas]]+1,M1730)</f>
        <v>1.392026</v>
      </c>
      <c r="V1730">
        <f>(Tabela2[[#This Row],[SMOKE]]+Tabela2[[#This Row],[CALC_bebe_alcool_frequentemente]])</f>
        <v>2</v>
      </c>
      <c r="W1730" s="8">
        <f>(Tabela2[[#This Row],[Weight]]/(Tabela2[[#This Row],[Height]] ^2))</f>
        <v>35.377857011018783</v>
      </c>
    </row>
    <row r="1731" spans="1:23" x14ac:dyDescent="0.25">
      <c r="A1731" t="s">
        <v>15</v>
      </c>
      <c r="B1731" s="7">
        <v>29.669218999999998</v>
      </c>
      <c r="C1731" s="4">
        <v>1.9091880000000001</v>
      </c>
      <c r="D1731" s="7">
        <v>129.19449</v>
      </c>
      <c r="E1731">
        <v>1</v>
      </c>
      <c r="F1731">
        <v>1</v>
      </c>
      <c r="G1731" s="2">
        <v>2.4323549999999998</v>
      </c>
      <c r="H1731" s="2">
        <v>3</v>
      </c>
      <c r="I1731">
        <v>1</v>
      </c>
      <c r="J1731">
        <v>0</v>
      </c>
      <c r="K1731" s="2">
        <v>1.3365260000000001</v>
      </c>
      <c r="L1731">
        <v>0</v>
      </c>
      <c r="M1731" s="7">
        <v>1.63812</v>
      </c>
      <c r="N1731" s="7">
        <v>9.0341000000000005E-2</v>
      </c>
      <c r="O1731">
        <v>1</v>
      </c>
      <c r="P1731" t="s">
        <v>14</v>
      </c>
      <c r="Q1731">
        <v>5</v>
      </c>
      <c r="R1731" s="8">
        <f>(Tabela2[[#This Row],[FAF_atividade_fisica_frequente_em_horas]]+ 0.1)</f>
        <v>1.7381200000000001</v>
      </c>
      <c r="S1731" s="1">
        <f>(Tabela2[[#This Row],[TUE_tempo_uso_aparelhos_em_horas]]/Tabela2[[#This Row],[FAF_Var]])</f>
        <v>5.1976273214737759E-2</v>
      </c>
      <c r="T1731">
        <f>(Tabela2[[#This Row],[CAEC_lanche_entre_refeicoes]]*Tabela2[[#This Row],[FAVC_consumo_frequente_de_alimentos_mt_caloricos]])</f>
        <v>1</v>
      </c>
      <c r="U1731" s="1">
        <f>IF(OR(Tabela2[[#This Row],[MTRANS]]="Walking",Tabela2[[#This Row],[MTRANS]]="Bike"),Tabela2[[#This Row],[FAF_atividade_fisica_frequente_em_horas]]+1,M1731)</f>
        <v>1.63812</v>
      </c>
      <c r="V1731">
        <f>(Tabela2[[#This Row],[SMOKE]]+Tabela2[[#This Row],[CALC_bebe_alcool_frequentemente]])</f>
        <v>1</v>
      </c>
      <c r="W1731" s="8">
        <f>(Tabela2[[#This Row],[Weight]]/(Tabela2[[#This Row],[Height]] ^2))</f>
        <v>35.44431600755675</v>
      </c>
    </row>
    <row r="1732" spans="1:23" x14ac:dyDescent="0.25">
      <c r="A1732" t="s">
        <v>15</v>
      </c>
      <c r="B1732" s="7">
        <v>30.595631999999998</v>
      </c>
      <c r="C1732" s="4">
        <v>1.9106719999999999</v>
      </c>
      <c r="D1732" s="7">
        <v>129.232708</v>
      </c>
      <c r="E1732">
        <v>1</v>
      </c>
      <c r="F1732">
        <v>1</v>
      </c>
      <c r="G1732" s="2">
        <v>2.4975480000000001</v>
      </c>
      <c r="H1732" s="2">
        <v>3</v>
      </c>
      <c r="I1732">
        <v>1</v>
      </c>
      <c r="J1732">
        <v>0</v>
      </c>
      <c r="K1732" s="2">
        <v>1.3625830000000001</v>
      </c>
      <c r="L1732">
        <v>0</v>
      </c>
      <c r="M1732" s="7">
        <v>1.1440760000000001</v>
      </c>
      <c r="N1732" s="7">
        <v>0.173232</v>
      </c>
      <c r="O1732">
        <v>1</v>
      </c>
      <c r="P1732" t="s">
        <v>14</v>
      </c>
      <c r="Q1732">
        <v>5</v>
      </c>
      <c r="R1732" s="8">
        <f>(Tabela2[[#This Row],[FAF_atividade_fisica_frequente_em_horas]]+ 0.1)</f>
        <v>1.2440760000000002</v>
      </c>
      <c r="S1732" s="1">
        <f>(Tabela2[[#This Row],[TUE_tempo_uso_aparelhos_em_horas]]/Tabela2[[#This Row],[FAF_Var]])</f>
        <v>0.13924551233204399</v>
      </c>
      <c r="T1732">
        <f>(Tabela2[[#This Row],[CAEC_lanche_entre_refeicoes]]*Tabela2[[#This Row],[FAVC_consumo_frequente_de_alimentos_mt_caloricos]])</f>
        <v>1</v>
      </c>
      <c r="U1732" s="1">
        <f>IF(OR(Tabela2[[#This Row],[MTRANS]]="Walking",Tabela2[[#This Row],[MTRANS]]="Bike"),Tabela2[[#This Row],[FAF_atividade_fisica_frequente_em_horas]]+1,M1732)</f>
        <v>1.1440760000000001</v>
      </c>
      <c r="V1732">
        <f>(Tabela2[[#This Row],[SMOKE]]+Tabela2[[#This Row],[CALC_bebe_alcool_frequentemente]])</f>
        <v>1</v>
      </c>
      <c r="W1732" s="8">
        <f>(Tabela2[[#This Row],[Weight]]/(Tabela2[[#This Row],[Height]] ^2))</f>
        <v>35.399747662016409</v>
      </c>
    </row>
    <row r="1733" spans="1:23" x14ac:dyDescent="0.25">
      <c r="A1733" t="s">
        <v>15</v>
      </c>
      <c r="B1733" s="7">
        <v>30.554956000000001</v>
      </c>
      <c r="C1733" s="4">
        <v>1.7791360000000001</v>
      </c>
      <c r="D1733" s="7">
        <v>120.60093999999999</v>
      </c>
      <c r="E1733">
        <v>1</v>
      </c>
      <c r="F1733">
        <v>1</v>
      </c>
      <c r="G1733" s="2">
        <v>2.6712379999999998</v>
      </c>
      <c r="H1733" s="2">
        <v>3</v>
      </c>
      <c r="I1733">
        <v>1</v>
      </c>
      <c r="J1733">
        <v>0</v>
      </c>
      <c r="K1733" s="2">
        <v>2.1453679999999999</v>
      </c>
      <c r="L1733">
        <v>0</v>
      </c>
      <c r="M1733" s="7">
        <v>0.88270899999999997</v>
      </c>
      <c r="N1733" s="7">
        <v>0.59391700000000003</v>
      </c>
      <c r="O1733">
        <v>1</v>
      </c>
      <c r="P1733" t="s">
        <v>17</v>
      </c>
      <c r="Q1733">
        <v>5</v>
      </c>
      <c r="R1733" s="8">
        <f>(Tabela2[[#This Row],[FAF_atividade_fisica_frequente_em_horas]]+ 0.1)</f>
        <v>0.98270899999999994</v>
      </c>
      <c r="S1733" s="1">
        <f>(Tabela2[[#This Row],[TUE_tempo_uso_aparelhos_em_horas]]/Tabela2[[#This Row],[FAF_Var]])</f>
        <v>0.60436711172890456</v>
      </c>
      <c r="T1733">
        <f>(Tabela2[[#This Row],[CAEC_lanche_entre_refeicoes]]*Tabela2[[#This Row],[FAVC_consumo_frequente_de_alimentos_mt_caloricos]])</f>
        <v>1</v>
      </c>
      <c r="U1733" s="1">
        <f>IF(OR(Tabela2[[#This Row],[MTRANS]]="Walking",Tabela2[[#This Row],[MTRANS]]="Bike"),Tabela2[[#This Row],[FAF_atividade_fisica_frequente_em_horas]]+1,M1733)</f>
        <v>0.88270899999999997</v>
      </c>
      <c r="V1733">
        <f>(Tabela2[[#This Row],[SMOKE]]+Tabela2[[#This Row],[CALC_bebe_alcool_frequentemente]])</f>
        <v>1</v>
      </c>
      <c r="W1733" s="8">
        <f>(Tabela2[[#This Row],[Weight]]/(Tabela2[[#This Row],[Height]] ^2))</f>
        <v>38.100651137738865</v>
      </c>
    </row>
    <row r="1734" spans="1:23" x14ac:dyDescent="0.25">
      <c r="A1734" t="s">
        <v>15</v>
      </c>
      <c r="B1734" s="7">
        <v>31.571391999999999</v>
      </c>
      <c r="C1734" s="4">
        <v>1.767485</v>
      </c>
      <c r="D1734" s="7">
        <v>120.15804900000001</v>
      </c>
      <c r="E1734">
        <v>1</v>
      </c>
      <c r="F1734">
        <v>1</v>
      </c>
      <c r="G1734" s="2">
        <v>2.5769099999999998</v>
      </c>
      <c r="H1734" s="2">
        <v>3</v>
      </c>
      <c r="I1734">
        <v>1</v>
      </c>
      <c r="J1734">
        <v>0</v>
      </c>
      <c r="K1734" s="2">
        <v>2.080187</v>
      </c>
      <c r="L1734">
        <v>0</v>
      </c>
      <c r="M1734" s="7">
        <v>1.0426800000000001</v>
      </c>
      <c r="N1734" s="7">
        <v>0.37668299999999999</v>
      </c>
      <c r="O1734">
        <v>1</v>
      </c>
      <c r="P1734" t="s">
        <v>17</v>
      </c>
      <c r="Q1734">
        <v>5</v>
      </c>
      <c r="R1734" s="8">
        <f>(Tabela2[[#This Row],[FAF_atividade_fisica_frequente_em_horas]]+ 0.1)</f>
        <v>1.1426800000000001</v>
      </c>
      <c r="S1734" s="1">
        <f>(Tabela2[[#This Row],[TUE_tempo_uso_aparelhos_em_horas]]/Tabela2[[#This Row],[FAF_Var]])</f>
        <v>0.32964872055168548</v>
      </c>
      <c r="T1734">
        <f>(Tabela2[[#This Row],[CAEC_lanche_entre_refeicoes]]*Tabela2[[#This Row],[FAVC_consumo_frequente_de_alimentos_mt_caloricos]])</f>
        <v>1</v>
      </c>
      <c r="U1734" s="1">
        <f>IF(OR(Tabela2[[#This Row],[MTRANS]]="Walking",Tabela2[[#This Row],[MTRANS]]="Bike"),Tabela2[[#This Row],[FAF_atividade_fisica_frequente_em_horas]]+1,M1734)</f>
        <v>1.0426800000000001</v>
      </c>
      <c r="V1734">
        <f>(Tabela2[[#This Row],[SMOKE]]+Tabela2[[#This Row],[CALC_bebe_alcool_frequentemente]])</f>
        <v>1</v>
      </c>
      <c r="W1734" s="8">
        <f>(Tabela2[[#This Row],[Weight]]/(Tabela2[[#This Row],[Height]] ^2))</f>
        <v>38.462844093685554</v>
      </c>
    </row>
    <row r="1735" spans="1:23" x14ac:dyDescent="0.25">
      <c r="A1735" t="s">
        <v>15</v>
      </c>
      <c r="B1735" s="7">
        <v>30.577943999999999</v>
      </c>
      <c r="C1735" s="4">
        <v>1.7839529999999999</v>
      </c>
      <c r="D1735" s="7">
        <v>120.613561</v>
      </c>
      <c r="E1735">
        <v>1</v>
      </c>
      <c r="F1735">
        <v>1</v>
      </c>
      <c r="G1735" s="2">
        <v>2.3419989999999999</v>
      </c>
      <c r="H1735" s="2">
        <v>3</v>
      </c>
      <c r="I1735">
        <v>1</v>
      </c>
      <c r="J1735">
        <v>0</v>
      </c>
      <c r="K1735" s="2">
        <v>2.2998780000000001</v>
      </c>
      <c r="L1735">
        <v>0</v>
      </c>
      <c r="M1735" s="7">
        <v>0.56524200000000002</v>
      </c>
      <c r="N1735" s="7">
        <v>0.921991</v>
      </c>
      <c r="O1735">
        <v>1</v>
      </c>
      <c r="P1735" t="s">
        <v>17</v>
      </c>
      <c r="Q1735">
        <v>5</v>
      </c>
      <c r="R1735" s="8">
        <f>(Tabela2[[#This Row],[FAF_atividade_fisica_frequente_em_horas]]+ 0.1)</f>
        <v>0.665242</v>
      </c>
      <c r="S1735" s="1">
        <f>(Tabela2[[#This Row],[TUE_tempo_uso_aparelhos_em_horas]]/Tabela2[[#This Row],[FAF_Var]])</f>
        <v>1.3859482714561018</v>
      </c>
      <c r="T1735">
        <f>(Tabela2[[#This Row],[CAEC_lanche_entre_refeicoes]]*Tabela2[[#This Row],[FAVC_consumo_frequente_de_alimentos_mt_caloricos]])</f>
        <v>1</v>
      </c>
      <c r="U1735" s="1">
        <f>IF(OR(Tabela2[[#This Row],[MTRANS]]="Walking",Tabela2[[#This Row],[MTRANS]]="Bike"),Tabela2[[#This Row],[FAF_atividade_fisica_frequente_em_horas]]+1,M1735)</f>
        <v>0.56524200000000002</v>
      </c>
      <c r="V1735">
        <f>(Tabela2[[#This Row],[SMOKE]]+Tabela2[[#This Row],[CALC_bebe_alcool_frequentemente]])</f>
        <v>1</v>
      </c>
      <c r="W1735" s="8">
        <f>(Tabela2[[#This Row],[Weight]]/(Tabela2[[#This Row],[Height]] ^2))</f>
        <v>37.899137214325116</v>
      </c>
    </row>
    <row r="1736" spans="1:23" x14ac:dyDescent="0.25">
      <c r="A1736" t="s">
        <v>15</v>
      </c>
      <c r="B1736" s="7">
        <v>30.717727</v>
      </c>
      <c r="C1736" s="4">
        <v>1.7671399999999999</v>
      </c>
      <c r="D1736" s="7">
        <v>120.344402</v>
      </c>
      <c r="E1736">
        <v>1</v>
      </c>
      <c r="F1736">
        <v>1</v>
      </c>
      <c r="G1736" s="2">
        <v>2.117121</v>
      </c>
      <c r="H1736" s="2">
        <v>3</v>
      </c>
      <c r="I1736">
        <v>1</v>
      </c>
      <c r="J1736">
        <v>0</v>
      </c>
      <c r="K1736" s="2">
        <v>2.1930079999999998</v>
      </c>
      <c r="L1736">
        <v>0</v>
      </c>
      <c r="M1736" s="7">
        <v>0.99282899999999996</v>
      </c>
      <c r="N1736" s="7">
        <v>1.556052</v>
      </c>
      <c r="O1736">
        <v>1</v>
      </c>
      <c r="P1736" t="s">
        <v>17</v>
      </c>
      <c r="Q1736">
        <v>5</v>
      </c>
      <c r="R1736" s="8">
        <f>(Tabela2[[#This Row],[FAF_atividade_fisica_frequente_em_horas]]+ 0.1)</f>
        <v>1.0928290000000001</v>
      </c>
      <c r="S1736" s="1">
        <f>(Tabela2[[#This Row],[TUE_tempo_uso_aparelhos_em_horas]]/Tabela2[[#This Row],[FAF_Var]])</f>
        <v>1.4238750984829283</v>
      </c>
      <c r="T1736">
        <f>(Tabela2[[#This Row],[CAEC_lanche_entre_refeicoes]]*Tabela2[[#This Row],[FAVC_consumo_frequente_de_alimentos_mt_caloricos]])</f>
        <v>1</v>
      </c>
      <c r="U1736" s="1">
        <f>IF(OR(Tabela2[[#This Row],[MTRANS]]="Walking",Tabela2[[#This Row],[MTRANS]]="Bike"),Tabela2[[#This Row],[FAF_atividade_fisica_frequente_em_horas]]+1,M1736)</f>
        <v>0.99282899999999996</v>
      </c>
      <c r="V1736">
        <f>(Tabela2[[#This Row],[SMOKE]]+Tabela2[[#This Row],[CALC_bebe_alcool_frequentemente]])</f>
        <v>1</v>
      </c>
      <c r="W1736" s="8">
        <f>(Tabela2[[#This Row],[Weight]]/(Tabela2[[#This Row],[Height]] ^2))</f>
        <v>38.537539097700524</v>
      </c>
    </row>
    <row r="1737" spans="1:23" x14ac:dyDescent="0.25">
      <c r="A1737" t="s">
        <v>15</v>
      </c>
      <c r="B1737" s="7">
        <v>26.734476000000001</v>
      </c>
      <c r="C1737" s="4">
        <v>1.8161970000000001</v>
      </c>
      <c r="D1737" s="7">
        <v>119.622764</v>
      </c>
      <c r="E1737">
        <v>1</v>
      </c>
      <c r="F1737">
        <v>1</v>
      </c>
      <c r="G1737" s="2">
        <v>2.2470370000000002</v>
      </c>
      <c r="H1737" s="2">
        <v>3</v>
      </c>
      <c r="I1737">
        <v>1</v>
      </c>
      <c r="J1737">
        <v>0</v>
      </c>
      <c r="K1737" s="2">
        <v>2.7184080000000002</v>
      </c>
      <c r="L1737">
        <v>0</v>
      </c>
      <c r="M1737" s="7">
        <v>0.76359500000000002</v>
      </c>
      <c r="N1737" s="7">
        <v>0</v>
      </c>
      <c r="O1737">
        <v>1</v>
      </c>
      <c r="P1737" t="s">
        <v>14</v>
      </c>
      <c r="Q1737">
        <v>5</v>
      </c>
      <c r="R1737" s="8">
        <f>(Tabela2[[#This Row],[FAF_atividade_fisica_frequente_em_horas]]+ 0.1)</f>
        <v>0.863595</v>
      </c>
      <c r="S1737" s="1">
        <f>(Tabela2[[#This Row],[TUE_tempo_uso_aparelhos_em_horas]]/Tabela2[[#This Row],[FAF_Var]])</f>
        <v>0</v>
      </c>
      <c r="T1737">
        <f>(Tabela2[[#This Row],[CAEC_lanche_entre_refeicoes]]*Tabela2[[#This Row],[FAVC_consumo_frequente_de_alimentos_mt_caloricos]])</f>
        <v>1</v>
      </c>
      <c r="U1737" s="1">
        <f>IF(OR(Tabela2[[#This Row],[MTRANS]]="Walking",Tabela2[[#This Row],[MTRANS]]="Bike"),Tabela2[[#This Row],[FAF_atividade_fisica_frequente_em_horas]]+1,M1737)</f>
        <v>0.76359500000000002</v>
      </c>
      <c r="V1737">
        <f>(Tabela2[[#This Row],[SMOKE]]+Tabela2[[#This Row],[CALC_bebe_alcool_frequentemente]])</f>
        <v>1</v>
      </c>
      <c r="W1737" s="8">
        <f>(Tabela2[[#This Row],[Weight]]/(Tabela2[[#This Row],[Height]] ^2))</f>
        <v>36.265020311832181</v>
      </c>
    </row>
    <row r="1738" spans="1:23" x14ac:dyDescent="0.25">
      <c r="A1738" t="s">
        <v>15</v>
      </c>
      <c r="B1738" s="7">
        <v>26.699317000000001</v>
      </c>
      <c r="C1738" s="4">
        <v>1.839941</v>
      </c>
      <c r="D1738" s="7">
        <v>119.95665099999999</v>
      </c>
      <c r="E1738">
        <v>1</v>
      </c>
      <c r="F1738">
        <v>1</v>
      </c>
      <c r="G1738" s="2">
        <v>2.2446540000000001</v>
      </c>
      <c r="H1738" s="2">
        <v>3</v>
      </c>
      <c r="I1738">
        <v>1</v>
      </c>
      <c r="J1738">
        <v>0</v>
      </c>
      <c r="K1738" s="2">
        <v>2.7957519999999998</v>
      </c>
      <c r="L1738">
        <v>0</v>
      </c>
      <c r="M1738" s="7">
        <v>0.83948100000000003</v>
      </c>
      <c r="N1738" s="7">
        <v>0</v>
      </c>
      <c r="O1738">
        <v>1</v>
      </c>
      <c r="P1738" t="s">
        <v>14</v>
      </c>
      <c r="Q1738">
        <v>5</v>
      </c>
      <c r="R1738" s="8">
        <f>(Tabela2[[#This Row],[FAF_atividade_fisica_frequente_em_horas]]+ 0.1)</f>
        <v>0.93948100000000001</v>
      </c>
      <c r="S1738" s="1">
        <f>(Tabela2[[#This Row],[TUE_tempo_uso_aparelhos_em_horas]]/Tabela2[[#This Row],[FAF_Var]])</f>
        <v>0</v>
      </c>
      <c r="T1738">
        <f>(Tabela2[[#This Row],[CAEC_lanche_entre_refeicoes]]*Tabela2[[#This Row],[FAVC_consumo_frequente_de_alimentos_mt_caloricos]])</f>
        <v>1</v>
      </c>
      <c r="U1738" s="1">
        <f>IF(OR(Tabela2[[#This Row],[MTRANS]]="Walking",Tabela2[[#This Row],[MTRANS]]="Bike"),Tabela2[[#This Row],[FAF_atividade_fisica_frequente_em_horas]]+1,M1738)</f>
        <v>0.83948100000000003</v>
      </c>
      <c r="V1738">
        <f>(Tabela2[[#This Row],[SMOKE]]+Tabela2[[#This Row],[CALC_bebe_alcool_frequentemente]])</f>
        <v>1</v>
      </c>
      <c r="W1738" s="8">
        <f>(Tabela2[[#This Row],[Weight]]/(Tabela2[[#This Row],[Height]] ^2))</f>
        <v>35.433702812562004</v>
      </c>
    </row>
    <row r="1739" spans="1:23" x14ac:dyDescent="0.25">
      <c r="A1739" t="s">
        <v>15</v>
      </c>
      <c r="B1739" s="7">
        <v>25.659092000000001</v>
      </c>
      <c r="C1739" s="4">
        <v>1.84842</v>
      </c>
      <c r="D1739" s="7">
        <v>117.63170700000001</v>
      </c>
      <c r="E1739">
        <v>1</v>
      </c>
      <c r="F1739">
        <v>1</v>
      </c>
      <c r="G1739" s="2">
        <v>2.128574</v>
      </c>
      <c r="H1739" s="2">
        <v>3</v>
      </c>
      <c r="I1739">
        <v>1</v>
      </c>
      <c r="J1739">
        <v>0</v>
      </c>
      <c r="K1739" s="2">
        <v>2.531984</v>
      </c>
      <c r="L1739">
        <v>0</v>
      </c>
      <c r="M1739" s="7">
        <v>1.0032939999999999</v>
      </c>
      <c r="N1739" s="7">
        <v>2.6575000000000001E-2</v>
      </c>
      <c r="O1739">
        <v>1</v>
      </c>
      <c r="P1739" t="s">
        <v>14</v>
      </c>
      <c r="Q1739">
        <v>5</v>
      </c>
      <c r="R1739" s="8">
        <f>(Tabela2[[#This Row],[FAF_atividade_fisica_frequente_em_horas]]+ 0.1)</f>
        <v>1.103294</v>
      </c>
      <c r="S1739" s="1">
        <f>(Tabela2[[#This Row],[TUE_tempo_uso_aparelhos_em_horas]]/Tabela2[[#This Row],[FAF_Var]])</f>
        <v>2.4086961408291897E-2</v>
      </c>
      <c r="T1739">
        <f>(Tabela2[[#This Row],[CAEC_lanche_entre_refeicoes]]*Tabela2[[#This Row],[FAVC_consumo_frequente_de_alimentos_mt_caloricos]])</f>
        <v>1</v>
      </c>
      <c r="U1739" s="1">
        <f>IF(OR(Tabela2[[#This Row],[MTRANS]]="Walking",Tabela2[[#This Row],[MTRANS]]="Bike"),Tabela2[[#This Row],[FAF_atividade_fisica_frequente_em_horas]]+1,M1739)</f>
        <v>1.0032939999999999</v>
      </c>
      <c r="V1739">
        <f>(Tabela2[[#This Row],[SMOKE]]+Tabela2[[#This Row],[CALC_bebe_alcool_frequentemente]])</f>
        <v>1</v>
      </c>
      <c r="W1739" s="8">
        <f>(Tabela2[[#This Row],[Weight]]/(Tabela2[[#This Row],[Height]] ^2))</f>
        <v>34.428894775914415</v>
      </c>
    </row>
    <row r="1740" spans="1:23" x14ac:dyDescent="0.25">
      <c r="A1740" t="s">
        <v>15</v>
      </c>
      <c r="B1740" s="7">
        <v>26.348155999999999</v>
      </c>
      <c r="C1740" s="4">
        <v>1.830317</v>
      </c>
      <c r="D1740" s="7">
        <v>117.75700999999999</v>
      </c>
      <c r="E1740">
        <v>1</v>
      </c>
      <c r="F1740">
        <v>1</v>
      </c>
      <c r="G1740" s="2">
        <v>2.0688339999999998</v>
      </c>
      <c r="H1740" s="2">
        <v>3</v>
      </c>
      <c r="I1740">
        <v>1</v>
      </c>
      <c r="J1740">
        <v>0</v>
      </c>
      <c r="K1740" s="2">
        <v>2.543841</v>
      </c>
      <c r="L1740">
        <v>0</v>
      </c>
      <c r="M1740" s="7">
        <v>1.2179930000000001</v>
      </c>
      <c r="N1740" s="7">
        <v>3.8253000000000002E-2</v>
      </c>
      <c r="O1740">
        <v>1</v>
      </c>
      <c r="P1740" t="s">
        <v>14</v>
      </c>
      <c r="Q1740">
        <v>5</v>
      </c>
      <c r="R1740" s="8">
        <f>(Tabela2[[#This Row],[FAF_atividade_fisica_frequente_em_horas]]+ 0.1)</f>
        <v>1.3179930000000002</v>
      </c>
      <c r="S1740" s="1">
        <f>(Tabela2[[#This Row],[TUE_tempo_uso_aparelhos_em_horas]]/Tabela2[[#This Row],[FAF_Var]])</f>
        <v>2.9023674632566332E-2</v>
      </c>
      <c r="T1740">
        <f>(Tabela2[[#This Row],[CAEC_lanche_entre_refeicoes]]*Tabela2[[#This Row],[FAVC_consumo_frequente_de_alimentos_mt_caloricos]])</f>
        <v>1</v>
      </c>
      <c r="U1740" s="1">
        <f>IF(OR(Tabela2[[#This Row],[MTRANS]]="Walking",Tabela2[[#This Row],[MTRANS]]="Bike"),Tabela2[[#This Row],[FAF_atividade_fisica_frequente_em_horas]]+1,M1740)</f>
        <v>1.2179930000000001</v>
      </c>
      <c r="V1740">
        <f>(Tabela2[[#This Row],[SMOKE]]+Tabela2[[#This Row],[CALC_bebe_alcool_frequentemente]])</f>
        <v>1</v>
      </c>
      <c r="W1740" s="8">
        <f>(Tabela2[[#This Row],[Weight]]/(Tabela2[[#This Row],[Height]] ^2))</f>
        <v>35.15071334083062</v>
      </c>
    </row>
    <row r="1741" spans="1:23" x14ac:dyDescent="0.25">
      <c r="A1741" t="s">
        <v>15</v>
      </c>
      <c r="B1741" s="7">
        <v>37.638102000000003</v>
      </c>
      <c r="C1741" s="4">
        <v>1.7500849999999999</v>
      </c>
      <c r="D1741" s="7">
        <v>118.11418399999999</v>
      </c>
      <c r="E1741">
        <v>1</v>
      </c>
      <c r="F1741">
        <v>1</v>
      </c>
      <c r="G1741" s="2">
        <v>2.0732240000000002</v>
      </c>
      <c r="H1741" s="2">
        <v>3</v>
      </c>
      <c r="I1741">
        <v>1</v>
      </c>
      <c r="J1741">
        <v>0</v>
      </c>
      <c r="K1741" s="2">
        <v>2.024035</v>
      </c>
      <c r="L1741">
        <v>0</v>
      </c>
      <c r="M1741" s="7">
        <v>0.13137099999999999</v>
      </c>
      <c r="N1741" s="7">
        <v>0</v>
      </c>
      <c r="O1741">
        <v>1</v>
      </c>
      <c r="P1741" t="s">
        <v>17</v>
      </c>
      <c r="Q1741">
        <v>5</v>
      </c>
      <c r="R1741" s="8">
        <f>(Tabela2[[#This Row],[FAF_atividade_fisica_frequente_em_horas]]+ 0.1)</f>
        <v>0.23137099999999999</v>
      </c>
      <c r="S1741" s="1">
        <f>(Tabela2[[#This Row],[TUE_tempo_uso_aparelhos_em_horas]]/Tabela2[[#This Row],[FAF_Var]])</f>
        <v>0</v>
      </c>
      <c r="T1741">
        <f>(Tabela2[[#This Row],[CAEC_lanche_entre_refeicoes]]*Tabela2[[#This Row],[FAVC_consumo_frequente_de_alimentos_mt_caloricos]])</f>
        <v>1</v>
      </c>
      <c r="U1741" s="1">
        <f>IF(OR(Tabela2[[#This Row],[MTRANS]]="Walking",Tabela2[[#This Row],[MTRANS]]="Bike"),Tabela2[[#This Row],[FAF_atividade_fisica_frequente_em_horas]]+1,M1741)</f>
        <v>0.13137099999999999</v>
      </c>
      <c r="V1741">
        <f>(Tabela2[[#This Row],[SMOKE]]+Tabela2[[#This Row],[CALC_bebe_alcool_frequentemente]])</f>
        <v>1</v>
      </c>
      <c r="W1741" s="8">
        <f>(Tabela2[[#This Row],[Weight]]/(Tabela2[[#This Row],[Height]] ^2))</f>
        <v>38.564150493584386</v>
      </c>
    </row>
    <row r="1742" spans="1:23" x14ac:dyDescent="0.25">
      <c r="A1742" t="s">
        <v>15</v>
      </c>
      <c r="B1742" s="7">
        <v>37.765355999999997</v>
      </c>
      <c r="C1742" s="4">
        <v>1.763582</v>
      </c>
      <c r="D1742" s="7">
        <v>117.86159000000001</v>
      </c>
      <c r="E1742">
        <v>1</v>
      </c>
      <c r="F1742">
        <v>1</v>
      </c>
      <c r="G1742" s="2">
        <v>2.145114</v>
      </c>
      <c r="H1742" s="2">
        <v>2.8881929999999998</v>
      </c>
      <c r="I1742">
        <v>1</v>
      </c>
      <c r="J1742">
        <v>0</v>
      </c>
      <c r="K1742" s="2">
        <v>2.0381279999999999</v>
      </c>
      <c r="L1742">
        <v>0</v>
      </c>
      <c r="M1742" s="7">
        <v>0.85234399999999999</v>
      </c>
      <c r="N1742" s="7">
        <v>0</v>
      </c>
      <c r="O1742">
        <v>1</v>
      </c>
      <c r="P1742" t="s">
        <v>17</v>
      </c>
      <c r="Q1742">
        <v>5</v>
      </c>
      <c r="R1742" s="8">
        <f>(Tabela2[[#This Row],[FAF_atividade_fisica_frequente_em_horas]]+ 0.1)</f>
        <v>0.95234399999999997</v>
      </c>
      <c r="S1742" s="1">
        <f>(Tabela2[[#This Row],[TUE_tempo_uso_aparelhos_em_horas]]/Tabela2[[#This Row],[FAF_Var]])</f>
        <v>0</v>
      </c>
      <c r="T1742">
        <f>(Tabela2[[#This Row],[CAEC_lanche_entre_refeicoes]]*Tabela2[[#This Row],[FAVC_consumo_frequente_de_alimentos_mt_caloricos]])</f>
        <v>1</v>
      </c>
      <c r="U1742" s="1">
        <f>IF(OR(Tabela2[[#This Row],[MTRANS]]="Walking",Tabela2[[#This Row],[MTRANS]]="Bike"),Tabela2[[#This Row],[FAF_atividade_fisica_frequente_em_horas]]+1,M1742)</f>
        <v>0.85234399999999999</v>
      </c>
      <c r="V1742">
        <f>(Tabela2[[#This Row],[SMOKE]]+Tabela2[[#This Row],[CALC_bebe_alcool_frequentemente]])</f>
        <v>1</v>
      </c>
      <c r="W1742" s="8">
        <f>(Tabela2[[#This Row],[Weight]]/(Tabela2[[#This Row],[Height]] ^2))</f>
        <v>37.894918773280828</v>
      </c>
    </row>
    <row r="1743" spans="1:23" x14ac:dyDescent="0.25">
      <c r="A1743" t="s">
        <v>15</v>
      </c>
      <c r="B1743" s="7">
        <v>28.255199000000001</v>
      </c>
      <c r="C1743" s="4">
        <v>1.8165469999999999</v>
      </c>
      <c r="D1743" s="7">
        <v>120.699119</v>
      </c>
      <c r="E1743">
        <v>1</v>
      </c>
      <c r="F1743">
        <v>1</v>
      </c>
      <c r="G1743" s="2">
        <v>2.997951</v>
      </c>
      <c r="H1743" s="2">
        <v>3</v>
      </c>
      <c r="I1743">
        <v>1</v>
      </c>
      <c r="J1743">
        <v>0</v>
      </c>
      <c r="K1743" s="2">
        <v>2.715856</v>
      </c>
      <c r="L1743">
        <v>0</v>
      </c>
      <c r="M1743" s="7">
        <v>0.73988100000000001</v>
      </c>
      <c r="N1743" s="7">
        <v>0.97205399999999997</v>
      </c>
      <c r="O1743">
        <v>1</v>
      </c>
      <c r="P1743" t="s">
        <v>17</v>
      </c>
      <c r="Q1743">
        <v>5</v>
      </c>
      <c r="R1743" s="8">
        <f>(Tabela2[[#This Row],[FAF_atividade_fisica_frequente_em_horas]]+ 0.1)</f>
        <v>0.83988099999999999</v>
      </c>
      <c r="S1743" s="1">
        <f>(Tabela2[[#This Row],[TUE_tempo_uso_aparelhos_em_horas]]/Tabela2[[#This Row],[FAF_Var]])</f>
        <v>1.1573711037635093</v>
      </c>
      <c r="T1743">
        <f>(Tabela2[[#This Row],[CAEC_lanche_entre_refeicoes]]*Tabela2[[#This Row],[FAVC_consumo_frequente_de_alimentos_mt_caloricos]])</f>
        <v>1</v>
      </c>
      <c r="U1743" s="1">
        <f>IF(OR(Tabela2[[#This Row],[MTRANS]]="Walking",Tabela2[[#This Row],[MTRANS]]="Bike"),Tabela2[[#This Row],[FAF_atividade_fisica_frequente_em_horas]]+1,M1743)</f>
        <v>0.73988100000000001</v>
      </c>
      <c r="V1743">
        <f>(Tabela2[[#This Row],[SMOKE]]+Tabela2[[#This Row],[CALC_bebe_alcool_frequentemente]])</f>
        <v>1</v>
      </c>
      <c r="W1743" s="8">
        <f>(Tabela2[[#This Row],[Weight]]/(Tabela2[[#This Row],[Height]] ^2))</f>
        <v>36.577230759955448</v>
      </c>
    </row>
    <row r="1744" spans="1:23" x14ac:dyDescent="0.25">
      <c r="A1744" t="s">
        <v>15</v>
      </c>
      <c r="B1744" s="7">
        <v>27.931432000000001</v>
      </c>
      <c r="C1744" s="4">
        <v>1.805445</v>
      </c>
      <c r="D1744" s="7">
        <v>119.48461399999999</v>
      </c>
      <c r="E1744">
        <v>1</v>
      </c>
      <c r="F1744">
        <v>1</v>
      </c>
      <c r="G1744" s="2">
        <v>2.9113120000000001</v>
      </c>
      <c r="H1744" s="2">
        <v>3</v>
      </c>
      <c r="I1744">
        <v>1</v>
      </c>
      <c r="J1744">
        <v>0</v>
      </c>
      <c r="K1744" s="2">
        <v>2.501808</v>
      </c>
      <c r="L1744">
        <v>0</v>
      </c>
      <c r="M1744" s="7">
        <v>0.94676000000000005</v>
      </c>
      <c r="N1744" s="7">
        <v>0.78570099999999998</v>
      </c>
      <c r="O1744">
        <v>1</v>
      </c>
      <c r="P1744" t="s">
        <v>17</v>
      </c>
      <c r="Q1744">
        <v>5</v>
      </c>
      <c r="R1744" s="8">
        <f>(Tabela2[[#This Row],[FAF_atividade_fisica_frequente_em_horas]]+ 0.1)</f>
        <v>1.0467600000000001</v>
      </c>
      <c r="S1744" s="1">
        <f>(Tabela2[[#This Row],[TUE_tempo_uso_aparelhos_em_horas]]/Tabela2[[#This Row],[FAF_Var]])</f>
        <v>0.75060281248805827</v>
      </c>
      <c r="T1744">
        <f>(Tabela2[[#This Row],[CAEC_lanche_entre_refeicoes]]*Tabela2[[#This Row],[FAVC_consumo_frequente_de_alimentos_mt_caloricos]])</f>
        <v>1</v>
      </c>
      <c r="U1744" s="1">
        <f>IF(OR(Tabela2[[#This Row],[MTRANS]]="Walking",Tabela2[[#This Row],[MTRANS]]="Bike"),Tabela2[[#This Row],[FAF_atividade_fisica_frequente_em_horas]]+1,M1744)</f>
        <v>0.94676000000000005</v>
      </c>
      <c r="V1744">
        <f>(Tabela2[[#This Row],[SMOKE]]+Tabela2[[#This Row],[CALC_bebe_alcool_frequentemente]])</f>
        <v>1</v>
      </c>
      <c r="W1744" s="8">
        <f>(Tabela2[[#This Row],[Weight]]/(Tabela2[[#This Row],[Height]] ^2))</f>
        <v>36.655863883391646</v>
      </c>
    </row>
    <row r="1745" spans="1:23" x14ac:dyDescent="0.25">
      <c r="A1745" t="s">
        <v>15</v>
      </c>
      <c r="B1745" s="7">
        <v>25.492854999999999</v>
      </c>
      <c r="C1745" s="4">
        <v>1.770124</v>
      </c>
      <c r="D1745" s="7">
        <v>114.163921</v>
      </c>
      <c r="E1745">
        <v>1</v>
      </c>
      <c r="F1745">
        <v>1</v>
      </c>
      <c r="G1745" s="2">
        <v>2.159033</v>
      </c>
      <c r="H1745" s="2">
        <v>3</v>
      </c>
      <c r="I1745">
        <v>1</v>
      </c>
      <c r="J1745">
        <v>0</v>
      </c>
      <c r="K1745" s="2">
        <v>2.1163989999999999</v>
      </c>
      <c r="L1745">
        <v>0</v>
      </c>
      <c r="M1745" s="7">
        <v>1.331526</v>
      </c>
      <c r="N1745" s="7">
        <v>5.2942000000000003E-2</v>
      </c>
      <c r="O1745">
        <v>1</v>
      </c>
      <c r="P1745" t="s">
        <v>14</v>
      </c>
      <c r="Q1745">
        <v>5</v>
      </c>
      <c r="R1745" s="8">
        <f>(Tabela2[[#This Row],[FAF_atividade_fisica_frequente_em_horas]]+ 0.1)</f>
        <v>1.4315260000000001</v>
      </c>
      <c r="S1745" s="1">
        <f>(Tabela2[[#This Row],[TUE_tempo_uso_aparelhos_em_horas]]/Tabela2[[#This Row],[FAF_Var]])</f>
        <v>3.6982911941522541E-2</v>
      </c>
      <c r="T1745">
        <f>(Tabela2[[#This Row],[CAEC_lanche_entre_refeicoes]]*Tabela2[[#This Row],[FAVC_consumo_frequente_de_alimentos_mt_caloricos]])</f>
        <v>1</v>
      </c>
      <c r="U1745" s="1">
        <f>IF(OR(Tabela2[[#This Row],[MTRANS]]="Walking",Tabela2[[#This Row],[MTRANS]]="Bike"),Tabela2[[#This Row],[FAF_atividade_fisica_frequente_em_horas]]+1,M1745)</f>
        <v>1.331526</v>
      </c>
      <c r="V1745">
        <f>(Tabela2[[#This Row],[SMOKE]]+Tabela2[[#This Row],[CALC_bebe_alcool_frequentemente]])</f>
        <v>1</v>
      </c>
      <c r="W1745" s="8">
        <f>(Tabela2[[#This Row],[Weight]]/(Tabela2[[#This Row],[Height]] ^2))</f>
        <v>36.435228329006549</v>
      </c>
    </row>
    <row r="1746" spans="1:23" x14ac:dyDescent="0.25">
      <c r="A1746" t="s">
        <v>15</v>
      </c>
      <c r="B1746" s="7">
        <v>25.550505999999999</v>
      </c>
      <c r="C1746" s="4">
        <v>1.77274</v>
      </c>
      <c r="D1746" s="7">
        <v>114.254278</v>
      </c>
      <c r="E1746">
        <v>1</v>
      </c>
      <c r="F1746">
        <v>1</v>
      </c>
      <c r="G1746" s="2">
        <v>2.1752760000000002</v>
      </c>
      <c r="H1746" s="2">
        <v>3</v>
      </c>
      <c r="I1746">
        <v>1</v>
      </c>
      <c r="J1746">
        <v>0</v>
      </c>
      <c r="K1746" s="2">
        <v>2.1281759999999998</v>
      </c>
      <c r="L1746">
        <v>0</v>
      </c>
      <c r="M1746" s="7">
        <v>1.306476</v>
      </c>
      <c r="N1746" s="7">
        <v>7.9334000000000002E-2</v>
      </c>
      <c r="O1746">
        <v>1</v>
      </c>
      <c r="P1746" t="s">
        <v>14</v>
      </c>
      <c r="Q1746">
        <v>5</v>
      </c>
      <c r="R1746" s="8">
        <f>(Tabela2[[#This Row],[FAF_atividade_fisica_frequente_em_horas]]+ 0.1)</f>
        <v>1.4064760000000001</v>
      </c>
      <c r="S1746" s="1">
        <f>(Tabela2[[#This Row],[TUE_tempo_uso_aparelhos_em_horas]]/Tabela2[[#This Row],[FAF_Var]])</f>
        <v>5.6406223781991303E-2</v>
      </c>
      <c r="T1746">
        <f>(Tabela2[[#This Row],[CAEC_lanche_entre_refeicoes]]*Tabela2[[#This Row],[FAVC_consumo_frequente_de_alimentos_mt_caloricos]])</f>
        <v>1</v>
      </c>
      <c r="U1746" s="1">
        <f>IF(OR(Tabela2[[#This Row],[MTRANS]]="Walking",Tabela2[[#This Row],[MTRANS]]="Bike"),Tabela2[[#This Row],[FAF_atividade_fisica_frequente_em_horas]]+1,M1746)</f>
        <v>1.306476</v>
      </c>
      <c r="V1746">
        <f>(Tabela2[[#This Row],[SMOKE]]+Tabela2[[#This Row],[CALC_bebe_alcool_frequentemente]])</f>
        <v>1</v>
      </c>
      <c r="W1746" s="8">
        <f>(Tabela2[[#This Row],[Weight]]/(Tabela2[[#This Row],[Height]] ^2))</f>
        <v>36.356526313356319</v>
      </c>
    </row>
    <row r="1747" spans="1:23" x14ac:dyDescent="0.25">
      <c r="A1747" t="s">
        <v>15</v>
      </c>
      <c r="B1747" s="7">
        <v>25.542453999999999</v>
      </c>
      <c r="C1747" s="4">
        <v>1.763215</v>
      </c>
      <c r="D1747" s="7">
        <v>115.10813</v>
      </c>
      <c r="E1747">
        <v>1</v>
      </c>
      <c r="F1747">
        <v>1</v>
      </c>
      <c r="G1747" s="2">
        <v>2.2196500000000001</v>
      </c>
      <c r="H1747" s="2">
        <v>3</v>
      </c>
      <c r="I1747">
        <v>1</v>
      </c>
      <c r="J1747">
        <v>0</v>
      </c>
      <c r="K1747" s="2">
        <v>2.1654080000000002</v>
      </c>
      <c r="L1747">
        <v>0</v>
      </c>
      <c r="M1747" s="7">
        <v>1.315045</v>
      </c>
      <c r="N1747" s="7">
        <v>0.68898499999999996</v>
      </c>
      <c r="O1747">
        <v>1</v>
      </c>
      <c r="P1747" t="s">
        <v>14</v>
      </c>
      <c r="Q1747">
        <v>5</v>
      </c>
      <c r="R1747" s="8">
        <f>(Tabela2[[#This Row],[FAF_atividade_fisica_frequente_em_horas]]+ 0.1)</f>
        <v>1.4150450000000001</v>
      </c>
      <c r="S1747" s="1">
        <f>(Tabela2[[#This Row],[TUE_tempo_uso_aparelhos_em_horas]]/Tabela2[[#This Row],[FAF_Var]])</f>
        <v>0.48689970990321857</v>
      </c>
      <c r="T1747">
        <f>(Tabela2[[#This Row],[CAEC_lanche_entre_refeicoes]]*Tabela2[[#This Row],[FAVC_consumo_frequente_de_alimentos_mt_caloricos]])</f>
        <v>1</v>
      </c>
      <c r="U1747" s="1">
        <f>IF(OR(Tabela2[[#This Row],[MTRANS]]="Walking",Tabela2[[#This Row],[MTRANS]]="Bike"),Tabela2[[#This Row],[FAF_atividade_fisica_frequente_em_horas]]+1,M1747)</f>
        <v>1.315045</v>
      </c>
      <c r="V1747">
        <f>(Tabela2[[#This Row],[SMOKE]]+Tabela2[[#This Row],[CALC_bebe_alcool_frequentemente]])</f>
        <v>1</v>
      </c>
      <c r="W1747" s="8">
        <f>(Tabela2[[#This Row],[Weight]]/(Tabela2[[#This Row],[Height]] ^2))</f>
        <v>37.025033060044471</v>
      </c>
    </row>
    <row r="1748" spans="1:23" x14ac:dyDescent="0.25">
      <c r="A1748" t="s">
        <v>15</v>
      </c>
      <c r="B1748" s="7">
        <v>25.758306999999999</v>
      </c>
      <c r="C1748" s="4">
        <v>1.7665470000000001</v>
      </c>
      <c r="D1748" s="7">
        <v>115.45845</v>
      </c>
      <c r="E1748">
        <v>1</v>
      </c>
      <c r="F1748">
        <v>1</v>
      </c>
      <c r="G1748" s="2">
        <v>2.2039620000000002</v>
      </c>
      <c r="H1748" s="2">
        <v>3</v>
      </c>
      <c r="I1748">
        <v>1</v>
      </c>
      <c r="J1748">
        <v>0</v>
      </c>
      <c r="K1748" s="2">
        <v>2.1568700000000001</v>
      </c>
      <c r="L1748">
        <v>0</v>
      </c>
      <c r="M1748" s="7">
        <v>1.2894209999999999</v>
      </c>
      <c r="N1748" s="7">
        <v>1.2207669999999999</v>
      </c>
      <c r="O1748">
        <v>1</v>
      </c>
      <c r="P1748" t="s">
        <v>14</v>
      </c>
      <c r="Q1748">
        <v>5</v>
      </c>
      <c r="R1748" s="8">
        <f>(Tabela2[[#This Row],[FAF_atividade_fisica_frequente_em_horas]]+ 0.1)</f>
        <v>1.389421</v>
      </c>
      <c r="S1748" s="1">
        <f>(Tabela2[[#This Row],[TUE_tempo_uso_aparelhos_em_horas]]/Tabela2[[#This Row],[FAF_Var]])</f>
        <v>0.87861562478183353</v>
      </c>
      <c r="T1748">
        <f>(Tabela2[[#This Row],[CAEC_lanche_entre_refeicoes]]*Tabela2[[#This Row],[FAVC_consumo_frequente_de_alimentos_mt_caloricos]])</f>
        <v>1</v>
      </c>
      <c r="U1748" s="1">
        <f>IF(OR(Tabela2[[#This Row],[MTRANS]]="Walking",Tabela2[[#This Row],[MTRANS]]="Bike"),Tabela2[[#This Row],[FAF_atividade_fisica_frequente_em_horas]]+1,M1748)</f>
        <v>1.2894209999999999</v>
      </c>
      <c r="V1748">
        <f>(Tabela2[[#This Row],[SMOKE]]+Tabela2[[#This Row],[CALC_bebe_alcool_frequentemente]])</f>
        <v>1</v>
      </c>
      <c r="W1748" s="8">
        <f>(Tabela2[[#This Row],[Weight]]/(Tabela2[[#This Row],[Height]] ^2))</f>
        <v>36.997751387498134</v>
      </c>
    </row>
    <row r="1749" spans="1:23" x14ac:dyDescent="0.25">
      <c r="A1749" t="s">
        <v>15</v>
      </c>
      <c r="B1749" s="7">
        <v>29.981494000000001</v>
      </c>
      <c r="C1749" s="4">
        <v>1.7731809999999999</v>
      </c>
      <c r="D1749" s="7">
        <v>112.348722</v>
      </c>
      <c r="E1749">
        <v>1</v>
      </c>
      <c r="F1749">
        <v>1</v>
      </c>
      <c r="G1749" s="2">
        <v>1.947495</v>
      </c>
      <c r="H1749" s="2">
        <v>3</v>
      </c>
      <c r="I1749">
        <v>1</v>
      </c>
      <c r="J1749">
        <v>0</v>
      </c>
      <c r="K1749" s="2">
        <v>2.0420729999999998</v>
      </c>
      <c r="L1749">
        <v>0</v>
      </c>
      <c r="M1749" s="7">
        <v>0</v>
      </c>
      <c r="N1749" s="7">
        <v>0.61808700000000005</v>
      </c>
      <c r="O1749">
        <v>1</v>
      </c>
      <c r="P1749" t="s">
        <v>17</v>
      </c>
      <c r="Q1749">
        <v>5</v>
      </c>
      <c r="R1749" s="8">
        <f>(Tabela2[[#This Row],[FAF_atividade_fisica_frequente_em_horas]]+ 0.1)</f>
        <v>0.1</v>
      </c>
      <c r="S1749" s="1">
        <f>(Tabela2[[#This Row],[TUE_tempo_uso_aparelhos_em_horas]]/Tabela2[[#This Row],[FAF_Var]])</f>
        <v>6.1808700000000005</v>
      </c>
      <c r="T1749">
        <f>(Tabela2[[#This Row],[CAEC_lanche_entre_refeicoes]]*Tabela2[[#This Row],[FAVC_consumo_frequente_de_alimentos_mt_caloricos]])</f>
        <v>1</v>
      </c>
      <c r="U1749" s="1">
        <f>IF(OR(Tabela2[[#This Row],[MTRANS]]="Walking",Tabela2[[#This Row],[MTRANS]]="Bike"),Tabela2[[#This Row],[FAF_atividade_fisica_frequente_em_horas]]+1,M1749)</f>
        <v>0</v>
      </c>
      <c r="V1749">
        <f>(Tabela2[[#This Row],[SMOKE]]+Tabela2[[#This Row],[CALC_bebe_alcool_frequentemente]])</f>
        <v>1</v>
      </c>
      <c r="W1749" s="8">
        <f>(Tabela2[[#This Row],[Weight]]/(Tabela2[[#This Row],[Height]] ^2))</f>
        <v>35.73238448125317</v>
      </c>
    </row>
    <row r="1750" spans="1:23" x14ac:dyDescent="0.25">
      <c r="A1750" t="s">
        <v>15</v>
      </c>
      <c r="B1750" s="7">
        <v>29.891473000000001</v>
      </c>
      <c r="C1750" s="4">
        <v>1.76003</v>
      </c>
      <c r="D1750" s="7">
        <v>112.40919100000001</v>
      </c>
      <c r="E1750">
        <v>1</v>
      </c>
      <c r="F1750">
        <v>1</v>
      </c>
      <c r="G1750" s="2">
        <v>2.262292</v>
      </c>
      <c r="H1750" s="2">
        <v>3</v>
      </c>
      <c r="I1750">
        <v>1</v>
      </c>
      <c r="J1750">
        <v>0</v>
      </c>
      <c r="K1750" s="2">
        <v>2.115354</v>
      </c>
      <c r="L1750">
        <v>0</v>
      </c>
      <c r="M1750" s="7">
        <v>0</v>
      </c>
      <c r="N1750" s="7">
        <v>0.84758699999999998</v>
      </c>
      <c r="O1750">
        <v>1</v>
      </c>
      <c r="P1750" t="s">
        <v>17</v>
      </c>
      <c r="Q1750">
        <v>5</v>
      </c>
      <c r="R1750" s="8">
        <f>(Tabela2[[#This Row],[FAF_atividade_fisica_frequente_em_horas]]+ 0.1)</f>
        <v>0.1</v>
      </c>
      <c r="S1750" s="1">
        <f>(Tabela2[[#This Row],[TUE_tempo_uso_aparelhos_em_horas]]/Tabela2[[#This Row],[FAF_Var]])</f>
        <v>8.4758699999999987</v>
      </c>
      <c r="T1750">
        <f>(Tabela2[[#This Row],[CAEC_lanche_entre_refeicoes]]*Tabela2[[#This Row],[FAVC_consumo_frequente_de_alimentos_mt_caloricos]])</f>
        <v>1</v>
      </c>
      <c r="U1750" s="1">
        <f>IF(OR(Tabela2[[#This Row],[MTRANS]]="Walking",Tabela2[[#This Row],[MTRANS]]="Bike"),Tabela2[[#This Row],[FAF_atividade_fisica_frequente_em_horas]]+1,M1750)</f>
        <v>0</v>
      </c>
      <c r="V1750">
        <f>(Tabela2[[#This Row],[SMOKE]]+Tabela2[[#This Row],[CALC_bebe_alcool_frequentemente]])</f>
        <v>1</v>
      </c>
      <c r="W1750" s="8">
        <f>(Tabela2[[#This Row],[Weight]]/(Tabela2[[#This Row],[Height]] ^2))</f>
        <v>36.287887063038177</v>
      </c>
    </row>
    <row r="1751" spans="1:23" x14ac:dyDescent="0.25">
      <c r="A1751" t="s">
        <v>15</v>
      </c>
      <c r="B1751" s="7">
        <v>26.778683999999998</v>
      </c>
      <c r="C1751" s="4">
        <v>1.780089</v>
      </c>
      <c r="D1751" s="7">
        <v>113.15464</v>
      </c>
      <c r="E1751">
        <v>1</v>
      </c>
      <c r="F1751">
        <v>1</v>
      </c>
      <c r="G1751" s="2">
        <v>2.2191860000000001</v>
      </c>
      <c r="H1751" s="2">
        <v>3</v>
      </c>
      <c r="I1751">
        <v>1</v>
      </c>
      <c r="J1751">
        <v>0</v>
      </c>
      <c r="K1751" s="2">
        <v>2.0923259999999999</v>
      </c>
      <c r="L1751">
        <v>0</v>
      </c>
      <c r="M1751" s="7">
        <v>0.54591900000000004</v>
      </c>
      <c r="N1751" s="7">
        <v>1.74288</v>
      </c>
      <c r="O1751">
        <v>1</v>
      </c>
      <c r="P1751" t="s">
        <v>17</v>
      </c>
      <c r="Q1751">
        <v>5</v>
      </c>
      <c r="R1751" s="8">
        <f>(Tabela2[[#This Row],[FAF_atividade_fisica_frequente_em_horas]]+ 0.1)</f>
        <v>0.64591900000000002</v>
      </c>
      <c r="S1751" s="1">
        <f>(Tabela2[[#This Row],[TUE_tempo_uso_aparelhos_em_horas]]/Tabela2[[#This Row],[FAF_Var]])</f>
        <v>2.698294987451987</v>
      </c>
      <c r="T1751">
        <f>(Tabela2[[#This Row],[CAEC_lanche_entre_refeicoes]]*Tabela2[[#This Row],[FAVC_consumo_frequente_de_alimentos_mt_caloricos]])</f>
        <v>1</v>
      </c>
      <c r="U1751" s="1">
        <f>IF(OR(Tabela2[[#This Row],[MTRANS]]="Walking",Tabela2[[#This Row],[MTRANS]]="Bike"),Tabela2[[#This Row],[FAF_atividade_fisica_frequente_em_horas]]+1,M1751)</f>
        <v>0.54591900000000004</v>
      </c>
      <c r="V1751">
        <f>(Tabela2[[#This Row],[SMOKE]]+Tabela2[[#This Row],[CALC_bebe_alcool_frequentemente]])</f>
        <v>1</v>
      </c>
      <c r="W1751" s="8">
        <f>(Tabela2[[#This Row],[Weight]]/(Tabela2[[#This Row],[Height]] ^2))</f>
        <v>35.709924688992309</v>
      </c>
    </row>
    <row r="1752" spans="1:23" x14ac:dyDescent="0.25">
      <c r="A1752" t="s">
        <v>15</v>
      </c>
      <c r="B1752" s="7">
        <v>28.377958</v>
      </c>
      <c r="C1752" s="4">
        <v>1.7669459999999999</v>
      </c>
      <c r="D1752" s="7">
        <v>113.23553800000001</v>
      </c>
      <c r="E1752">
        <v>1</v>
      </c>
      <c r="F1752">
        <v>1</v>
      </c>
      <c r="G1752" s="2">
        <v>2.3141750000000001</v>
      </c>
      <c r="H1752" s="2">
        <v>3</v>
      </c>
      <c r="I1752">
        <v>1</v>
      </c>
      <c r="J1752">
        <v>0</v>
      </c>
      <c r="K1752" s="2">
        <v>2.1518090000000001</v>
      </c>
      <c r="L1752">
        <v>0</v>
      </c>
      <c r="M1752" s="7">
        <v>0</v>
      </c>
      <c r="N1752" s="7">
        <v>1.5785169999999999</v>
      </c>
      <c r="O1752">
        <v>1</v>
      </c>
      <c r="P1752" t="s">
        <v>17</v>
      </c>
      <c r="Q1752">
        <v>5</v>
      </c>
      <c r="R1752" s="8">
        <f>(Tabela2[[#This Row],[FAF_atividade_fisica_frequente_em_horas]]+ 0.1)</f>
        <v>0.1</v>
      </c>
      <c r="S1752" s="1">
        <f>(Tabela2[[#This Row],[TUE_tempo_uso_aparelhos_em_horas]]/Tabela2[[#This Row],[FAF_Var]])</f>
        <v>15.785169999999999</v>
      </c>
      <c r="T1752">
        <f>(Tabela2[[#This Row],[CAEC_lanche_entre_refeicoes]]*Tabela2[[#This Row],[FAVC_consumo_frequente_de_alimentos_mt_caloricos]])</f>
        <v>1</v>
      </c>
      <c r="U1752" s="1">
        <f>IF(OR(Tabela2[[#This Row],[MTRANS]]="Walking",Tabela2[[#This Row],[MTRANS]]="Bike"),Tabela2[[#This Row],[FAF_atividade_fisica_frequente_em_horas]]+1,M1752)</f>
        <v>0</v>
      </c>
      <c r="V1752">
        <f>(Tabela2[[#This Row],[SMOKE]]+Tabela2[[#This Row],[CALC_bebe_alcool_frequentemente]])</f>
        <v>1</v>
      </c>
      <c r="W1752" s="8">
        <f>(Tabela2[[#This Row],[Weight]]/(Tabela2[[#This Row],[Height]] ^2))</f>
        <v>36.269051114383686</v>
      </c>
    </row>
    <row r="1753" spans="1:23" x14ac:dyDescent="0.25">
      <c r="A1753" t="s">
        <v>15</v>
      </c>
      <c r="B1753" s="7">
        <v>26.199321000000001</v>
      </c>
      <c r="C1753" s="4">
        <v>1.885119</v>
      </c>
      <c r="D1753" s="7">
        <v>121.06505199999999</v>
      </c>
      <c r="E1753">
        <v>1</v>
      </c>
      <c r="F1753">
        <v>1</v>
      </c>
      <c r="G1753" s="2">
        <v>2.4232909999999999</v>
      </c>
      <c r="H1753" s="2">
        <v>3</v>
      </c>
      <c r="I1753">
        <v>1</v>
      </c>
      <c r="J1753">
        <v>0</v>
      </c>
      <c r="K1753" s="2">
        <v>2.902682</v>
      </c>
      <c r="L1753">
        <v>0</v>
      </c>
      <c r="M1753" s="7">
        <v>1.2435670000000001</v>
      </c>
      <c r="N1753" s="7">
        <v>0.55559099999999995</v>
      </c>
      <c r="O1753">
        <v>1</v>
      </c>
      <c r="P1753" t="s">
        <v>14</v>
      </c>
      <c r="Q1753">
        <v>5</v>
      </c>
      <c r="R1753" s="8">
        <f>(Tabela2[[#This Row],[FAF_atividade_fisica_frequente_em_horas]]+ 0.1)</f>
        <v>1.3435670000000002</v>
      </c>
      <c r="S1753" s="1">
        <f>(Tabela2[[#This Row],[TUE_tempo_uso_aparelhos_em_horas]]/Tabela2[[#This Row],[FAF_Var]])</f>
        <v>0.41351938533768684</v>
      </c>
      <c r="T1753">
        <f>(Tabela2[[#This Row],[CAEC_lanche_entre_refeicoes]]*Tabela2[[#This Row],[FAVC_consumo_frequente_de_alimentos_mt_caloricos]])</f>
        <v>1</v>
      </c>
      <c r="U1753" s="1">
        <f>IF(OR(Tabela2[[#This Row],[MTRANS]]="Walking",Tabela2[[#This Row],[MTRANS]]="Bike"),Tabela2[[#This Row],[FAF_atividade_fisica_frequente_em_horas]]+1,M1753)</f>
        <v>1.2435670000000001</v>
      </c>
      <c r="V1753">
        <f>(Tabela2[[#This Row],[SMOKE]]+Tabela2[[#This Row],[CALC_bebe_alcool_frequentemente]])</f>
        <v>1</v>
      </c>
      <c r="W1753" s="8">
        <f>(Tabela2[[#This Row],[Weight]]/(Tabela2[[#This Row],[Height]] ^2))</f>
        <v>34.067577420599832</v>
      </c>
    </row>
    <row r="1754" spans="1:23" x14ac:dyDescent="0.25">
      <c r="A1754" t="s">
        <v>15</v>
      </c>
      <c r="B1754" s="7">
        <v>27.266286999999998</v>
      </c>
      <c r="C1754" s="4">
        <v>1.828276</v>
      </c>
      <c r="D1754" s="7">
        <v>120.872294</v>
      </c>
      <c r="E1754">
        <v>1</v>
      </c>
      <c r="F1754">
        <v>1</v>
      </c>
      <c r="G1754" s="2">
        <v>2.6372019999999998</v>
      </c>
      <c r="H1754" s="2">
        <v>3</v>
      </c>
      <c r="I1754">
        <v>1</v>
      </c>
      <c r="J1754">
        <v>0</v>
      </c>
      <c r="K1754" s="2">
        <v>2.966647</v>
      </c>
      <c r="L1754">
        <v>0</v>
      </c>
      <c r="M1754" s="7">
        <v>1.1595979999999999</v>
      </c>
      <c r="N1754" s="7">
        <v>0.75889700000000004</v>
      </c>
      <c r="O1754">
        <v>1</v>
      </c>
      <c r="P1754" t="s">
        <v>14</v>
      </c>
      <c r="Q1754">
        <v>5</v>
      </c>
      <c r="R1754" s="8">
        <f>(Tabela2[[#This Row],[FAF_atividade_fisica_frequente_em_horas]]+ 0.1)</f>
        <v>1.259598</v>
      </c>
      <c r="S1754" s="1">
        <f>(Tabela2[[#This Row],[TUE_tempo_uso_aparelhos_em_horas]]/Tabela2[[#This Row],[FAF_Var]])</f>
        <v>0.60249142980538239</v>
      </c>
      <c r="T1754">
        <f>(Tabela2[[#This Row],[CAEC_lanche_entre_refeicoes]]*Tabela2[[#This Row],[FAVC_consumo_frequente_de_alimentos_mt_caloricos]])</f>
        <v>1</v>
      </c>
      <c r="U1754" s="1">
        <f>IF(OR(Tabela2[[#This Row],[MTRANS]]="Walking",Tabela2[[#This Row],[MTRANS]]="Bike"),Tabela2[[#This Row],[FAF_atividade_fisica_frequente_em_horas]]+1,M1754)</f>
        <v>1.1595979999999999</v>
      </c>
      <c r="V1754">
        <f>(Tabela2[[#This Row],[SMOKE]]+Tabela2[[#This Row],[CALC_bebe_alcool_frequentemente]])</f>
        <v>1</v>
      </c>
      <c r="W1754" s="8">
        <f>(Tabela2[[#This Row],[Weight]]/(Tabela2[[#This Row],[Height]] ^2))</f>
        <v>36.161234472863633</v>
      </c>
    </row>
    <row r="1755" spans="1:23" x14ac:dyDescent="0.25">
      <c r="A1755" t="s">
        <v>15</v>
      </c>
      <c r="B1755" s="7">
        <v>27.635028999999999</v>
      </c>
      <c r="C1755" s="4">
        <v>1.806227</v>
      </c>
      <c r="D1755" s="7">
        <v>120.42356700000001</v>
      </c>
      <c r="E1755">
        <v>1</v>
      </c>
      <c r="F1755">
        <v>1</v>
      </c>
      <c r="G1755" s="2">
        <v>2.9740060000000001</v>
      </c>
      <c r="H1755" s="2">
        <v>3</v>
      </c>
      <c r="I1755">
        <v>1</v>
      </c>
      <c r="J1755">
        <v>0</v>
      </c>
      <c r="K1755" s="2">
        <v>2.5658280000000002</v>
      </c>
      <c r="L1755">
        <v>0</v>
      </c>
      <c r="M1755" s="7">
        <v>0.69026900000000002</v>
      </c>
      <c r="N1755" s="7">
        <v>1.339691</v>
      </c>
      <c r="O1755">
        <v>1</v>
      </c>
      <c r="P1755" t="s">
        <v>14</v>
      </c>
      <c r="Q1755">
        <v>5</v>
      </c>
      <c r="R1755" s="8">
        <f>(Tabela2[[#This Row],[FAF_atividade_fisica_frequente_em_horas]]+ 0.1)</f>
        <v>0.790269</v>
      </c>
      <c r="S1755" s="1">
        <f>(Tabela2[[#This Row],[TUE_tempo_uso_aparelhos_em_horas]]/Tabela2[[#This Row],[FAF_Var]])</f>
        <v>1.6952341544461442</v>
      </c>
      <c r="T1755">
        <f>(Tabela2[[#This Row],[CAEC_lanche_entre_refeicoes]]*Tabela2[[#This Row],[FAVC_consumo_frequente_de_alimentos_mt_caloricos]])</f>
        <v>1</v>
      </c>
      <c r="U1755" s="1">
        <f>IF(OR(Tabela2[[#This Row],[MTRANS]]="Walking",Tabela2[[#This Row],[MTRANS]]="Bike"),Tabela2[[#This Row],[FAF_atividade_fisica_frequente_em_horas]]+1,M1755)</f>
        <v>0.69026900000000002</v>
      </c>
      <c r="V1755">
        <f>(Tabela2[[#This Row],[SMOKE]]+Tabela2[[#This Row],[CALC_bebe_alcool_frequentemente]])</f>
        <v>1</v>
      </c>
      <c r="W1755" s="8">
        <f>(Tabela2[[#This Row],[Weight]]/(Tabela2[[#This Row],[Height]] ^2))</f>
        <v>36.911936253936297</v>
      </c>
    </row>
    <row r="1756" spans="1:23" x14ac:dyDescent="0.25">
      <c r="A1756" t="s">
        <v>15</v>
      </c>
      <c r="B1756" s="7">
        <v>26.899885999999999</v>
      </c>
      <c r="C1756" s="4">
        <v>1.8129189999999999</v>
      </c>
      <c r="D1756" s="7">
        <v>119.841446</v>
      </c>
      <c r="E1756">
        <v>1</v>
      </c>
      <c r="F1756">
        <v>1</v>
      </c>
      <c r="G1756" s="2">
        <v>2.3479420000000002</v>
      </c>
      <c r="H1756" s="2">
        <v>3</v>
      </c>
      <c r="I1756">
        <v>1</v>
      </c>
      <c r="J1756">
        <v>0</v>
      </c>
      <c r="K1756" s="2">
        <v>2.7306629999999998</v>
      </c>
      <c r="L1756">
        <v>0</v>
      </c>
      <c r="M1756" s="7">
        <v>0.68937099999999996</v>
      </c>
      <c r="N1756" s="7">
        <v>0.188693</v>
      </c>
      <c r="O1756">
        <v>1</v>
      </c>
      <c r="P1756" t="s">
        <v>14</v>
      </c>
      <c r="Q1756">
        <v>5</v>
      </c>
      <c r="R1756" s="8">
        <f>(Tabela2[[#This Row],[FAF_atividade_fisica_frequente_em_horas]]+ 0.1)</f>
        <v>0.78937099999999993</v>
      </c>
      <c r="S1756" s="1">
        <f>(Tabela2[[#This Row],[TUE_tempo_uso_aparelhos_em_horas]]/Tabela2[[#This Row],[FAF_Var]])</f>
        <v>0.23904222475870029</v>
      </c>
      <c r="T1756">
        <f>(Tabela2[[#This Row],[CAEC_lanche_entre_refeicoes]]*Tabela2[[#This Row],[FAVC_consumo_frequente_de_alimentos_mt_caloricos]])</f>
        <v>1</v>
      </c>
      <c r="U1756" s="1">
        <f>IF(OR(Tabela2[[#This Row],[MTRANS]]="Walking",Tabela2[[#This Row],[MTRANS]]="Bike"),Tabela2[[#This Row],[FAF_atividade_fisica_frequente_em_horas]]+1,M1756)</f>
        <v>0.68937099999999996</v>
      </c>
      <c r="V1756">
        <f>(Tabela2[[#This Row],[SMOKE]]+Tabela2[[#This Row],[CALC_bebe_alcool_frequentemente]])</f>
        <v>1</v>
      </c>
      <c r="W1756" s="8">
        <f>(Tabela2[[#This Row],[Weight]]/(Tabela2[[#This Row],[Height]] ^2))</f>
        <v>36.462818818623298</v>
      </c>
    </row>
    <row r="1757" spans="1:23" x14ac:dyDescent="0.25">
      <c r="A1757" t="s">
        <v>15</v>
      </c>
      <c r="B1757" s="7">
        <v>22.758997999999998</v>
      </c>
      <c r="C1757" s="4">
        <v>1.8597170000000001</v>
      </c>
      <c r="D1757" s="7">
        <v>121.284533</v>
      </c>
      <c r="E1757">
        <v>1</v>
      </c>
      <c r="F1757">
        <v>1</v>
      </c>
      <c r="G1757" s="2">
        <v>2.6540759999999999</v>
      </c>
      <c r="H1757" s="2">
        <v>2.5741079999999998</v>
      </c>
      <c r="I1757">
        <v>1</v>
      </c>
      <c r="J1757">
        <v>0</v>
      </c>
      <c r="K1757" s="2">
        <v>1.78471</v>
      </c>
      <c r="L1757">
        <v>0</v>
      </c>
      <c r="M1757" s="7">
        <v>1.1705369999999999</v>
      </c>
      <c r="N1757" s="7">
        <v>0</v>
      </c>
      <c r="O1757">
        <v>1</v>
      </c>
      <c r="P1757" t="s">
        <v>14</v>
      </c>
      <c r="Q1757">
        <v>5</v>
      </c>
      <c r="R1757" s="8">
        <f>(Tabela2[[#This Row],[FAF_atividade_fisica_frequente_em_horas]]+ 0.1)</f>
        <v>1.270537</v>
      </c>
      <c r="S1757" s="1">
        <f>(Tabela2[[#This Row],[TUE_tempo_uso_aparelhos_em_horas]]/Tabela2[[#This Row],[FAF_Var]])</f>
        <v>0</v>
      </c>
      <c r="T1757">
        <f>(Tabela2[[#This Row],[CAEC_lanche_entre_refeicoes]]*Tabela2[[#This Row],[FAVC_consumo_frequente_de_alimentos_mt_caloricos]])</f>
        <v>1</v>
      </c>
      <c r="U1757" s="1">
        <f>IF(OR(Tabela2[[#This Row],[MTRANS]]="Walking",Tabela2[[#This Row],[MTRANS]]="Bike"),Tabela2[[#This Row],[FAF_atividade_fisica_frequente_em_horas]]+1,M1757)</f>
        <v>1.1705369999999999</v>
      </c>
      <c r="V1757">
        <f>(Tabela2[[#This Row],[SMOKE]]+Tabela2[[#This Row],[CALC_bebe_alcool_frequentemente]])</f>
        <v>1</v>
      </c>
      <c r="W1757" s="8">
        <f>(Tabela2[[#This Row],[Weight]]/(Tabela2[[#This Row],[Height]] ^2))</f>
        <v>35.068056549499204</v>
      </c>
    </row>
    <row r="1758" spans="1:23" x14ac:dyDescent="0.25">
      <c r="A1758" t="s">
        <v>15</v>
      </c>
      <c r="B1758" s="7">
        <v>22.771000999999998</v>
      </c>
      <c r="C1758" s="4">
        <v>1.8651599999999999</v>
      </c>
      <c r="D1758" s="7">
        <v>121.52736899999999</v>
      </c>
      <c r="E1758">
        <v>1</v>
      </c>
      <c r="F1758">
        <v>1</v>
      </c>
      <c r="G1758" s="2">
        <v>2.7389999999999999</v>
      </c>
      <c r="H1758" s="2">
        <v>2.7404920000000002</v>
      </c>
      <c r="I1758">
        <v>1</v>
      </c>
      <c r="J1758">
        <v>0</v>
      </c>
      <c r="K1758" s="2">
        <v>1.8245610000000001</v>
      </c>
      <c r="L1758">
        <v>0</v>
      </c>
      <c r="M1758" s="7">
        <v>1.0948389999999999</v>
      </c>
      <c r="N1758" s="7">
        <v>0</v>
      </c>
      <c r="O1758">
        <v>1</v>
      </c>
      <c r="P1758" t="s">
        <v>14</v>
      </c>
      <c r="Q1758">
        <v>5</v>
      </c>
      <c r="R1758" s="8">
        <f>(Tabela2[[#This Row],[FAF_atividade_fisica_frequente_em_horas]]+ 0.1)</f>
        <v>1.194839</v>
      </c>
      <c r="S1758" s="1">
        <f>(Tabela2[[#This Row],[TUE_tempo_uso_aparelhos_em_horas]]/Tabela2[[#This Row],[FAF_Var]])</f>
        <v>0</v>
      </c>
      <c r="T1758">
        <f>(Tabela2[[#This Row],[CAEC_lanche_entre_refeicoes]]*Tabela2[[#This Row],[FAVC_consumo_frequente_de_alimentos_mt_caloricos]])</f>
        <v>1</v>
      </c>
      <c r="U1758" s="1">
        <f>IF(OR(Tabela2[[#This Row],[MTRANS]]="Walking",Tabela2[[#This Row],[MTRANS]]="Bike"),Tabela2[[#This Row],[FAF_atividade_fisica_frequente_em_horas]]+1,M1758)</f>
        <v>1.0948389999999999</v>
      </c>
      <c r="V1758">
        <f>(Tabela2[[#This Row],[SMOKE]]+Tabela2[[#This Row],[CALC_bebe_alcool_frequentemente]])</f>
        <v>1</v>
      </c>
      <c r="W1758" s="8">
        <f>(Tabela2[[#This Row],[Weight]]/(Tabela2[[#This Row],[Height]] ^2))</f>
        <v>34.933484694646559</v>
      </c>
    </row>
    <row r="1759" spans="1:23" x14ac:dyDescent="0.25">
      <c r="A1759" t="s">
        <v>15</v>
      </c>
      <c r="B1759" s="7">
        <v>23.826684</v>
      </c>
      <c r="C1759" s="4">
        <v>1.783609</v>
      </c>
      <c r="D1759" s="7">
        <v>120.92153500000001</v>
      </c>
      <c r="E1759">
        <v>1</v>
      </c>
      <c r="F1759">
        <v>1</v>
      </c>
      <c r="G1759" s="2">
        <v>2.5912920000000002</v>
      </c>
      <c r="H1759" s="2">
        <v>2.9564219999999999</v>
      </c>
      <c r="I1759">
        <v>1</v>
      </c>
      <c r="J1759">
        <v>0</v>
      </c>
      <c r="K1759" s="2">
        <v>2.3108300000000002</v>
      </c>
      <c r="L1759">
        <v>0</v>
      </c>
      <c r="M1759" s="7">
        <v>1.4852399999999999</v>
      </c>
      <c r="N1759" s="7">
        <v>0.28181499999999998</v>
      </c>
      <c r="O1759">
        <v>1</v>
      </c>
      <c r="P1759" t="s">
        <v>14</v>
      </c>
      <c r="Q1759">
        <v>5</v>
      </c>
      <c r="R1759" s="8">
        <f>(Tabela2[[#This Row],[FAF_atividade_fisica_frequente_em_horas]]+ 0.1)</f>
        <v>1.58524</v>
      </c>
      <c r="S1759" s="1">
        <f>(Tabela2[[#This Row],[TUE_tempo_uso_aparelhos_em_horas]]/Tabela2[[#This Row],[FAF_Var]])</f>
        <v>0.17777434331710024</v>
      </c>
      <c r="T1759">
        <f>(Tabela2[[#This Row],[CAEC_lanche_entre_refeicoes]]*Tabela2[[#This Row],[FAVC_consumo_frequente_de_alimentos_mt_caloricos]])</f>
        <v>1</v>
      </c>
      <c r="U1759" s="1">
        <f>IF(OR(Tabela2[[#This Row],[MTRANS]]="Walking",Tabela2[[#This Row],[MTRANS]]="Bike"),Tabela2[[#This Row],[FAF_atividade_fisica_frequente_em_horas]]+1,M1759)</f>
        <v>1.4852399999999999</v>
      </c>
      <c r="V1759">
        <f>(Tabela2[[#This Row],[SMOKE]]+Tabela2[[#This Row],[CALC_bebe_alcool_frequentemente]])</f>
        <v>1</v>
      </c>
      <c r="W1759" s="8">
        <f>(Tabela2[[#This Row],[Weight]]/(Tabela2[[#This Row],[Height]] ^2))</f>
        <v>38.010566418107928</v>
      </c>
    </row>
    <row r="1760" spans="1:23" x14ac:dyDescent="0.25">
      <c r="A1760" t="s">
        <v>15</v>
      </c>
      <c r="B1760" s="7">
        <v>24.186273</v>
      </c>
      <c r="C1760" s="4">
        <v>1.794827</v>
      </c>
      <c r="D1760" s="7">
        <v>120.919703</v>
      </c>
      <c r="E1760">
        <v>1</v>
      </c>
      <c r="F1760">
        <v>1</v>
      </c>
      <c r="G1760" s="2">
        <v>2.611847</v>
      </c>
      <c r="H1760" s="2">
        <v>2.7493340000000002</v>
      </c>
      <c r="I1760">
        <v>1</v>
      </c>
      <c r="J1760">
        <v>0</v>
      </c>
      <c r="K1760" s="2">
        <v>2.364849</v>
      </c>
      <c r="L1760">
        <v>0</v>
      </c>
      <c r="M1760" s="7">
        <v>1.1417079999999999</v>
      </c>
      <c r="N1760" s="7">
        <v>6.3005000000000005E-2</v>
      </c>
      <c r="O1760">
        <v>1</v>
      </c>
      <c r="P1760" t="s">
        <v>14</v>
      </c>
      <c r="Q1760">
        <v>5</v>
      </c>
      <c r="R1760" s="8">
        <f>(Tabela2[[#This Row],[FAF_atividade_fisica_frequente_em_horas]]+ 0.1)</f>
        <v>1.241708</v>
      </c>
      <c r="S1760" s="1">
        <f>(Tabela2[[#This Row],[TUE_tempo_uso_aparelhos_em_horas]]/Tabela2[[#This Row],[FAF_Var]])</f>
        <v>5.074059279637403E-2</v>
      </c>
      <c r="T1760">
        <f>(Tabela2[[#This Row],[CAEC_lanche_entre_refeicoes]]*Tabela2[[#This Row],[FAVC_consumo_frequente_de_alimentos_mt_caloricos]])</f>
        <v>1</v>
      </c>
      <c r="U1760" s="1">
        <f>IF(OR(Tabela2[[#This Row],[MTRANS]]="Walking",Tabela2[[#This Row],[MTRANS]]="Bike"),Tabela2[[#This Row],[FAF_atividade_fisica_frequente_em_horas]]+1,M1760)</f>
        <v>1.1417079999999999</v>
      </c>
      <c r="V1760">
        <f>(Tabela2[[#This Row],[SMOKE]]+Tabela2[[#This Row],[CALC_bebe_alcool_frequentemente]])</f>
        <v>1</v>
      </c>
      <c r="W1760" s="8">
        <f>(Tabela2[[#This Row],[Weight]]/(Tabela2[[#This Row],[Height]] ^2))</f>
        <v>37.536336486860556</v>
      </c>
    </row>
    <row r="1761" spans="1:23" x14ac:dyDescent="0.25">
      <c r="A1761" t="s">
        <v>15</v>
      </c>
      <c r="B1761" s="7">
        <v>30.945368999999999</v>
      </c>
      <c r="C1761" s="4">
        <v>1.759647</v>
      </c>
      <c r="D1761" s="7">
        <v>120.00939200000001</v>
      </c>
      <c r="E1761">
        <v>1</v>
      </c>
      <c r="F1761">
        <v>1</v>
      </c>
      <c r="G1761" s="2">
        <v>2.7666119999999998</v>
      </c>
      <c r="H1761" s="2">
        <v>3</v>
      </c>
      <c r="I1761">
        <v>1</v>
      </c>
      <c r="J1761">
        <v>0</v>
      </c>
      <c r="K1761" s="2">
        <v>2.1734170000000002</v>
      </c>
      <c r="L1761">
        <v>0</v>
      </c>
      <c r="M1761" s="7">
        <v>1.0893440000000001</v>
      </c>
      <c r="N1761" s="7">
        <v>1.198439</v>
      </c>
      <c r="O1761">
        <v>1</v>
      </c>
      <c r="P1761" t="s">
        <v>17</v>
      </c>
      <c r="Q1761">
        <v>5</v>
      </c>
      <c r="R1761" s="8">
        <f>(Tabela2[[#This Row],[FAF_atividade_fisica_frequente_em_horas]]+ 0.1)</f>
        <v>1.1893440000000002</v>
      </c>
      <c r="S1761" s="1">
        <f>(Tabela2[[#This Row],[TUE_tempo_uso_aparelhos_em_horas]]/Tabela2[[#This Row],[FAF_Var]])</f>
        <v>1.0076470726719939</v>
      </c>
      <c r="T1761">
        <f>(Tabela2[[#This Row],[CAEC_lanche_entre_refeicoes]]*Tabela2[[#This Row],[FAVC_consumo_frequente_de_alimentos_mt_caloricos]])</f>
        <v>1</v>
      </c>
      <c r="U1761" s="1">
        <f>IF(OR(Tabela2[[#This Row],[MTRANS]]="Walking",Tabela2[[#This Row],[MTRANS]]="Bike"),Tabela2[[#This Row],[FAF_atividade_fisica_frequente_em_horas]]+1,M1761)</f>
        <v>1.0893440000000001</v>
      </c>
      <c r="V1761">
        <f>(Tabela2[[#This Row],[SMOKE]]+Tabela2[[#This Row],[CALC_bebe_alcool_frequentemente]])</f>
        <v>1</v>
      </c>
      <c r="W1761" s="8">
        <f>(Tabela2[[#This Row],[Weight]]/(Tabela2[[#This Row],[Height]] ^2))</f>
        <v>38.758247229484454</v>
      </c>
    </row>
    <row r="1762" spans="1:23" x14ac:dyDescent="0.25">
      <c r="A1762" t="s">
        <v>15</v>
      </c>
      <c r="B1762" s="7">
        <v>31.490698999999999</v>
      </c>
      <c r="C1762" s="4">
        <v>1.7735209999999999</v>
      </c>
      <c r="D1762" s="7">
        <v>120.209711</v>
      </c>
      <c r="E1762">
        <v>1</v>
      </c>
      <c r="F1762">
        <v>1</v>
      </c>
      <c r="G1762" s="2">
        <v>2.7771650000000001</v>
      </c>
      <c r="H1762" s="2">
        <v>3</v>
      </c>
      <c r="I1762">
        <v>1</v>
      </c>
      <c r="J1762">
        <v>0</v>
      </c>
      <c r="K1762" s="2">
        <v>2.1068609999999999</v>
      </c>
      <c r="L1762">
        <v>0</v>
      </c>
      <c r="M1762" s="7">
        <v>0.92594100000000001</v>
      </c>
      <c r="N1762" s="7">
        <v>0.29160000000000003</v>
      </c>
      <c r="O1762">
        <v>1</v>
      </c>
      <c r="P1762" t="s">
        <v>17</v>
      </c>
      <c r="Q1762">
        <v>5</v>
      </c>
      <c r="R1762" s="8">
        <f>(Tabela2[[#This Row],[FAF_atividade_fisica_frequente_em_horas]]+ 0.1)</f>
        <v>1.025941</v>
      </c>
      <c r="S1762" s="1">
        <f>(Tabela2[[#This Row],[TUE_tempo_uso_aparelhos_em_horas]]/Tabela2[[#This Row],[FAF_Var]])</f>
        <v>0.28422687074597858</v>
      </c>
      <c r="T1762">
        <f>(Tabela2[[#This Row],[CAEC_lanche_entre_refeicoes]]*Tabela2[[#This Row],[FAVC_consumo_frequente_de_alimentos_mt_caloricos]])</f>
        <v>1</v>
      </c>
      <c r="U1762" s="1">
        <f>IF(OR(Tabela2[[#This Row],[MTRANS]]="Walking",Tabela2[[#This Row],[MTRANS]]="Bike"),Tabela2[[#This Row],[FAF_atividade_fisica_frequente_em_horas]]+1,M1762)</f>
        <v>0.92594100000000001</v>
      </c>
      <c r="V1762">
        <f>(Tabela2[[#This Row],[SMOKE]]+Tabela2[[#This Row],[CALC_bebe_alcool_frequentemente]])</f>
        <v>1</v>
      </c>
      <c r="W1762" s="8">
        <f>(Tabela2[[#This Row],[Weight]]/(Tabela2[[#This Row],[Height]] ^2))</f>
        <v>38.217905527526611</v>
      </c>
    </row>
    <row r="1763" spans="1:23" x14ac:dyDescent="0.25">
      <c r="A1763" t="s">
        <v>15</v>
      </c>
      <c r="B1763" s="7">
        <v>31.567240000000002</v>
      </c>
      <c r="C1763" s="4">
        <v>1.7533270000000001</v>
      </c>
      <c r="D1763" s="7">
        <v>118.26569000000001</v>
      </c>
      <c r="E1763">
        <v>1</v>
      </c>
      <c r="F1763">
        <v>1</v>
      </c>
      <c r="G1763" s="2">
        <v>2.2328359999999998</v>
      </c>
      <c r="H1763" s="2">
        <v>3</v>
      </c>
      <c r="I1763">
        <v>1</v>
      </c>
      <c r="J1763">
        <v>0</v>
      </c>
      <c r="K1763" s="2">
        <v>2.146398</v>
      </c>
      <c r="L1763">
        <v>0</v>
      </c>
      <c r="M1763" s="7">
        <v>0.88681699999999997</v>
      </c>
      <c r="N1763" s="7">
        <v>0.47787000000000002</v>
      </c>
      <c r="O1763">
        <v>1</v>
      </c>
      <c r="P1763" t="s">
        <v>17</v>
      </c>
      <c r="Q1763">
        <v>5</v>
      </c>
      <c r="R1763" s="8">
        <f>(Tabela2[[#This Row],[FAF_atividade_fisica_frequente_em_horas]]+ 0.1)</f>
        <v>0.98681699999999994</v>
      </c>
      <c r="S1763" s="1">
        <f>(Tabela2[[#This Row],[TUE_tempo_uso_aparelhos_em_horas]]/Tabela2[[#This Row],[FAF_Var]])</f>
        <v>0.48425391941971008</v>
      </c>
      <c r="T1763">
        <f>(Tabela2[[#This Row],[CAEC_lanche_entre_refeicoes]]*Tabela2[[#This Row],[FAVC_consumo_frequente_de_alimentos_mt_caloricos]])</f>
        <v>1</v>
      </c>
      <c r="U1763" s="1">
        <f>IF(OR(Tabela2[[#This Row],[MTRANS]]="Walking",Tabela2[[#This Row],[MTRANS]]="Bike"),Tabela2[[#This Row],[FAF_atividade_fisica_frequente_em_horas]]+1,M1763)</f>
        <v>0.88681699999999997</v>
      </c>
      <c r="V1763">
        <f>(Tabela2[[#This Row],[SMOKE]]+Tabela2[[#This Row],[CALC_bebe_alcool_frequentemente]])</f>
        <v>1</v>
      </c>
      <c r="W1763" s="8">
        <f>(Tabela2[[#This Row],[Weight]]/(Tabela2[[#This Row],[Height]] ^2))</f>
        <v>38.470951566449969</v>
      </c>
    </row>
    <row r="1764" spans="1:23" x14ac:dyDescent="0.25">
      <c r="A1764" t="s">
        <v>15</v>
      </c>
      <c r="B1764" s="7">
        <v>30.444081000000001</v>
      </c>
      <c r="C1764" s="4">
        <v>1.7610680000000001</v>
      </c>
      <c r="D1764" s="7">
        <v>118.370628</v>
      </c>
      <c r="E1764">
        <v>1</v>
      </c>
      <c r="F1764">
        <v>1</v>
      </c>
      <c r="G1764" s="2">
        <v>2.5712739999999998</v>
      </c>
      <c r="H1764" s="2">
        <v>3</v>
      </c>
      <c r="I1764">
        <v>1</v>
      </c>
      <c r="J1764">
        <v>0</v>
      </c>
      <c r="K1764" s="2">
        <v>2.224164</v>
      </c>
      <c r="L1764">
        <v>0</v>
      </c>
      <c r="M1764" s="7">
        <v>1.0181579999999999</v>
      </c>
      <c r="N1764" s="7">
        <v>1.1528989999999999</v>
      </c>
      <c r="O1764">
        <v>1</v>
      </c>
      <c r="P1764" t="s">
        <v>17</v>
      </c>
      <c r="Q1764">
        <v>5</v>
      </c>
      <c r="R1764" s="8">
        <f>(Tabela2[[#This Row],[FAF_atividade_fisica_frequente_em_horas]]+ 0.1)</f>
        <v>1.118158</v>
      </c>
      <c r="S1764" s="1">
        <f>(Tabela2[[#This Row],[TUE_tempo_uso_aparelhos_em_horas]]/Tabela2[[#This Row],[FAF_Var]])</f>
        <v>1.0310698488049095</v>
      </c>
      <c r="T1764">
        <f>(Tabela2[[#This Row],[CAEC_lanche_entre_refeicoes]]*Tabela2[[#This Row],[FAVC_consumo_frequente_de_alimentos_mt_caloricos]])</f>
        <v>1</v>
      </c>
      <c r="U1764" s="1">
        <f>IF(OR(Tabela2[[#This Row],[MTRANS]]="Walking",Tabela2[[#This Row],[MTRANS]]="Bike"),Tabela2[[#This Row],[FAF_atividade_fisica_frequente_em_horas]]+1,M1764)</f>
        <v>1.0181579999999999</v>
      </c>
      <c r="V1764">
        <f>(Tabela2[[#This Row],[SMOKE]]+Tabela2[[#This Row],[CALC_bebe_alcool_frequentemente]])</f>
        <v>1</v>
      </c>
      <c r="W1764" s="8">
        <f>(Tabela2[[#This Row],[Weight]]/(Tabela2[[#This Row],[Height]] ^2))</f>
        <v>38.167323010718547</v>
      </c>
    </row>
    <row r="1765" spans="1:23" x14ac:dyDescent="0.25">
      <c r="A1765" t="s">
        <v>15</v>
      </c>
      <c r="B1765" s="7">
        <v>31.199261</v>
      </c>
      <c r="C1765" s="4">
        <v>1.8488450000000001</v>
      </c>
      <c r="D1765" s="7">
        <v>125.07786299999999</v>
      </c>
      <c r="E1765">
        <v>1</v>
      </c>
      <c r="F1765">
        <v>1</v>
      </c>
      <c r="G1765" s="2">
        <v>2.4961899999999999</v>
      </c>
      <c r="H1765" s="2">
        <v>3</v>
      </c>
      <c r="I1765">
        <v>1</v>
      </c>
      <c r="J1765">
        <v>1</v>
      </c>
      <c r="K1765" s="2">
        <v>1.6621170000000001</v>
      </c>
      <c r="L1765">
        <v>0</v>
      </c>
      <c r="M1765" s="7">
        <v>0.992371</v>
      </c>
      <c r="N1765" s="7">
        <v>0.21763199999999999</v>
      </c>
      <c r="O1765">
        <v>1</v>
      </c>
      <c r="P1765" t="s">
        <v>14</v>
      </c>
      <c r="Q1765">
        <v>5</v>
      </c>
      <c r="R1765" s="8">
        <f>(Tabela2[[#This Row],[FAF_atividade_fisica_frequente_em_horas]]+ 0.1)</f>
        <v>1.092371</v>
      </c>
      <c r="S1765" s="1">
        <f>(Tabela2[[#This Row],[TUE_tempo_uso_aparelhos_em_horas]]/Tabela2[[#This Row],[FAF_Var]])</f>
        <v>0.19922901651545125</v>
      </c>
      <c r="T1765">
        <f>(Tabela2[[#This Row],[CAEC_lanche_entre_refeicoes]]*Tabela2[[#This Row],[FAVC_consumo_frequente_de_alimentos_mt_caloricos]])</f>
        <v>1</v>
      </c>
      <c r="U1765" s="1">
        <f>IF(OR(Tabela2[[#This Row],[MTRANS]]="Walking",Tabela2[[#This Row],[MTRANS]]="Bike"),Tabela2[[#This Row],[FAF_atividade_fisica_frequente_em_horas]]+1,M1765)</f>
        <v>0.992371</v>
      </c>
      <c r="V1765">
        <f>(Tabela2[[#This Row],[SMOKE]]+Tabela2[[#This Row],[CALC_bebe_alcool_frequentemente]])</f>
        <v>2</v>
      </c>
      <c r="W1765" s="8">
        <f>(Tabela2[[#This Row],[Weight]]/(Tabela2[[#This Row],[Height]] ^2))</f>
        <v>36.591435408423159</v>
      </c>
    </row>
    <row r="1766" spans="1:23" x14ac:dyDescent="0.25">
      <c r="A1766" t="s">
        <v>15</v>
      </c>
      <c r="B1766" s="7">
        <v>31.190218999999999</v>
      </c>
      <c r="C1766" s="4">
        <v>1.8428119999999999</v>
      </c>
      <c r="D1766" s="7">
        <v>125.973927</v>
      </c>
      <c r="E1766">
        <v>1</v>
      </c>
      <c r="F1766">
        <v>1</v>
      </c>
      <c r="G1766" s="2">
        <v>2.151335</v>
      </c>
      <c r="H1766" s="2">
        <v>3</v>
      </c>
      <c r="I1766">
        <v>1</v>
      </c>
      <c r="J1766">
        <v>1</v>
      </c>
      <c r="K1766" s="2">
        <v>1.491169</v>
      </c>
      <c r="L1766">
        <v>0</v>
      </c>
      <c r="M1766" s="7">
        <v>0.88354200000000005</v>
      </c>
      <c r="N1766" s="7">
        <v>0.52776599999999996</v>
      </c>
      <c r="O1766">
        <v>1</v>
      </c>
      <c r="P1766" t="s">
        <v>14</v>
      </c>
      <c r="Q1766">
        <v>5</v>
      </c>
      <c r="R1766" s="8">
        <f>(Tabela2[[#This Row],[FAF_atividade_fisica_frequente_em_horas]]+ 0.1)</f>
        <v>0.98354200000000003</v>
      </c>
      <c r="S1766" s="1">
        <f>(Tabela2[[#This Row],[TUE_tempo_uso_aparelhos_em_horas]]/Tabela2[[#This Row],[FAF_Var]])</f>
        <v>0.53659731867068206</v>
      </c>
      <c r="T1766">
        <f>(Tabela2[[#This Row],[CAEC_lanche_entre_refeicoes]]*Tabela2[[#This Row],[FAVC_consumo_frequente_de_alimentos_mt_caloricos]])</f>
        <v>1</v>
      </c>
      <c r="U1766" s="1">
        <f>IF(OR(Tabela2[[#This Row],[MTRANS]]="Walking",Tabela2[[#This Row],[MTRANS]]="Bike"),Tabela2[[#This Row],[FAF_atividade_fisica_frequente_em_horas]]+1,M1766)</f>
        <v>0.88354200000000005</v>
      </c>
      <c r="V1766">
        <f>(Tabela2[[#This Row],[SMOKE]]+Tabela2[[#This Row],[CALC_bebe_alcool_frequentemente]])</f>
        <v>2</v>
      </c>
      <c r="W1766" s="8">
        <f>(Tabela2[[#This Row],[Weight]]/(Tabela2[[#This Row],[Height]] ^2))</f>
        <v>37.095275822730258</v>
      </c>
    </row>
    <row r="1767" spans="1:23" x14ac:dyDescent="0.25">
      <c r="A1767" t="s">
        <v>15</v>
      </c>
      <c r="B1767" s="7">
        <v>30.575348999999999</v>
      </c>
      <c r="C1767" s="4">
        <v>1.8254490000000001</v>
      </c>
      <c r="D1767" s="7">
        <v>124.95278</v>
      </c>
      <c r="E1767">
        <v>1</v>
      </c>
      <c r="F1767">
        <v>1</v>
      </c>
      <c r="G1767" s="2">
        <v>2.01695</v>
      </c>
      <c r="H1767" s="2">
        <v>3</v>
      </c>
      <c r="I1767">
        <v>1</v>
      </c>
      <c r="J1767">
        <v>0</v>
      </c>
      <c r="K1767" s="2">
        <v>1.83412</v>
      </c>
      <c r="L1767">
        <v>0</v>
      </c>
      <c r="M1767" s="7">
        <v>0.79720899999999995</v>
      </c>
      <c r="N1767" s="7">
        <v>0.185499</v>
      </c>
      <c r="O1767">
        <v>1</v>
      </c>
      <c r="P1767" t="s">
        <v>14</v>
      </c>
      <c r="Q1767">
        <v>5</v>
      </c>
      <c r="R1767" s="8">
        <f>(Tabela2[[#This Row],[FAF_atividade_fisica_frequente_em_horas]]+ 0.1)</f>
        <v>0.89720899999999992</v>
      </c>
      <c r="S1767" s="1">
        <f>(Tabela2[[#This Row],[TUE_tempo_uso_aparelhos_em_horas]]/Tabela2[[#This Row],[FAF_Var]])</f>
        <v>0.20675115831428353</v>
      </c>
      <c r="T1767">
        <f>(Tabela2[[#This Row],[CAEC_lanche_entre_refeicoes]]*Tabela2[[#This Row],[FAVC_consumo_frequente_de_alimentos_mt_caloricos]])</f>
        <v>1</v>
      </c>
      <c r="U1767" s="1">
        <f>IF(OR(Tabela2[[#This Row],[MTRANS]]="Walking",Tabela2[[#This Row],[MTRANS]]="Bike"),Tabela2[[#This Row],[FAF_atividade_fisica_frequente_em_horas]]+1,M1767)</f>
        <v>0.79720899999999995</v>
      </c>
      <c r="V1767">
        <f>(Tabela2[[#This Row],[SMOKE]]+Tabela2[[#This Row],[CALC_bebe_alcool_frequentemente]])</f>
        <v>1</v>
      </c>
      <c r="W1767" s="8">
        <f>(Tabela2[[#This Row],[Weight]]/(Tabela2[[#This Row],[Height]] ^2))</f>
        <v>37.497862733886862</v>
      </c>
    </row>
    <row r="1768" spans="1:23" x14ac:dyDescent="0.25">
      <c r="A1768" t="s">
        <v>15</v>
      </c>
      <c r="B1768" s="7">
        <v>30.702559000000001</v>
      </c>
      <c r="C1768" s="4">
        <v>1.86198</v>
      </c>
      <c r="D1768" s="7">
        <v>126.418413</v>
      </c>
      <c r="E1768">
        <v>1</v>
      </c>
      <c r="F1768">
        <v>1</v>
      </c>
      <c r="G1768" s="2">
        <v>2.927187</v>
      </c>
      <c r="H1768" s="2">
        <v>3</v>
      </c>
      <c r="I1768">
        <v>1</v>
      </c>
      <c r="J1768">
        <v>0</v>
      </c>
      <c r="K1768" s="2">
        <v>1.508796</v>
      </c>
      <c r="L1768">
        <v>0</v>
      </c>
      <c r="M1768" s="7">
        <v>0.90277600000000002</v>
      </c>
      <c r="N1768" s="7">
        <v>1.0154669999999999</v>
      </c>
      <c r="O1768">
        <v>1</v>
      </c>
      <c r="P1768" t="s">
        <v>14</v>
      </c>
      <c r="Q1768">
        <v>5</v>
      </c>
      <c r="R1768" s="8">
        <f>(Tabela2[[#This Row],[FAF_atividade_fisica_frequente_em_horas]]+ 0.1)</f>
        <v>1.0027760000000001</v>
      </c>
      <c r="S1768" s="1">
        <f>(Tabela2[[#This Row],[TUE_tempo_uso_aparelhos_em_horas]]/Tabela2[[#This Row],[FAF_Var]])</f>
        <v>1.0126558673123407</v>
      </c>
      <c r="T1768">
        <f>(Tabela2[[#This Row],[CAEC_lanche_entre_refeicoes]]*Tabela2[[#This Row],[FAVC_consumo_frequente_de_alimentos_mt_caloricos]])</f>
        <v>1</v>
      </c>
      <c r="U1768" s="1">
        <f>IF(OR(Tabela2[[#This Row],[MTRANS]]="Walking",Tabela2[[#This Row],[MTRANS]]="Bike"),Tabela2[[#This Row],[FAF_atividade_fisica_frequente_em_horas]]+1,M1768)</f>
        <v>0.90277600000000002</v>
      </c>
      <c r="V1768">
        <f>(Tabela2[[#This Row],[SMOKE]]+Tabela2[[#This Row],[CALC_bebe_alcool_frequentemente]])</f>
        <v>1</v>
      </c>
      <c r="W1768" s="8">
        <f>(Tabela2[[#This Row],[Weight]]/(Tabela2[[#This Row],[Height]] ^2))</f>
        <v>36.46366437782082</v>
      </c>
    </row>
    <row r="1769" spans="1:23" x14ac:dyDescent="0.25">
      <c r="A1769" t="s">
        <v>15</v>
      </c>
      <c r="B1769" s="7">
        <v>25.057877999999999</v>
      </c>
      <c r="C1769" s="4">
        <v>1.763987</v>
      </c>
      <c r="D1769" s="7">
        <v>113.069667</v>
      </c>
      <c r="E1769">
        <v>1</v>
      </c>
      <c r="F1769">
        <v>1</v>
      </c>
      <c r="G1769" s="2">
        <v>1.412566</v>
      </c>
      <c r="H1769" s="2">
        <v>3</v>
      </c>
      <c r="I1769">
        <v>1</v>
      </c>
      <c r="J1769">
        <v>0</v>
      </c>
      <c r="K1769" s="2">
        <v>2.0024950000000001</v>
      </c>
      <c r="L1769">
        <v>0</v>
      </c>
      <c r="M1769" s="7">
        <v>1.592795</v>
      </c>
      <c r="N1769" s="7">
        <v>1.867E-3</v>
      </c>
      <c r="O1769">
        <v>1</v>
      </c>
      <c r="P1769" t="s">
        <v>14</v>
      </c>
      <c r="Q1769">
        <v>5</v>
      </c>
      <c r="R1769" s="8">
        <f>(Tabela2[[#This Row],[FAF_atividade_fisica_frequente_em_horas]]+ 0.1)</f>
        <v>1.692795</v>
      </c>
      <c r="S1769" s="1">
        <f>(Tabela2[[#This Row],[TUE_tempo_uso_aparelhos_em_horas]]/Tabela2[[#This Row],[FAF_Var]])</f>
        <v>1.1029096848702885E-3</v>
      </c>
      <c r="T1769">
        <f>(Tabela2[[#This Row],[CAEC_lanche_entre_refeicoes]]*Tabela2[[#This Row],[FAVC_consumo_frequente_de_alimentos_mt_caloricos]])</f>
        <v>1</v>
      </c>
      <c r="U1769" s="1">
        <f>IF(OR(Tabela2[[#This Row],[MTRANS]]="Walking",Tabela2[[#This Row],[MTRANS]]="Bike"),Tabela2[[#This Row],[FAF_atividade_fisica_frequente_em_horas]]+1,M1769)</f>
        <v>1.592795</v>
      </c>
      <c r="V1769">
        <f>(Tabela2[[#This Row],[SMOKE]]+Tabela2[[#This Row],[CALC_bebe_alcool_frequentemente]])</f>
        <v>1</v>
      </c>
      <c r="W1769" s="8">
        <f>(Tabela2[[#This Row],[Weight]]/(Tabela2[[#This Row],[Height]] ^2))</f>
        <v>36.337525766701091</v>
      </c>
    </row>
    <row r="1770" spans="1:23" x14ac:dyDescent="0.25">
      <c r="A1770" t="s">
        <v>15</v>
      </c>
      <c r="B1770" s="7">
        <v>25.151285999999999</v>
      </c>
      <c r="C1770" s="4">
        <v>1.7615190000000001</v>
      </c>
      <c r="D1770" s="7">
        <v>112.835195</v>
      </c>
      <c r="E1770">
        <v>1</v>
      </c>
      <c r="F1770">
        <v>1</v>
      </c>
      <c r="G1770" s="2">
        <v>1.289315</v>
      </c>
      <c r="H1770" s="2">
        <v>3</v>
      </c>
      <c r="I1770">
        <v>1</v>
      </c>
      <c r="J1770">
        <v>0</v>
      </c>
      <c r="K1770" s="2">
        <v>2.0073479999999999</v>
      </c>
      <c r="L1770">
        <v>0</v>
      </c>
      <c r="M1770" s="7">
        <v>1.376217</v>
      </c>
      <c r="N1770" s="7">
        <v>1.518E-3</v>
      </c>
      <c r="O1770">
        <v>1</v>
      </c>
      <c r="P1770" t="s">
        <v>14</v>
      </c>
      <c r="Q1770">
        <v>5</v>
      </c>
      <c r="R1770" s="8">
        <f>(Tabela2[[#This Row],[FAF_atividade_fisica_frequente_em_horas]]+ 0.1)</f>
        <v>1.4762170000000001</v>
      </c>
      <c r="S1770" s="1">
        <f>(Tabela2[[#This Row],[TUE_tempo_uso_aparelhos_em_horas]]/Tabela2[[#This Row],[FAF_Var]])</f>
        <v>1.0283041043423831E-3</v>
      </c>
      <c r="T1770">
        <f>(Tabela2[[#This Row],[CAEC_lanche_entre_refeicoes]]*Tabela2[[#This Row],[FAVC_consumo_frequente_de_alimentos_mt_caloricos]])</f>
        <v>1</v>
      </c>
      <c r="U1770" s="1">
        <f>IF(OR(Tabela2[[#This Row],[MTRANS]]="Walking",Tabela2[[#This Row],[MTRANS]]="Bike"),Tabela2[[#This Row],[FAF_atividade_fisica_frequente_em_horas]]+1,M1770)</f>
        <v>1.376217</v>
      </c>
      <c r="V1770">
        <f>(Tabela2[[#This Row],[SMOKE]]+Tabela2[[#This Row],[CALC_bebe_alcool_frequentemente]])</f>
        <v>1</v>
      </c>
      <c r="W1770" s="8">
        <f>(Tabela2[[#This Row],[Weight]]/(Tabela2[[#This Row],[Height]] ^2))</f>
        <v>36.363855218642563</v>
      </c>
    </row>
    <row r="1771" spans="1:23" x14ac:dyDescent="0.25">
      <c r="A1771" t="s">
        <v>15</v>
      </c>
      <c r="B1771" s="7">
        <v>25.137087000000001</v>
      </c>
      <c r="C1771" s="4">
        <v>1.7720450000000001</v>
      </c>
      <c r="D1771" s="7">
        <v>114.067936</v>
      </c>
      <c r="E1771">
        <v>1</v>
      </c>
      <c r="F1771">
        <v>1</v>
      </c>
      <c r="G1771" s="2">
        <v>1.624366</v>
      </c>
      <c r="H1771" s="2">
        <v>3</v>
      </c>
      <c r="I1771">
        <v>1</v>
      </c>
      <c r="J1771">
        <v>0</v>
      </c>
      <c r="K1771" s="2">
        <v>2.0817190000000001</v>
      </c>
      <c r="L1771">
        <v>0</v>
      </c>
      <c r="M1771" s="7">
        <v>1.5389219999999999</v>
      </c>
      <c r="N1771" s="7">
        <v>0.35686800000000002</v>
      </c>
      <c r="O1771">
        <v>1</v>
      </c>
      <c r="P1771" t="s">
        <v>14</v>
      </c>
      <c r="Q1771">
        <v>5</v>
      </c>
      <c r="R1771" s="8">
        <f>(Tabela2[[#This Row],[FAF_atividade_fisica_frequente_em_horas]]+ 0.1)</f>
        <v>1.638922</v>
      </c>
      <c r="S1771" s="1">
        <f>(Tabela2[[#This Row],[TUE_tempo_uso_aparelhos_em_horas]]/Tabela2[[#This Row],[FAF_Var]])</f>
        <v>0.21774556690312291</v>
      </c>
      <c r="T1771">
        <f>(Tabela2[[#This Row],[CAEC_lanche_entre_refeicoes]]*Tabela2[[#This Row],[FAVC_consumo_frequente_de_alimentos_mt_caloricos]])</f>
        <v>1</v>
      </c>
      <c r="U1771" s="1">
        <f>IF(OR(Tabela2[[#This Row],[MTRANS]]="Walking",Tabela2[[#This Row],[MTRANS]]="Bike"),Tabela2[[#This Row],[FAF_atividade_fisica_frequente_em_horas]]+1,M1771)</f>
        <v>1.5389219999999999</v>
      </c>
      <c r="V1771">
        <f>(Tabela2[[#This Row],[SMOKE]]+Tabela2[[#This Row],[CALC_bebe_alcool_frequentemente]])</f>
        <v>1</v>
      </c>
      <c r="W1771" s="8">
        <f>(Tabela2[[#This Row],[Weight]]/(Tabela2[[#This Row],[Height]] ^2))</f>
        <v>36.325708252809015</v>
      </c>
    </row>
    <row r="1772" spans="1:23" x14ac:dyDescent="0.25">
      <c r="A1772" t="s">
        <v>15</v>
      </c>
      <c r="B1772" s="7">
        <v>25.3292</v>
      </c>
      <c r="C1772" s="4">
        <v>1.771817</v>
      </c>
      <c r="D1772" s="7">
        <v>114.00483199999999</v>
      </c>
      <c r="E1772">
        <v>1</v>
      </c>
      <c r="F1772">
        <v>1</v>
      </c>
      <c r="G1772" s="2">
        <v>1.5283310000000001</v>
      </c>
      <c r="H1772" s="2">
        <v>3</v>
      </c>
      <c r="I1772">
        <v>1</v>
      </c>
      <c r="J1772">
        <v>0</v>
      </c>
      <c r="K1772" s="2">
        <v>2.0793529999999998</v>
      </c>
      <c r="L1772">
        <v>0</v>
      </c>
      <c r="M1772" s="7">
        <v>1.522429</v>
      </c>
      <c r="N1772" s="7">
        <v>0.228598</v>
      </c>
      <c r="O1772">
        <v>1</v>
      </c>
      <c r="P1772" t="s">
        <v>14</v>
      </c>
      <c r="Q1772">
        <v>5</v>
      </c>
      <c r="R1772" s="8">
        <f>(Tabela2[[#This Row],[FAF_atividade_fisica_frequente_em_horas]]+ 0.1)</f>
        <v>1.6224290000000001</v>
      </c>
      <c r="S1772" s="1">
        <f>(Tabela2[[#This Row],[TUE_tempo_uso_aparelhos_em_horas]]/Tabela2[[#This Row],[FAF_Var]])</f>
        <v>0.14089861559427252</v>
      </c>
      <c r="T1772">
        <f>(Tabela2[[#This Row],[CAEC_lanche_entre_refeicoes]]*Tabela2[[#This Row],[FAVC_consumo_frequente_de_alimentos_mt_caloricos]])</f>
        <v>1</v>
      </c>
      <c r="U1772" s="1">
        <f>IF(OR(Tabela2[[#This Row],[MTRANS]]="Walking",Tabela2[[#This Row],[MTRANS]]="Bike"),Tabela2[[#This Row],[FAF_atividade_fisica_frequente_em_horas]]+1,M1772)</f>
        <v>1.522429</v>
      </c>
      <c r="V1772">
        <f>(Tabela2[[#This Row],[SMOKE]]+Tabela2[[#This Row],[CALC_bebe_alcool_frequentemente]])</f>
        <v>1</v>
      </c>
      <c r="W1772" s="8">
        <f>(Tabela2[[#This Row],[Weight]]/(Tabela2[[#This Row],[Height]] ^2))</f>
        <v>36.314956675457644</v>
      </c>
    </row>
    <row r="1773" spans="1:23" x14ac:dyDescent="0.25">
      <c r="A1773" t="s">
        <v>15</v>
      </c>
      <c r="B1773" s="7">
        <v>25.666679999999999</v>
      </c>
      <c r="C1773" s="4">
        <v>1.7985800000000001</v>
      </c>
      <c r="D1773" s="7">
        <v>117.93329</v>
      </c>
      <c r="E1773">
        <v>1</v>
      </c>
      <c r="F1773">
        <v>1</v>
      </c>
      <c r="G1773" s="2">
        <v>2.037042</v>
      </c>
      <c r="H1773" s="2">
        <v>3</v>
      </c>
      <c r="I1773">
        <v>1</v>
      </c>
      <c r="J1773">
        <v>0</v>
      </c>
      <c r="K1773" s="2">
        <v>2.4369900000000002</v>
      </c>
      <c r="L1773">
        <v>0</v>
      </c>
      <c r="M1773" s="7">
        <v>1.016254</v>
      </c>
      <c r="N1773" s="7">
        <v>2.0043999999999999E-2</v>
      </c>
      <c r="O1773">
        <v>1</v>
      </c>
      <c r="P1773" t="s">
        <v>14</v>
      </c>
      <c r="Q1773">
        <v>5</v>
      </c>
      <c r="R1773" s="8">
        <f>(Tabela2[[#This Row],[FAF_atividade_fisica_frequente_em_horas]]+ 0.1)</f>
        <v>1.1162540000000001</v>
      </c>
      <c r="S1773" s="1">
        <f>(Tabela2[[#This Row],[TUE_tempo_uso_aparelhos_em_horas]]/Tabela2[[#This Row],[FAF_Var]])</f>
        <v>1.7956486606095026E-2</v>
      </c>
      <c r="T1773">
        <f>(Tabela2[[#This Row],[CAEC_lanche_entre_refeicoes]]*Tabela2[[#This Row],[FAVC_consumo_frequente_de_alimentos_mt_caloricos]])</f>
        <v>1</v>
      </c>
      <c r="U1773" s="1">
        <f>IF(OR(Tabela2[[#This Row],[MTRANS]]="Walking",Tabela2[[#This Row],[MTRANS]]="Bike"),Tabela2[[#This Row],[FAF_atividade_fisica_frequente_em_horas]]+1,M1773)</f>
        <v>1.016254</v>
      </c>
      <c r="V1773">
        <f>(Tabela2[[#This Row],[SMOKE]]+Tabela2[[#This Row],[CALC_bebe_alcool_frequentemente]])</f>
        <v>1</v>
      </c>
      <c r="W1773" s="8">
        <f>(Tabela2[[#This Row],[Weight]]/(Tabela2[[#This Row],[Height]] ^2))</f>
        <v>36.456661401812966</v>
      </c>
    </row>
    <row r="1774" spans="1:23" x14ac:dyDescent="0.25">
      <c r="A1774" t="s">
        <v>15</v>
      </c>
      <c r="B1774" s="7">
        <v>25.01277</v>
      </c>
      <c r="C1774" s="4">
        <v>1.788586</v>
      </c>
      <c r="D1774" s="7">
        <v>117.849351</v>
      </c>
      <c r="E1774">
        <v>1</v>
      </c>
      <c r="F1774">
        <v>1</v>
      </c>
      <c r="G1774" s="2">
        <v>2.1911079999999998</v>
      </c>
      <c r="H1774" s="2">
        <v>2.9938560000000001</v>
      </c>
      <c r="I1774">
        <v>1</v>
      </c>
      <c r="J1774">
        <v>0</v>
      </c>
      <c r="K1774" s="2">
        <v>2.4449169999999998</v>
      </c>
      <c r="L1774">
        <v>0</v>
      </c>
      <c r="M1774" s="7">
        <v>1.0558540000000001</v>
      </c>
      <c r="N1774" s="7">
        <v>0.145284</v>
      </c>
      <c r="O1774">
        <v>1</v>
      </c>
      <c r="P1774" t="s">
        <v>14</v>
      </c>
      <c r="Q1774">
        <v>5</v>
      </c>
      <c r="R1774" s="8">
        <f>(Tabela2[[#This Row],[FAF_atividade_fisica_frequente_em_horas]]+ 0.1)</f>
        <v>1.1558540000000002</v>
      </c>
      <c r="S1774" s="1">
        <f>(Tabela2[[#This Row],[TUE_tempo_uso_aparelhos_em_horas]]/Tabela2[[#This Row],[FAF_Var]])</f>
        <v>0.12569407554933407</v>
      </c>
      <c r="T1774">
        <f>(Tabela2[[#This Row],[CAEC_lanche_entre_refeicoes]]*Tabela2[[#This Row],[FAVC_consumo_frequente_de_alimentos_mt_caloricos]])</f>
        <v>1</v>
      </c>
      <c r="U1774" s="1">
        <f>IF(OR(Tabela2[[#This Row],[MTRANS]]="Walking",Tabela2[[#This Row],[MTRANS]]="Bike"),Tabela2[[#This Row],[FAF_atividade_fisica_frequente_em_horas]]+1,M1774)</f>
        <v>1.0558540000000001</v>
      </c>
      <c r="V1774">
        <f>(Tabela2[[#This Row],[SMOKE]]+Tabela2[[#This Row],[CALC_bebe_alcool_frequentemente]])</f>
        <v>1</v>
      </c>
      <c r="W1774" s="8">
        <f>(Tabela2[[#This Row],[Weight]]/(Tabela2[[#This Row],[Height]] ^2))</f>
        <v>36.838975268495474</v>
      </c>
    </row>
    <row r="1775" spans="1:23" x14ac:dyDescent="0.25">
      <c r="A1775" t="s">
        <v>15</v>
      </c>
      <c r="B1775" s="7">
        <v>25.047944999999999</v>
      </c>
      <c r="C1775" s="4">
        <v>1.803207</v>
      </c>
      <c r="D1775" s="7">
        <v>118.332966</v>
      </c>
      <c r="E1775">
        <v>1</v>
      </c>
      <c r="F1775">
        <v>1</v>
      </c>
      <c r="G1775" s="2">
        <v>1.431346</v>
      </c>
      <c r="H1775" s="2">
        <v>3</v>
      </c>
      <c r="I1775">
        <v>1</v>
      </c>
      <c r="J1775">
        <v>0</v>
      </c>
      <c r="K1775" s="2">
        <v>2.0989589999999998</v>
      </c>
      <c r="L1775">
        <v>0</v>
      </c>
      <c r="M1775" s="7">
        <v>1.110868</v>
      </c>
      <c r="N1775" s="7">
        <v>0.19695199999999999</v>
      </c>
      <c r="O1775">
        <v>1</v>
      </c>
      <c r="P1775" t="s">
        <v>14</v>
      </c>
      <c r="Q1775">
        <v>5</v>
      </c>
      <c r="R1775" s="8">
        <f>(Tabela2[[#This Row],[FAF_atividade_fisica_frequente_em_horas]]+ 0.1)</f>
        <v>1.2108680000000001</v>
      </c>
      <c r="S1775" s="1">
        <f>(Tabela2[[#This Row],[TUE_tempo_uso_aparelhos_em_horas]]/Tabela2[[#This Row],[FAF_Var]])</f>
        <v>0.16265356752346249</v>
      </c>
      <c r="T1775">
        <f>(Tabela2[[#This Row],[CAEC_lanche_entre_refeicoes]]*Tabela2[[#This Row],[FAVC_consumo_frequente_de_alimentos_mt_caloricos]])</f>
        <v>1</v>
      </c>
      <c r="U1775" s="1">
        <f>IF(OR(Tabela2[[#This Row],[MTRANS]]="Walking",Tabela2[[#This Row],[MTRANS]]="Bike"),Tabela2[[#This Row],[FAF_atividade_fisica_frequente_em_horas]]+1,M1775)</f>
        <v>1.110868</v>
      </c>
      <c r="V1775">
        <f>(Tabela2[[#This Row],[SMOKE]]+Tabela2[[#This Row],[CALC_bebe_alcool_frequentemente]])</f>
        <v>1</v>
      </c>
      <c r="W1775" s="8">
        <f>(Tabela2[[#This Row],[Weight]]/(Tabela2[[#This Row],[Height]] ^2))</f>
        <v>36.392725435990926</v>
      </c>
    </row>
    <row r="1776" spans="1:23" x14ac:dyDescent="0.25">
      <c r="A1776" t="s">
        <v>15</v>
      </c>
      <c r="B1776" s="7">
        <v>25.426456999999999</v>
      </c>
      <c r="C1776" s="4">
        <v>1.836592</v>
      </c>
      <c r="D1776" s="7">
        <v>118.377601</v>
      </c>
      <c r="E1776">
        <v>1</v>
      </c>
      <c r="F1776">
        <v>1</v>
      </c>
      <c r="G1776" s="2">
        <v>1.84199</v>
      </c>
      <c r="H1776" s="2">
        <v>3</v>
      </c>
      <c r="I1776">
        <v>1</v>
      </c>
      <c r="J1776">
        <v>0</v>
      </c>
      <c r="K1776" s="2">
        <v>2.503244</v>
      </c>
      <c r="L1776">
        <v>0</v>
      </c>
      <c r="M1776" s="7">
        <v>1.226019</v>
      </c>
      <c r="N1776" s="7">
        <v>7.8206999999999999E-2</v>
      </c>
      <c r="O1776">
        <v>1</v>
      </c>
      <c r="P1776" t="s">
        <v>14</v>
      </c>
      <c r="Q1776">
        <v>5</v>
      </c>
      <c r="R1776" s="8">
        <f>(Tabela2[[#This Row],[FAF_atividade_fisica_frequente_em_horas]]+ 0.1)</f>
        <v>1.3260190000000001</v>
      </c>
      <c r="S1776" s="1">
        <f>(Tabela2[[#This Row],[TUE_tempo_uso_aparelhos_em_horas]]/Tabela2[[#This Row],[FAF_Var]])</f>
        <v>5.8978792913223714E-2</v>
      </c>
      <c r="T1776">
        <f>(Tabela2[[#This Row],[CAEC_lanche_entre_refeicoes]]*Tabela2[[#This Row],[FAVC_consumo_frequente_de_alimentos_mt_caloricos]])</f>
        <v>1</v>
      </c>
      <c r="U1776" s="1">
        <f>IF(OR(Tabela2[[#This Row],[MTRANS]]="Walking",Tabela2[[#This Row],[MTRANS]]="Bike"),Tabela2[[#This Row],[FAF_atividade_fisica_frequente_em_horas]]+1,M1776)</f>
        <v>1.226019</v>
      </c>
      <c r="V1776">
        <f>(Tabela2[[#This Row],[SMOKE]]+Tabela2[[#This Row],[CALC_bebe_alcool_frequentemente]])</f>
        <v>1</v>
      </c>
      <c r="W1776" s="8">
        <f>(Tabela2[[#This Row],[Weight]]/(Tabela2[[#This Row],[Height]] ^2))</f>
        <v>35.094912017005655</v>
      </c>
    </row>
    <row r="1777" spans="1:23" x14ac:dyDescent="0.25">
      <c r="A1777" t="s">
        <v>15</v>
      </c>
      <c r="B1777" s="7">
        <v>37.207082</v>
      </c>
      <c r="C1777" s="4">
        <v>1.762921</v>
      </c>
      <c r="D1777" s="7">
        <v>118.40174</v>
      </c>
      <c r="E1777">
        <v>1</v>
      </c>
      <c r="F1777">
        <v>1</v>
      </c>
      <c r="G1777" s="2">
        <v>2.1368299999999998</v>
      </c>
      <c r="H1777" s="2">
        <v>2.9930840000000001</v>
      </c>
      <c r="I1777">
        <v>1</v>
      </c>
      <c r="J1777">
        <v>0</v>
      </c>
      <c r="K1777" s="2">
        <v>1.885926</v>
      </c>
      <c r="L1777">
        <v>0</v>
      </c>
      <c r="M1777" s="7">
        <v>0.61529800000000001</v>
      </c>
      <c r="N1777" s="7">
        <v>0</v>
      </c>
      <c r="O1777">
        <v>1</v>
      </c>
      <c r="P1777" t="s">
        <v>17</v>
      </c>
      <c r="Q1777">
        <v>5</v>
      </c>
      <c r="R1777" s="8">
        <f>(Tabela2[[#This Row],[FAF_atividade_fisica_frequente_em_horas]]+ 0.1)</f>
        <v>0.71529799999999999</v>
      </c>
      <c r="S1777" s="1">
        <f>(Tabela2[[#This Row],[TUE_tempo_uso_aparelhos_em_horas]]/Tabela2[[#This Row],[FAF_Var]])</f>
        <v>0</v>
      </c>
      <c r="T1777">
        <f>(Tabela2[[#This Row],[CAEC_lanche_entre_refeicoes]]*Tabela2[[#This Row],[FAVC_consumo_frequente_de_alimentos_mt_caloricos]])</f>
        <v>1</v>
      </c>
      <c r="U1777" s="1">
        <f>IF(OR(Tabela2[[#This Row],[MTRANS]]="Walking",Tabela2[[#This Row],[MTRANS]]="Bike"),Tabela2[[#This Row],[FAF_atividade_fisica_frequente_em_horas]]+1,M1777)</f>
        <v>0.61529800000000001</v>
      </c>
      <c r="V1777">
        <f>(Tabela2[[#This Row],[SMOKE]]+Tabela2[[#This Row],[CALC_bebe_alcool_frequentemente]])</f>
        <v>1</v>
      </c>
      <c r="W1777" s="8">
        <f>(Tabela2[[#This Row],[Weight]]/(Tabela2[[#This Row],[Height]] ^2))</f>
        <v>38.097140751735409</v>
      </c>
    </row>
    <row r="1778" spans="1:23" x14ac:dyDescent="0.25">
      <c r="A1778" t="s">
        <v>15</v>
      </c>
      <c r="B1778" s="7">
        <v>38.108939999999997</v>
      </c>
      <c r="C1778" s="4">
        <v>1.7528630000000001</v>
      </c>
      <c r="D1778" s="7">
        <v>119.201465</v>
      </c>
      <c r="E1778">
        <v>1</v>
      </c>
      <c r="F1778">
        <v>1</v>
      </c>
      <c r="G1778" s="2">
        <v>2.4993880000000002</v>
      </c>
      <c r="H1778" s="2">
        <v>2.9897909999999999</v>
      </c>
      <c r="I1778">
        <v>1</v>
      </c>
      <c r="J1778">
        <v>0</v>
      </c>
      <c r="K1778" s="2">
        <v>1.9597770000000001</v>
      </c>
      <c r="L1778">
        <v>0</v>
      </c>
      <c r="M1778" s="7">
        <v>0.60809999999999997</v>
      </c>
      <c r="N1778" s="7">
        <v>0.64676</v>
      </c>
      <c r="O1778">
        <v>1</v>
      </c>
      <c r="P1778" t="s">
        <v>17</v>
      </c>
      <c r="Q1778">
        <v>5</v>
      </c>
      <c r="R1778" s="8">
        <f>(Tabela2[[#This Row],[FAF_atividade_fisica_frequente_em_horas]]+ 0.1)</f>
        <v>0.70809999999999995</v>
      </c>
      <c r="S1778" s="1">
        <f>(Tabela2[[#This Row],[TUE_tempo_uso_aparelhos_em_horas]]/Tabela2[[#This Row],[FAF_Var]])</f>
        <v>0.91337381725744959</v>
      </c>
      <c r="T1778">
        <f>(Tabela2[[#This Row],[CAEC_lanche_entre_refeicoes]]*Tabela2[[#This Row],[FAVC_consumo_frequente_de_alimentos_mt_caloricos]])</f>
        <v>1</v>
      </c>
      <c r="U1778" s="1">
        <f>IF(OR(Tabela2[[#This Row],[MTRANS]]="Walking",Tabela2[[#This Row],[MTRANS]]="Bike"),Tabela2[[#This Row],[FAF_atividade_fisica_frequente_em_horas]]+1,M1778)</f>
        <v>0.60809999999999997</v>
      </c>
      <c r="V1778">
        <f>(Tabela2[[#This Row],[SMOKE]]+Tabela2[[#This Row],[CALC_bebe_alcool_frequentemente]])</f>
        <v>1</v>
      </c>
      <c r="W1778" s="8">
        <f>(Tabela2[[#This Row],[Weight]]/(Tabela2[[#This Row],[Height]] ^2))</f>
        <v>38.795883379494384</v>
      </c>
    </row>
    <row r="1779" spans="1:23" x14ac:dyDescent="0.25">
      <c r="A1779" t="s">
        <v>15</v>
      </c>
      <c r="B1779" s="7">
        <v>38.644441</v>
      </c>
      <c r="C1779" s="4">
        <v>1.768235</v>
      </c>
      <c r="D1779" s="7">
        <v>117.79226800000001</v>
      </c>
      <c r="E1779">
        <v>1</v>
      </c>
      <c r="F1779">
        <v>1</v>
      </c>
      <c r="G1779" s="2">
        <v>2.2307419999999998</v>
      </c>
      <c r="H1779" s="2">
        <v>2.9203730000000001</v>
      </c>
      <c r="I1779">
        <v>1</v>
      </c>
      <c r="J1779">
        <v>0</v>
      </c>
      <c r="K1779" s="2">
        <v>1.8311869999999999</v>
      </c>
      <c r="L1779">
        <v>0</v>
      </c>
      <c r="M1779" s="7">
        <v>0.75627699999999998</v>
      </c>
      <c r="N1779" s="7">
        <v>0</v>
      </c>
      <c r="O1779">
        <v>1</v>
      </c>
      <c r="P1779" t="s">
        <v>17</v>
      </c>
      <c r="Q1779">
        <v>5</v>
      </c>
      <c r="R1779" s="8">
        <f>(Tabela2[[#This Row],[FAF_atividade_fisica_frequente_em_horas]]+ 0.1)</f>
        <v>0.85627699999999995</v>
      </c>
      <c r="S1779" s="1">
        <f>(Tabela2[[#This Row],[TUE_tempo_uso_aparelhos_em_horas]]/Tabela2[[#This Row],[FAF_Var]])</f>
        <v>0</v>
      </c>
      <c r="T1779">
        <f>(Tabela2[[#This Row],[CAEC_lanche_entre_refeicoes]]*Tabela2[[#This Row],[FAVC_consumo_frequente_de_alimentos_mt_caloricos]])</f>
        <v>1</v>
      </c>
      <c r="U1779" s="1">
        <f>IF(OR(Tabela2[[#This Row],[MTRANS]]="Walking",Tabela2[[#This Row],[MTRANS]]="Bike"),Tabela2[[#This Row],[FAF_atividade_fisica_frequente_em_horas]]+1,M1779)</f>
        <v>0.75627699999999998</v>
      </c>
      <c r="V1779">
        <f>(Tabela2[[#This Row],[SMOKE]]+Tabela2[[#This Row],[CALC_bebe_alcool_frequentemente]])</f>
        <v>1</v>
      </c>
      <c r="W1779" s="8">
        <f>(Tabela2[[#This Row],[Weight]]/(Tabela2[[#This Row],[Height]] ^2))</f>
        <v>37.673573651848336</v>
      </c>
    </row>
    <row r="1780" spans="1:23" x14ac:dyDescent="0.25">
      <c r="A1780" t="s">
        <v>15</v>
      </c>
      <c r="B1780" s="7">
        <v>38.112988999999999</v>
      </c>
      <c r="C1780" s="4">
        <v>1.766888</v>
      </c>
      <c r="D1780" s="7">
        <v>118.13489800000001</v>
      </c>
      <c r="E1780">
        <v>1</v>
      </c>
      <c r="F1780">
        <v>1</v>
      </c>
      <c r="G1780" s="2">
        <v>2.2407569999999999</v>
      </c>
      <c r="H1780" s="2">
        <v>2.9115679999999999</v>
      </c>
      <c r="I1780">
        <v>1</v>
      </c>
      <c r="J1780">
        <v>0</v>
      </c>
      <c r="K1780" s="2">
        <v>1.8958759999999999</v>
      </c>
      <c r="L1780">
        <v>0</v>
      </c>
      <c r="M1780" s="7">
        <v>0.82218599999999997</v>
      </c>
      <c r="N1780" s="7">
        <v>0</v>
      </c>
      <c r="O1780">
        <v>1</v>
      </c>
      <c r="P1780" t="s">
        <v>17</v>
      </c>
      <c r="Q1780">
        <v>5</v>
      </c>
      <c r="R1780" s="8">
        <f>(Tabela2[[#This Row],[FAF_atividade_fisica_frequente_em_horas]]+ 0.1)</f>
        <v>0.92218599999999995</v>
      </c>
      <c r="S1780" s="1">
        <f>(Tabela2[[#This Row],[TUE_tempo_uso_aparelhos_em_horas]]/Tabela2[[#This Row],[FAF_Var]])</f>
        <v>0</v>
      </c>
      <c r="T1780">
        <f>(Tabela2[[#This Row],[CAEC_lanche_entre_refeicoes]]*Tabela2[[#This Row],[FAVC_consumo_frequente_de_alimentos_mt_caloricos]])</f>
        <v>1</v>
      </c>
      <c r="U1780" s="1">
        <f>IF(OR(Tabela2[[#This Row],[MTRANS]]="Walking",Tabela2[[#This Row],[MTRANS]]="Bike"),Tabela2[[#This Row],[FAF_atividade_fisica_frequente_em_horas]]+1,M1780)</f>
        <v>0.82218599999999997</v>
      </c>
      <c r="V1780">
        <f>(Tabela2[[#This Row],[SMOKE]]+Tabela2[[#This Row],[CALC_bebe_alcool_frequentemente]])</f>
        <v>1</v>
      </c>
      <c r="W1780" s="8">
        <f>(Tabela2[[#This Row],[Weight]]/(Tabela2[[#This Row],[Height]] ^2))</f>
        <v>37.840787707936798</v>
      </c>
    </row>
    <row r="1781" spans="1:23" x14ac:dyDescent="0.25">
      <c r="A1781" t="s">
        <v>15</v>
      </c>
      <c r="B1781" s="7">
        <v>24.825392999999998</v>
      </c>
      <c r="C1781" s="4">
        <v>1.6035010000000001</v>
      </c>
      <c r="D1781" s="7">
        <v>101.038263</v>
      </c>
      <c r="E1781">
        <v>1</v>
      </c>
      <c r="F1781">
        <v>1</v>
      </c>
      <c r="G1781" s="2">
        <v>2.9961859999999998</v>
      </c>
      <c r="H1781" s="2">
        <v>1.134042</v>
      </c>
      <c r="I1781">
        <v>1</v>
      </c>
      <c r="J1781">
        <v>0</v>
      </c>
      <c r="K1781" s="2">
        <v>1.2701659999999999</v>
      </c>
      <c r="L1781">
        <v>0</v>
      </c>
      <c r="M1781" s="7">
        <v>7.3065000000000005E-2</v>
      </c>
      <c r="N1781" s="7">
        <v>1.5519339999999999</v>
      </c>
      <c r="O1781">
        <v>0</v>
      </c>
      <c r="P1781" t="s">
        <v>14</v>
      </c>
      <c r="Q1781">
        <v>5</v>
      </c>
      <c r="R1781" s="8">
        <f>(Tabela2[[#This Row],[FAF_atividade_fisica_frequente_em_horas]]+ 0.1)</f>
        <v>0.17306500000000002</v>
      </c>
      <c r="S1781" s="1">
        <f>(Tabela2[[#This Row],[TUE_tempo_uso_aparelhos_em_horas]]/Tabela2[[#This Row],[FAF_Var]])</f>
        <v>8.9673475283852877</v>
      </c>
      <c r="T1781">
        <f>(Tabela2[[#This Row],[CAEC_lanche_entre_refeicoes]]*Tabela2[[#This Row],[FAVC_consumo_frequente_de_alimentos_mt_caloricos]])</f>
        <v>1</v>
      </c>
      <c r="U1781" s="1">
        <f>IF(OR(Tabela2[[#This Row],[MTRANS]]="Walking",Tabela2[[#This Row],[MTRANS]]="Bike"),Tabela2[[#This Row],[FAF_atividade_fisica_frequente_em_horas]]+1,M1781)</f>
        <v>7.3065000000000005E-2</v>
      </c>
      <c r="V1781">
        <f>(Tabela2[[#This Row],[SMOKE]]+Tabela2[[#This Row],[CALC_bebe_alcool_frequentemente]])</f>
        <v>0</v>
      </c>
      <c r="W1781" s="8">
        <f>(Tabela2[[#This Row],[Weight]]/(Tabela2[[#This Row],[Height]] ^2))</f>
        <v>39.295914593578416</v>
      </c>
    </row>
    <row r="1782" spans="1:23" x14ac:dyDescent="0.25">
      <c r="A1782" t="s">
        <v>15</v>
      </c>
      <c r="B1782" s="7">
        <v>26.624341999999999</v>
      </c>
      <c r="C1782" s="4">
        <v>1.6902619999999999</v>
      </c>
      <c r="D1782" s="7">
        <v>103.18091800000001</v>
      </c>
      <c r="E1782">
        <v>1</v>
      </c>
      <c r="F1782">
        <v>1</v>
      </c>
      <c r="G1782" s="2">
        <v>2.6494059999999999</v>
      </c>
      <c r="H1782" s="2">
        <v>1.1201019999999999</v>
      </c>
      <c r="I1782">
        <v>1</v>
      </c>
      <c r="J1782">
        <v>0</v>
      </c>
      <c r="K1782" s="2">
        <v>1.153286</v>
      </c>
      <c r="L1782">
        <v>0</v>
      </c>
      <c r="M1782" s="7">
        <v>0.21690799999999999</v>
      </c>
      <c r="N1782" s="7">
        <v>0.61901200000000001</v>
      </c>
      <c r="O1782">
        <v>0</v>
      </c>
      <c r="P1782" t="s">
        <v>14</v>
      </c>
      <c r="Q1782">
        <v>5</v>
      </c>
      <c r="R1782" s="8">
        <f>(Tabela2[[#This Row],[FAF_atividade_fisica_frequente_em_horas]]+ 0.1)</f>
        <v>0.31690799999999997</v>
      </c>
      <c r="S1782" s="1">
        <f>(Tabela2[[#This Row],[TUE_tempo_uso_aparelhos_em_horas]]/Tabela2[[#This Row],[FAF_Var]])</f>
        <v>1.95328612720411</v>
      </c>
      <c r="T1782">
        <f>(Tabela2[[#This Row],[CAEC_lanche_entre_refeicoes]]*Tabela2[[#This Row],[FAVC_consumo_frequente_de_alimentos_mt_caloricos]])</f>
        <v>1</v>
      </c>
      <c r="U1782" s="1">
        <f>IF(OR(Tabela2[[#This Row],[MTRANS]]="Walking",Tabela2[[#This Row],[MTRANS]]="Bike"),Tabela2[[#This Row],[FAF_atividade_fisica_frequente_em_horas]]+1,M1782)</f>
        <v>0.21690799999999999</v>
      </c>
      <c r="V1782">
        <f>(Tabela2[[#This Row],[SMOKE]]+Tabela2[[#This Row],[CALC_bebe_alcool_frequentemente]])</f>
        <v>0</v>
      </c>
      <c r="W1782" s="8">
        <f>(Tabela2[[#This Row],[Weight]]/(Tabela2[[#This Row],[Height]] ^2))</f>
        <v>36.115308724521782</v>
      </c>
    </row>
    <row r="1783" spans="1:23" x14ac:dyDescent="0.25">
      <c r="A1783" t="s">
        <v>15</v>
      </c>
      <c r="B1783" s="7">
        <v>33.722448999999997</v>
      </c>
      <c r="C1783" s="4">
        <v>1.7129049999999999</v>
      </c>
      <c r="D1783" s="7">
        <v>103.276087</v>
      </c>
      <c r="E1783">
        <v>1</v>
      </c>
      <c r="F1783">
        <v>1</v>
      </c>
      <c r="G1783" s="2">
        <v>2.525884</v>
      </c>
      <c r="H1783" s="2">
        <v>2.0405820000000001</v>
      </c>
      <c r="I1783">
        <v>1</v>
      </c>
      <c r="J1783">
        <v>0</v>
      </c>
      <c r="K1783" s="2">
        <v>1</v>
      </c>
      <c r="L1783">
        <v>0</v>
      </c>
      <c r="M1783" s="7">
        <v>1.6703600000000001</v>
      </c>
      <c r="N1783" s="7">
        <v>2.3959000000000001E-2</v>
      </c>
      <c r="O1783">
        <v>0</v>
      </c>
      <c r="P1783" t="s">
        <v>14</v>
      </c>
      <c r="Q1783">
        <v>5</v>
      </c>
      <c r="R1783" s="8">
        <f>(Tabela2[[#This Row],[FAF_atividade_fisica_frequente_em_horas]]+ 0.1)</f>
        <v>1.7703600000000002</v>
      </c>
      <c r="S1783" s="1">
        <f>(Tabela2[[#This Row],[TUE_tempo_uso_aparelhos_em_horas]]/Tabela2[[#This Row],[FAF_Var]])</f>
        <v>1.3533405635012088E-2</v>
      </c>
      <c r="T1783">
        <f>(Tabela2[[#This Row],[CAEC_lanche_entre_refeicoes]]*Tabela2[[#This Row],[FAVC_consumo_frequente_de_alimentos_mt_caloricos]])</f>
        <v>1</v>
      </c>
      <c r="U1783" s="1">
        <f>IF(OR(Tabela2[[#This Row],[MTRANS]]="Walking",Tabela2[[#This Row],[MTRANS]]="Bike"),Tabela2[[#This Row],[FAF_atividade_fisica_frequente_em_horas]]+1,M1783)</f>
        <v>1.6703600000000001</v>
      </c>
      <c r="V1783">
        <f>(Tabela2[[#This Row],[SMOKE]]+Tabela2[[#This Row],[CALC_bebe_alcool_frequentemente]])</f>
        <v>0</v>
      </c>
      <c r="W1783" s="8">
        <f>(Tabela2[[#This Row],[Weight]]/(Tabela2[[#This Row],[Height]] ^2))</f>
        <v>35.19923464882163</v>
      </c>
    </row>
    <row r="1784" spans="1:23" x14ac:dyDescent="0.25">
      <c r="A1784" t="s">
        <v>15</v>
      </c>
      <c r="B1784" s="7">
        <v>32.516469000000001</v>
      </c>
      <c r="C1784" s="4">
        <v>1.695735</v>
      </c>
      <c r="D1784" s="7">
        <v>102.784864</v>
      </c>
      <c r="E1784">
        <v>1</v>
      </c>
      <c r="F1784">
        <v>1</v>
      </c>
      <c r="G1784" s="2">
        <v>2.7366470000000001</v>
      </c>
      <c r="H1784" s="2">
        <v>2.0156749999999999</v>
      </c>
      <c r="I1784">
        <v>1</v>
      </c>
      <c r="J1784">
        <v>0</v>
      </c>
      <c r="K1784" s="2">
        <v>1</v>
      </c>
      <c r="L1784">
        <v>0</v>
      </c>
      <c r="M1784" s="7">
        <v>1.9779180000000001</v>
      </c>
      <c r="N1784" s="7">
        <v>5.6350999999999998E-2</v>
      </c>
      <c r="O1784">
        <v>0</v>
      </c>
      <c r="P1784" t="s">
        <v>14</v>
      </c>
      <c r="Q1784">
        <v>5</v>
      </c>
      <c r="R1784" s="8">
        <f>(Tabela2[[#This Row],[FAF_atividade_fisica_frequente_em_horas]]+ 0.1)</f>
        <v>2.0779179999999999</v>
      </c>
      <c r="S1784" s="1">
        <f>(Tabela2[[#This Row],[TUE_tempo_uso_aparelhos_em_horas]]/Tabela2[[#This Row],[FAF_Var]])</f>
        <v>2.7118971970982494E-2</v>
      </c>
      <c r="T1784">
        <f>(Tabela2[[#This Row],[CAEC_lanche_entre_refeicoes]]*Tabela2[[#This Row],[FAVC_consumo_frequente_de_alimentos_mt_caloricos]])</f>
        <v>1</v>
      </c>
      <c r="U1784" s="1">
        <f>IF(OR(Tabela2[[#This Row],[MTRANS]]="Walking",Tabela2[[#This Row],[MTRANS]]="Bike"),Tabela2[[#This Row],[FAF_atividade_fisica_frequente_em_horas]]+1,M1784)</f>
        <v>1.9779180000000001</v>
      </c>
      <c r="V1784">
        <f>(Tabela2[[#This Row],[SMOKE]]+Tabela2[[#This Row],[CALC_bebe_alcool_frequentemente]])</f>
        <v>0</v>
      </c>
      <c r="W1784" s="8">
        <f>(Tabela2[[#This Row],[Weight]]/(Tabela2[[#This Row],[Height]] ^2))</f>
        <v>35.744826826076952</v>
      </c>
    </row>
    <row r="1785" spans="1:23" x14ac:dyDescent="0.25">
      <c r="A1785" t="s">
        <v>15</v>
      </c>
      <c r="B1785" s="7">
        <v>23.881938000000002</v>
      </c>
      <c r="C1785" s="4">
        <v>1.829971</v>
      </c>
      <c r="D1785" s="7">
        <v>121.04172</v>
      </c>
      <c r="E1785">
        <v>1</v>
      </c>
      <c r="F1785">
        <v>1</v>
      </c>
      <c r="G1785" s="2">
        <v>2.6843349999999999</v>
      </c>
      <c r="H1785" s="2">
        <v>2.7112379999999998</v>
      </c>
      <c r="I1785">
        <v>1</v>
      </c>
      <c r="J1785">
        <v>0</v>
      </c>
      <c r="K1785" s="2">
        <v>2.7323309999999998</v>
      </c>
      <c r="L1785">
        <v>0</v>
      </c>
      <c r="M1785" s="7">
        <v>1.1560239999999999</v>
      </c>
      <c r="N1785" s="7">
        <v>0.44245600000000002</v>
      </c>
      <c r="O1785">
        <v>1</v>
      </c>
      <c r="P1785" t="s">
        <v>14</v>
      </c>
      <c r="Q1785">
        <v>5</v>
      </c>
      <c r="R1785" s="8">
        <f>(Tabela2[[#This Row],[FAF_atividade_fisica_frequente_em_horas]]+ 0.1)</f>
        <v>1.256024</v>
      </c>
      <c r="S1785" s="1">
        <f>(Tabela2[[#This Row],[TUE_tempo_uso_aparelhos_em_horas]]/Tabela2[[#This Row],[FAF_Var]])</f>
        <v>0.35226715413081278</v>
      </c>
      <c r="T1785">
        <f>(Tabela2[[#This Row],[CAEC_lanche_entre_refeicoes]]*Tabela2[[#This Row],[FAVC_consumo_frequente_de_alimentos_mt_caloricos]])</f>
        <v>1</v>
      </c>
      <c r="U1785" s="1">
        <f>IF(OR(Tabela2[[#This Row],[MTRANS]]="Walking",Tabela2[[#This Row],[MTRANS]]="Bike"),Tabela2[[#This Row],[FAF_atividade_fisica_frequente_em_horas]]+1,M1785)</f>
        <v>1.1560239999999999</v>
      </c>
      <c r="V1785">
        <f>(Tabela2[[#This Row],[SMOKE]]+Tabela2[[#This Row],[CALC_bebe_alcool_frequentemente]])</f>
        <v>1</v>
      </c>
      <c r="W1785" s="8">
        <f>(Tabela2[[#This Row],[Weight]]/(Tabela2[[#This Row],[Height]] ^2))</f>
        <v>36.144870371209464</v>
      </c>
    </row>
    <row r="1786" spans="1:23" x14ac:dyDescent="0.25">
      <c r="A1786" t="s">
        <v>15</v>
      </c>
      <c r="B1786" s="7">
        <v>23.319635000000002</v>
      </c>
      <c r="C1786" s="4">
        <v>1.84629</v>
      </c>
      <c r="D1786" s="7">
        <v>121.248035</v>
      </c>
      <c r="E1786">
        <v>1</v>
      </c>
      <c r="F1786">
        <v>1</v>
      </c>
      <c r="G1786" s="2">
        <v>3</v>
      </c>
      <c r="H1786" s="2">
        <v>2.6953960000000001</v>
      </c>
      <c r="I1786">
        <v>1</v>
      </c>
      <c r="J1786">
        <v>0</v>
      </c>
      <c r="K1786" s="2">
        <v>2.628816</v>
      </c>
      <c r="L1786">
        <v>0</v>
      </c>
      <c r="M1786" s="7">
        <v>0.97538400000000003</v>
      </c>
      <c r="N1786" s="7">
        <v>0</v>
      </c>
      <c r="O1786">
        <v>1</v>
      </c>
      <c r="P1786" t="s">
        <v>14</v>
      </c>
      <c r="Q1786">
        <v>5</v>
      </c>
      <c r="R1786" s="8">
        <f>(Tabela2[[#This Row],[FAF_atividade_fisica_frequente_em_horas]]+ 0.1)</f>
        <v>1.0753840000000001</v>
      </c>
      <c r="S1786" s="1">
        <f>(Tabela2[[#This Row],[TUE_tempo_uso_aparelhos_em_horas]]/Tabela2[[#This Row],[FAF_Var]])</f>
        <v>0</v>
      </c>
      <c r="T1786">
        <f>(Tabela2[[#This Row],[CAEC_lanche_entre_refeicoes]]*Tabela2[[#This Row],[FAVC_consumo_frequente_de_alimentos_mt_caloricos]])</f>
        <v>1</v>
      </c>
      <c r="U1786" s="1">
        <f>IF(OR(Tabela2[[#This Row],[MTRANS]]="Walking",Tabela2[[#This Row],[MTRANS]]="Bike"),Tabela2[[#This Row],[FAF_atividade_fisica_frequente_em_horas]]+1,M1786)</f>
        <v>0.97538400000000003</v>
      </c>
      <c r="V1786">
        <f>(Tabela2[[#This Row],[SMOKE]]+Tabela2[[#This Row],[CALC_bebe_alcool_frequentemente]])</f>
        <v>1</v>
      </c>
      <c r="W1786" s="8">
        <f>(Tabela2[[#This Row],[Weight]]/(Tabela2[[#This Row],[Height]] ^2))</f>
        <v>35.569263609251415</v>
      </c>
    </row>
    <row r="1787" spans="1:23" x14ac:dyDescent="0.25">
      <c r="A1787" t="s">
        <v>15</v>
      </c>
      <c r="B1787" s="7">
        <v>23.912386999999999</v>
      </c>
      <c r="C1787" s="4">
        <v>1.774983</v>
      </c>
      <c r="D1787" s="7">
        <v>119.08180400000001</v>
      </c>
      <c r="E1787">
        <v>1</v>
      </c>
      <c r="F1787">
        <v>1</v>
      </c>
      <c r="G1787" s="2">
        <v>2.425503</v>
      </c>
      <c r="H1787" s="2">
        <v>2.9968340000000002</v>
      </c>
      <c r="I1787">
        <v>1</v>
      </c>
      <c r="J1787">
        <v>0</v>
      </c>
      <c r="K1787" s="2">
        <v>2.0176020000000001</v>
      </c>
      <c r="L1787">
        <v>0</v>
      </c>
      <c r="M1787" s="7">
        <v>1.580263</v>
      </c>
      <c r="N1787" s="7">
        <v>0.53176900000000005</v>
      </c>
      <c r="O1787">
        <v>1</v>
      </c>
      <c r="P1787" t="s">
        <v>14</v>
      </c>
      <c r="Q1787">
        <v>5</v>
      </c>
      <c r="R1787" s="8">
        <f>(Tabela2[[#This Row],[FAF_atividade_fisica_frequente_em_horas]]+ 0.1)</f>
        <v>1.6802630000000001</v>
      </c>
      <c r="S1787" s="1">
        <f>(Tabela2[[#This Row],[TUE_tempo_uso_aparelhos_em_horas]]/Tabela2[[#This Row],[FAF_Var]])</f>
        <v>0.31647962253528167</v>
      </c>
      <c r="T1787">
        <f>(Tabela2[[#This Row],[CAEC_lanche_entre_refeicoes]]*Tabela2[[#This Row],[FAVC_consumo_frequente_de_alimentos_mt_caloricos]])</f>
        <v>1</v>
      </c>
      <c r="U1787" s="1">
        <f>IF(OR(Tabela2[[#This Row],[MTRANS]]="Walking",Tabela2[[#This Row],[MTRANS]]="Bike"),Tabela2[[#This Row],[FAF_atividade_fisica_frequente_em_horas]]+1,M1787)</f>
        <v>1.580263</v>
      </c>
      <c r="V1787">
        <f>(Tabela2[[#This Row],[SMOKE]]+Tabela2[[#This Row],[CALC_bebe_alcool_frequentemente]])</f>
        <v>1</v>
      </c>
      <c r="W1787" s="8">
        <f>(Tabela2[[#This Row],[Weight]]/(Tabela2[[#This Row],[Height]] ^2))</f>
        <v>37.796972040893266</v>
      </c>
    </row>
    <row r="1788" spans="1:23" x14ac:dyDescent="0.25">
      <c r="A1788" t="s">
        <v>15</v>
      </c>
      <c r="B1788" s="7">
        <v>24.982997000000001</v>
      </c>
      <c r="C1788" s="4">
        <v>1.7896799999999999</v>
      </c>
      <c r="D1788" s="7">
        <v>118.436166</v>
      </c>
      <c r="E1788">
        <v>1</v>
      </c>
      <c r="F1788">
        <v>1</v>
      </c>
      <c r="G1788" s="2">
        <v>1.469384</v>
      </c>
      <c r="H1788" s="2">
        <v>2.9964439999999999</v>
      </c>
      <c r="I1788">
        <v>1</v>
      </c>
      <c r="J1788">
        <v>0</v>
      </c>
      <c r="K1788" s="2">
        <v>2.0677409999999998</v>
      </c>
      <c r="L1788">
        <v>0</v>
      </c>
      <c r="M1788" s="7">
        <v>1.082236</v>
      </c>
      <c r="N1788" s="7">
        <v>0.15054400000000001</v>
      </c>
      <c r="O1788">
        <v>1</v>
      </c>
      <c r="P1788" t="s">
        <v>14</v>
      </c>
      <c r="Q1788">
        <v>5</v>
      </c>
      <c r="R1788" s="8">
        <f>(Tabela2[[#This Row],[FAF_atividade_fisica_frequente_em_horas]]+ 0.1)</f>
        <v>1.1822360000000001</v>
      </c>
      <c r="S1788" s="1">
        <f>(Tabela2[[#This Row],[TUE_tempo_uso_aparelhos_em_horas]]/Tabela2[[#This Row],[FAF_Var]])</f>
        <v>0.12733836560551362</v>
      </c>
      <c r="T1788">
        <f>(Tabela2[[#This Row],[CAEC_lanche_entre_refeicoes]]*Tabela2[[#This Row],[FAVC_consumo_frequente_de_alimentos_mt_caloricos]])</f>
        <v>1</v>
      </c>
      <c r="U1788" s="1">
        <f>IF(OR(Tabela2[[#This Row],[MTRANS]]="Walking",Tabela2[[#This Row],[MTRANS]]="Bike"),Tabela2[[#This Row],[FAF_atividade_fisica_frequente_em_horas]]+1,M1788)</f>
        <v>1.082236</v>
      </c>
      <c r="V1788">
        <f>(Tabela2[[#This Row],[SMOKE]]+Tabela2[[#This Row],[CALC_bebe_alcool_frequentemente]])</f>
        <v>1</v>
      </c>
      <c r="W1788" s="8">
        <f>(Tabela2[[#This Row],[Weight]]/(Tabela2[[#This Row],[Height]] ^2))</f>
        <v>36.977161527350702</v>
      </c>
    </row>
    <row r="1789" spans="1:23" x14ac:dyDescent="0.25">
      <c r="A1789" t="s">
        <v>15</v>
      </c>
      <c r="B1789" s="7">
        <v>24.511444999999998</v>
      </c>
      <c r="C1789" s="4">
        <v>1.8526640000000001</v>
      </c>
      <c r="D1789" s="7">
        <v>121.31025700000001</v>
      </c>
      <c r="E1789">
        <v>1</v>
      </c>
      <c r="F1789">
        <v>1</v>
      </c>
      <c r="G1789" s="2">
        <v>2.906269</v>
      </c>
      <c r="H1789" s="2">
        <v>2.894142</v>
      </c>
      <c r="I1789">
        <v>1</v>
      </c>
      <c r="J1789">
        <v>0</v>
      </c>
      <c r="K1789" s="2">
        <v>2.435489</v>
      </c>
      <c r="L1789">
        <v>0</v>
      </c>
      <c r="M1789" s="7">
        <v>1.2667390000000001</v>
      </c>
      <c r="N1789" s="7">
        <v>0.36215999999999998</v>
      </c>
      <c r="O1789">
        <v>1</v>
      </c>
      <c r="P1789" t="s">
        <v>14</v>
      </c>
      <c r="Q1789">
        <v>5</v>
      </c>
      <c r="R1789" s="8">
        <f>(Tabela2[[#This Row],[FAF_atividade_fisica_frequente_em_horas]]+ 0.1)</f>
        <v>1.3667390000000001</v>
      </c>
      <c r="S1789" s="1">
        <f>(Tabela2[[#This Row],[TUE_tempo_uso_aparelhos_em_horas]]/Tabela2[[#This Row],[FAF_Var]])</f>
        <v>0.26498109734192116</v>
      </c>
      <c r="T1789">
        <f>(Tabela2[[#This Row],[CAEC_lanche_entre_refeicoes]]*Tabela2[[#This Row],[FAVC_consumo_frequente_de_alimentos_mt_caloricos]])</f>
        <v>1</v>
      </c>
      <c r="U1789" s="1">
        <f>IF(OR(Tabela2[[#This Row],[MTRANS]]="Walking",Tabela2[[#This Row],[MTRANS]]="Bike"),Tabela2[[#This Row],[FAF_atividade_fisica_frequente_em_horas]]+1,M1789)</f>
        <v>1.2667390000000001</v>
      </c>
      <c r="V1789">
        <f>(Tabela2[[#This Row],[SMOKE]]+Tabela2[[#This Row],[CALC_bebe_alcool_frequentemente]])</f>
        <v>1</v>
      </c>
      <c r="W1789" s="8">
        <f>(Tabela2[[#This Row],[Weight]]/(Tabela2[[#This Row],[Height]] ^2))</f>
        <v>35.343064035169718</v>
      </c>
    </row>
    <row r="1790" spans="1:23" x14ac:dyDescent="0.25">
      <c r="A1790" t="s">
        <v>15</v>
      </c>
      <c r="B1790" s="7">
        <v>24.05331</v>
      </c>
      <c r="C1790" s="4">
        <v>1.8725609999999999</v>
      </c>
      <c r="D1790" s="7">
        <v>121.47107699999999</v>
      </c>
      <c r="E1790">
        <v>1</v>
      </c>
      <c r="F1790">
        <v>1</v>
      </c>
      <c r="G1790" s="2">
        <v>2.8080270000000001</v>
      </c>
      <c r="H1790" s="2">
        <v>2.6830609999999999</v>
      </c>
      <c r="I1790">
        <v>1</v>
      </c>
      <c r="J1790">
        <v>0</v>
      </c>
      <c r="K1790" s="2">
        <v>2.6404830000000001</v>
      </c>
      <c r="L1790">
        <v>0</v>
      </c>
      <c r="M1790" s="7">
        <v>1.2801910000000001</v>
      </c>
      <c r="N1790" s="7">
        <v>0</v>
      </c>
      <c r="O1790">
        <v>1</v>
      </c>
      <c r="P1790" t="s">
        <v>14</v>
      </c>
      <c r="Q1790">
        <v>5</v>
      </c>
      <c r="R1790" s="8">
        <f>(Tabela2[[#This Row],[FAF_atividade_fisica_frequente_em_horas]]+ 0.1)</f>
        <v>1.3801910000000002</v>
      </c>
      <c r="S1790" s="1">
        <f>(Tabela2[[#This Row],[TUE_tempo_uso_aparelhos_em_horas]]/Tabela2[[#This Row],[FAF_Var]])</f>
        <v>0</v>
      </c>
      <c r="T1790">
        <f>(Tabela2[[#This Row],[CAEC_lanche_entre_refeicoes]]*Tabela2[[#This Row],[FAVC_consumo_frequente_de_alimentos_mt_caloricos]])</f>
        <v>1</v>
      </c>
      <c r="U1790" s="1">
        <f>IF(OR(Tabela2[[#This Row],[MTRANS]]="Walking",Tabela2[[#This Row],[MTRANS]]="Bike"),Tabela2[[#This Row],[FAF_atividade_fisica_frequente_em_horas]]+1,M1790)</f>
        <v>1.2801910000000001</v>
      </c>
      <c r="V1790">
        <f>(Tabela2[[#This Row],[SMOKE]]+Tabela2[[#This Row],[CALC_bebe_alcool_frequentemente]])</f>
        <v>1</v>
      </c>
      <c r="W1790" s="8">
        <f>(Tabela2[[#This Row],[Weight]]/(Tabela2[[#This Row],[Height]] ^2))</f>
        <v>34.641838603860705</v>
      </c>
    </row>
    <row r="1791" spans="1:23" x14ac:dyDescent="0.25">
      <c r="A1791" t="s">
        <v>15</v>
      </c>
      <c r="B1791" s="7">
        <v>22.906886</v>
      </c>
      <c r="C1791" s="4">
        <v>1.81955</v>
      </c>
      <c r="D1791" s="7">
        <v>120.77543900000001</v>
      </c>
      <c r="E1791">
        <v>1</v>
      </c>
      <c r="F1791">
        <v>1</v>
      </c>
      <c r="G1791" s="2">
        <v>2.6367189999999998</v>
      </c>
      <c r="H1791" s="2">
        <v>2.8063410000000002</v>
      </c>
      <c r="I1791">
        <v>1</v>
      </c>
      <c r="J1791">
        <v>0</v>
      </c>
      <c r="K1791" s="2">
        <v>1.9675910000000001</v>
      </c>
      <c r="L1791">
        <v>0</v>
      </c>
      <c r="M1791" s="7">
        <v>1.5253840000000001</v>
      </c>
      <c r="N1791" s="7">
        <v>0.31559500000000001</v>
      </c>
      <c r="O1791">
        <v>1</v>
      </c>
      <c r="P1791" t="s">
        <v>14</v>
      </c>
      <c r="Q1791">
        <v>5</v>
      </c>
      <c r="R1791" s="8">
        <f>(Tabela2[[#This Row],[FAF_atividade_fisica_frequente_em_horas]]+ 0.1)</f>
        <v>1.6253840000000002</v>
      </c>
      <c r="S1791" s="1">
        <f>(Tabela2[[#This Row],[TUE_tempo_uso_aparelhos_em_horas]]/Tabela2[[#This Row],[FAF_Var]])</f>
        <v>0.19416642467256967</v>
      </c>
      <c r="T1791">
        <f>(Tabela2[[#This Row],[CAEC_lanche_entre_refeicoes]]*Tabela2[[#This Row],[FAVC_consumo_frequente_de_alimentos_mt_caloricos]])</f>
        <v>1</v>
      </c>
      <c r="U1791" s="1">
        <f>IF(OR(Tabela2[[#This Row],[MTRANS]]="Walking",Tabela2[[#This Row],[MTRANS]]="Bike"),Tabela2[[#This Row],[FAF_atividade_fisica_frequente_em_horas]]+1,M1791)</f>
        <v>1.5253840000000001</v>
      </c>
      <c r="V1791">
        <f>(Tabela2[[#This Row],[SMOKE]]+Tabela2[[#This Row],[CALC_bebe_alcool_frequentemente]])</f>
        <v>1</v>
      </c>
      <c r="W1791" s="8">
        <f>(Tabela2[[#This Row],[Weight]]/(Tabela2[[#This Row],[Height]] ^2))</f>
        <v>36.479647770776438</v>
      </c>
    </row>
    <row r="1792" spans="1:23" x14ac:dyDescent="0.25">
      <c r="A1792" t="s">
        <v>15</v>
      </c>
      <c r="B1792" s="7">
        <v>23.147644</v>
      </c>
      <c r="C1792" s="4">
        <v>1.8155140000000001</v>
      </c>
      <c r="D1792" s="7">
        <v>120.337664</v>
      </c>
      <c r="E1792">
        <v>1</v>
      </c>
      <c r="F1792">
        <v>1</v>
      </c>
      <c r="G1792" s="2">
        <v>2.9967169999999999</v>
      </c>
      <c r="H1792" s="2">
        <v>2.791366</v>
      </c>
      <c r="I1792">
        <v>1</v>
      </c>
      <c r="J1792">
        <v>0</v>
      </c>
      <c r="K1792" s="2">
        <v>2.626309</v>
      </c>
      <c r="L1792">
        <v>0</v>
      </c>
      <c r="M1792" s="7">
        <v>1.194898</v>
      </c>
      <c r="N1792" s="7">
        <v>3.4896999999999997E-2</v>
      </c>
      <c r="O1792">
        <v>1</v>
      </c>
      <c r="P1792" t="s">
        <v>14</v>
      </c>
      <c r="Q1792">
        <v>5</v>
      </c>
      <c r="R1792" s="8">
        <f>(Tabela2[[#This Row],[FAF_atividade_fisica_frequente_em_horas]]+ 0.1)</f>
        <v>1.2948980000000001</v>
      </c>
      <c r="S1792" s="1">
        <f>(Tabela2[[#This Row],[TUE_tempo_uso_aparelhos_em_horas]]/Tabela2[[#This Row],[FAF_Var]])</f>
        <v>2.6949613019712746E-2</v>
      </c>
      <c r="T1792">
        <f>(Tabela2[[#This Row],[CAEC_lanche_entre_refeicoes]]*Tabela2[[#This Row],[FAVC_consumo_frequente_de_alimentos_mt_caloricos]])</f>
        <v>1</v>
      </c>
      <c r="U1792" s="1">
        <f>IF(OR(Tabela2[[#This Row],[MTRANS]]="Walking",Tabela2[[#This Row],[MTRANS]]="Bike"),Tabela2[[#This Row],[FAF_atividade_fisica_frequente_em_horas]]+1,M1792)</f>
        <v>1.194898</v>
      </c>
      <c r="V1792">
        <f>(Tabela2[[#This Row],[SMOKE]]+Tabela2[[#This Row],[CALC_bebe_alcool_frequentemente]])</f>
        <v>1</v>
      </c>
      <c r="W1792" s="8">
        <f>(Tabela2[[#This Row],[Weight]]/(Tabela2[[#This Row],[Height]] ^2))</f>
        <v>36.50920466882468</v>
      </c>
    </row>
    <row r="1793" spans="1:23" x14ac:dyDescent="0.25">
      <c r="A1793" t="s">
        <v>15</v>
      </c>
      <c r="B1793" s="7">
        <v>24.001888999999998</v>
      </c>
      <c r="C1793" s="4">
        <v>1.6140749999999999</v>
      </c>
      <c r="D1793" s="7">
        <v>100.245302</v>
      </c>
      <c r="E1793">
        <v>1</v>
      </c>
      <c r="F1793">
        <v>1</v>
      </c>
      <c r="G1793" s="2">
        <v>2.8804829999999999</v>
      </c>
      <c r="H1793" s="2">
        <v>1.7032989999999999</v>
      </c>
      <c r="I1793">
        <v>1</v>
      </c>
      <c r="J1793">
        <v>0</v>
      </c>
      <c r="K1793" s="2">
        <v>1.006378</v>
      </c>
      <c r="L1793">
        <v>0</v>
      </c>
      <c r="M1793" s="7">
        <v>1.076729</v>
      </c>
      <c r="N1793" s="7">
        <v>1.0580069999999999</v>
      </c>
      <c r="O1793">
        <v>0</v>
      </c>
      <c r="P1793" t="s">
        <v>14</v>
      </c>
      <c r="Q1793">
        <v>5</v>
      </c>
      <c r="R1793" s="8">
        <f>(Tabela2[[#This Row],[FAF_atividade_fisica_frequente_em_horas]]+ 0.1)</f>
        <v>1.1767290000000001</v>
      </c>
      <c r="S1793" s="1">
        <f>(Tabela2[[#This Row],[TUE_tempo_uso_aparelhos_em_horas]]/Tabela2[[#This Row],[FAF_Var]])</f>
        <v>0.89910846082657925</v>
      </c>
      <c r="T1793">
        <f>(Tabela2[[#This Row],[CAEC_lanche_entre_refeicoes]]*Tabela2[[#This Row],[FAVC_consumo_frequente_de_alimentos_mt_caloricos]])</f>
        <v>1</v>
      </c>
      <c r="U1793" s="1">
        <f>IF(OR(Tabela2[[#This Row],[MTRANS]]="Walking",Tabela2[[#This Row],[MTRANS]]="Bike"),Tabela2[[#This Row],[FAF_atividade_fisica_frequente_em_horas]]+1,M1793)</f>
        <v>1.076729</v>
      </c>
      <c r="V1793">
        <f>(Tabela2[[#This Row],[SMOKE]]+Tabela2[[#This Row],[CALC_bebe_alcool_frequentemente]])</f>
        <v>0</v>
      </c>
      <c r="W1793" s="8">
        <f>(Tabela2[[#This Row],[Weight]]/(Tabela2[[#This Row],[Height]] ^2))</f>
        <v>38.478364715900327</v>
      </c>
    </row>
    <row r="1794" spans="1:23" x14ac:dyDescent="0.25">
      <c r="A1794" t="s">
        <v>15</v>
      </c>
      <c r="B1794" s="7">
        <v>24.002403999999999</v>
      </c>
      <c r="C1794" s="4">
        <v>1.609418</v>
      </c>
      <c r="D1794" s="7">
        <v>100.078367</v>
      </c>
      <c r="E1794">
        <v>1</v>
      </c>
      <c r="F1794">
        <v>1</v>
      </c>
      <c r="G1794" s="2">
        <v>2.8856929999999998</v>
      </c>
      <c r="H1794" s="2">
        <v>1.6851339999999999</v>
      </c>
      <c r="I1794">
        <v>1</v>
      </c>
      <c r="J1794">
        <v>0</v>
      </c>
      <c r="K1794" s="2">
        <v>1.011849</v>
      </c>
      <c r="L1794">
        <v>0</v>
      </c>
      <c r="M1794" s="7">
        <v>0.50310500000000002</v>
      </c>
      <c r="N1794" s="7">
        <v>1.217929</v>
      </c>
      <c r="O1794">
        <v>0</v>
      </c>
      <c r="P1794" t="s">
        <v>14</v>
      </c>
      <c r="Q1794">
        <v>5</v>
      </c>
      <c r="R1794" s="8">
        <f>(Tabela2[[#This Row],[FAF_atividade_fisica_frequente_em_horas]]+ 0.1)</f>
        <v>0.603105</v>
      </c>
      <c r="S1794" s="1">
        <f>(Tabela2[[#This Row],[TUE_tempo_uso_aparelhos_em_horas]]/Tabela2[[#This Row],[FAF_Var]])</f>
        <v>2.0194311106689549</v>
      </c>
      <c r="T1794">
        <f>(Tabela2[[#This Row],[CAEC_lanche_entre_refeicoes]]*Tabela2[[#This Row],[FAVC_consumo_frequente_de_alimentos_mt_caloricos]])</f>
        <v>1</v>
      </c>
      <c r="U1794" s="1">
        <f>IF(OR(Tabela2[[#This Row],[MTRANS]]="Walking",Tabela2[[#This Row],[MTRANS]]="Bike"),Tabela2[[#This Row],[FAF_atividade_fisica_frequente_em_horas]]+1,M1794)</f>
        <v>0.50310500000000002</v>
      </c>
      <c r="V1794">
        <f>(Tabela2[[#This Row],[SMOKE]]+Tabela2[[#This Row],[CALC_bebe_alcool_frequentemente]])</f>
        <v>0</v>
      </c>
      <c r="W1794" s="8">
        <f>(Tabela2[[#This Row],[Weight]]/(Tabela2[[#This Row],[Height]] ^2))</f>
        <v>38.636920275769228</v>
      </c>
    </row>
    <row r="1795" spans="1:23" x14ac:dyDescent="0.25">
      <c r="A1795" t="s">
        <v>15</v>
      </c>
      <c r="B1795" s="7">
        <v>30.715160000000001</v>
      </c>
      <c r="C1795" s="4">
        <v>1.6501889999999999</v>
      </c>
      <c r="D1795" s="7">
        <v>101.141277</v>
      </c>
      <c r="E1795">
        <v>1</v>
      </c>
      <c r="F1795">
        <v>1</v>
      </c>
      <c r="G1795" s="2">
        <v>2.9134519999999999</v>
      </c>
      <c r="H1795" s="2">
        <v>2.2697989999999999</v>
      </c>
      <c r="I1795">
        <v>1</v>
      </c>
      <c r="J1795">
        <v>0</v>
      </c>
      <c r="K1795" s="2">
        <v>1</v>
      </c>
      <c r="L1795">
        <v>0</v>
      </c>
      <c r="M1795" s="7">
        <v>1.889937</v>
      </c>
      <c r="N1795" s="7">
        <v>0.37881799999999999</v>
      </c>
      <c r="O1795">
        <v>0</v>
      </c>
      <c r="P1795" t="s">
        <v>14</v>
      </c>
      <c r="Q1795">
        <v>5</v>
      </c>
      <c r="R1795" s="8">
        <f>(Tabela2[[#This Row],[FAF_atividade_fisica_frequente_em_horas]]+ 0.1)</f>
        <v>1.9899370000000001</v>
      </c>
      <c r="S1795" s="1">
        <f>(Tabela2[[#This Row],[TUE_tempo_uso_aparelhos_em_horas]]/Tabela2[[#This Row],[FAF_Var]])</f>
        <v>0.19036683070871085</v>
      </c>
      <c r="T1795">
        <f>(Tabela2[[#This Row],[CAEC_lanche_entre_refeicoes]]*Tabela2[[#This Row],[FAVC_consumo_frequente_de_alimentos_mt_caloricos]])</f>
        <v>1</v>
      </c>
      <c r="U1795" s="1">
        <f>IF(OR(Tabela2[[#This Row],[MTRANS]]="Walking",Tabela2[[#This Row],[MTRANS]]="Bike"),Tabela2[[#This Row],[FAF_atividade_fisica_frequente_em_horas]]+1,M1795)</f>
        <v>1.889937</v>
      </c>
      <c r="V1795">
        <f>(Tabela2[[#This Row],[SMOKE]]+Tabela2[[#This Row],[CALC_bebe_alcool_frequentemente]])</f>
        <v>0</v>
      </c>
      <c r="W1795" s="8">
        <f>(Tabela2[[#This Row],[Weight]]/(Tabela2[[#This Row],[Height]] ^2))</f>
        <v>37.141638359382476</v>
      </c>
    </row>
    <row r="1796" spans="1:23" x14ac:dyDescent="0.25">
      <c r="A1796" t="s">
        <v>15</v>
      </c>
      <c r="B1796" s="7">
        <v>30.642430000000001</v>
      </c>
      <c r="C1796" s="4">
        <v>1.6538759999999999</v>
      </c>
      <c r="D1796" s="7">
        <v>102.583895</v>
      </c>
      <c r="E1796">
        <v>1</v>
      </c>
      <c r="F1796">
        <v>1</v>
      </c>
      <c r="G1796" s="2">
        <v>2.9195259999999998</v>
      </c>
      <c r="H1796" s="2">
        <v>2.142328</v>
      </c>
      <c r="I1796">
        <v>1</v>
      </c>
      <c r="J1796">
        <v>0</v>
      </c>
      <c r="K1796" s="2">
        <v>1.1757139999999999</v>
      </c>
      <c r="L1796">
        <v>0</v>
      </c>
      <c r="M1796" s="7">
        <v>0.95855500000000005</v>
      </c>
      <c r="N1796" s="7">
        <v>0.63628899999999999</v>
      </c>
      <c r="O1796">
        <v>0</v>
      </c>
      <c r="P1796" t="s">
        <v>14</v>
      </c>
      <c r="Q1796">
        <v>5</v>
      </c>
      <c r="R1796" s="8">
        <f>(Tabela2[[#This Row],[FAF_atividade_fisica_frequente_em_horas]]+ 0.1)</f>
        <v>1.0585550000000001</v>
      </c>
      <c r="S1796" s="1">
        <f>(Tabela2[[#This Row],[TUE_tempo_uso_aparelhos_em_horas]]/Tabela2[[#This Row],[FAF_Var]])</f>
        <v>0.60109205473499239</v>
      </c>
      <c r="T1796">
        <f>(Tabela2[[#This Row],[CAEC_lanche_entre_refeicoes]]*Tabela2[[#This Row],[FAVC_consumo_frequente_de_alimentos_mt_caloricos]])</f>
        <v>1</v>
      </c>
      <c r="U1796" s="1">
        <f>IF(OR(Tabela2[[#This Row],[MTRANS]]="Walking",Tabela2[[#This Row],[MTRANS]]="Bike"),Tabela2[[#This Row],[FAF_atividade_fisica_frequente_em_horas]]+1,M1796)</f>
        <v>0.95855500000000005</v>
      </c>
      <c r="V1796">
        <f>(Tabela2[[#This Row],[SMOKE]]+Tabela2[[#This Row],[CALC_bebe_alcool_frequentemente]])</f>
        <v>0</v>
      </c>
      <c r="W1796" s="8">
        <f>(Tabela2[[#This Row],[Weight]]/(Tabela2[[#This Row],[Height]] ^2))</f>
        <v>37.503629072594066</v>
      </c>
    </row>
    <row r="1797" spans="1:23" x14ac:dyDescent="0.25">
      <c r="A1797" t="s">
        <v>15</v>
      </c>
      <c r="B1797" s="7">
        <v>20.068432000000001</v>
      </c>
      <c r="C1797" s="4">
        <v>1.657132</v>
      </c>
      <c r="D1797" s="7">
        <v>105.58049099999999</v>
      </c>
      <c r="E1797">
        <v>1</v>
      </c>
      <c r="F1797">
        <v>1</v>
      </c>
      <c r="G1797" s="2">
        <v>2.7241209999999998</v>
      </c>
      <c r="H1797" s="2">
        <v>1.437959</v>
      </c>
      <c r="I1797">
        <v>1</v>
      </c>
      <c r="J1797">
        <v>0</v>
      </c>
      <c r="K1797" s="2">
        <v>1.5904180000000001</v>
      </c>
      <c r="L1797">
        <v>0</v>
      </c>
      <c r="M1797" s="7">
        <v>2.9603000000000001E-2</v>
      </c>
      <c r="N1797" s="7">
        <v>1.1221179999999999</v>
      </c>
      <c r="O1797">
        <v>0</v>
      </c>
      <c r="P1797" t="s">
        <v>14</v>
      </c>
      <c r="Q1797">
        <v>5</v>
      </c>
      <c r="R1797" s="8">
        <f>(Tabela2[[#This Row],[FAF_atividade_fisica_frequente_em_horas]]+ 0.1)</f>
        <v>0.129603</v>
      </c>
      <c r="S1797" s="1">
        <f>(Tabela2[[#This Row],[TUE_tempo_uso_aparelhos_em_horas]]/Tabela2[[#This Row],[FAF_Var]])</f>
        <v>8.6581174818484143</v>
      </c>
      <c r="T1797">
        <f>(Tabela2[[#This Row],[CAEC_lanche_entre_refeicoes]]*Tabela2[[#This Row],[FAVC_consumo_frequente_de_alimentos_mt_caloricos]])</f>
        <v>1</v>
      </c>
      <c r="U1797" s="1">
        <f>IF(OR(Tabela2[[#This Row],[MTRANS]]="Walking",Tabela2[[#This Row],[MTRANS]]="Bike"),Tabela2[[#This Row],[FAF_atividade_fisica_frequente_em_horas]]+1,M1797)</f>
        <v>2.9603000000000001E-2</v>
      </c>
      <c r="V1797">
        <f>(Tabela2[[#This Row],[SMOKE]]+Tabela2[[#This Row],[CALC_bebe_alcool_frequentemente]])</f>
        <v>0</v>
      </c>
      <c r="W1797" s="8">
        <f>(Tabela2[[#This Row],[Weight]]/(Tabela2[[#This Row],[Height]] ^2))</f>
        <v>38.447620761168636</v>
      </c>
    </row>
    <row r="1798" spans="1:23" x14ac:dyDescent="0.25">
      <c r="A1798" t="s">
        <v>15</v>
      </c>
      <c r="B1798" s="7">
        <v>20.914366000000001</v>
      </c>
      <c r="C1798" s="4">
        <v>1.6447510000000001</v>
      </c>
      <c r="D1798" s="7">
        <v>101.067988</v>
      </c>
      <c r="E1798">
        <v>1</v>
      </c>
      <c r="F1798">
        <v>1</v>
      </c>
      <c r="G1798" s="2">
        <v>2.8019919999999998</v>
      </c>
      <c r="H1798" s="2">
        <v>1.3431169999999999</v>
      </c>
      <c r="I1798">
        <v>1</v>
      </c>
      <c r="J1798">
        <v>0</v>
      </c>
      <c r="K1798" s="2">
        <v>1.1289419999999999</v>
      </c>
      <c r="L1798">
        <v>0</v>
      </c>
      <c r="M1798" s="7">
        <v>0.233987</v>
      </c>
      <c r="N1798" s="7">
        <v>0.81998000000000004</v>
      </c>
      <c r="O1798">
        <v>0</v>
      </c>
      <c r="P1798" t="s">
        <v>14</v>
      </c>
      <c r="Q1798">
        <v>5</v>
      </c>
      <c r="R1798" s="8">
        <f>(Tabela2[[#This Row],[FAF_atividade_fisica_frequente_em_horas]]+ 0.1)</f>
        <v>0.33398700000000003</v>
      </c>
      <c r="S1798" s="1">
        <f>(Tabela2[[#This Row],[TUE_tempo_uso_aparelhos_em_horas]]/Tabela2[[#This Row],[FAF_Var]])</f>
        <v>2.4551254988966633</v>
      </c>
      <c r="T1798">
        <f>(Tabela2[[#This Row],[CAEC_lanche_entre_refeicoes]]*Tabela2[[#This Row],[FAVC_consumo_frequente_de_alimentos_mt_caloricos]])</f>
        <v>1</v>
      </c>
      <c r="U1798" s="1">
        <f>IF(OR(Tabela2[[#This Row],[MTRANS]]="Walking",Tabela2[[#This Row],[MTRANS]]="Bike"),Tabela2[[#This Row],[FAF_atividade_fisica_frequente_em_horas]]+1,M1798)</f>
        <v>0.233987</v>
      </c>
      <c r="V1798">
        <f>(Tabela2[[#This Row],[SMOKE]]+Tabela2[[#This Row],[CALC_bebe_alcool_frequentemente]])</f>
        <v>0</v>
      </c>
      <c r="W1798" s="8">
        <f>(Tabela2[[#This Row],[Weight]]/(Tabela2[[#This Row],[Height]] ^2))</f>
        <v>37.360553513974367</v>
      </c>
    </row>
    <row r="1799" spans="1:23" x14ac:dyDescent="0.25">
      <c r="A1799" t="s">
        <v>15</v>
      </c>
      <c r="B1799" s="7">
        <v>25.512048</v>
      </c>
      <c r="C1799" s="4">
        <v>1.6607609999999999</v>
      </c>
      <c r="D1799" s="7">
        <v>104.32146299999999</v>
      </c>
      <c r="E1799">
        <v>1</v>
      </c>
      <c r="F1799">
        <v>1</v>
      </c>
      <c r="G1799" s="2">
        <v>2.7489710000000001</v>
      </c>
      <c r="H1799" s="2">
        <v>1.2134309999999999</v>
      </c>
      <c r="I1799">
        <v>1</v>
      </c>
      <c r="J1799">
        <v>0</v>
      </c>
      <c r="K1799" s="2">
        <v>1.4488749999999999</v>
      </c>
      <c r="L1799">
        <v>0</v>
      </c>
      <c r="M1799" s="7">
        <v>0.128548</v>
      </c>
      <c r="N1799" s="7">
        <v>1.2390380000000001</v>
      </c>
      <c r="O1799">
        <v>0</v>
      </c>
      <c r="P1799" t="s">
        <v>14</v>
      </c>
      <c r="Q1799">
        <v>5</v>
      </c>
      <c r="R1799" s="8">
        <f>(Tabela2[[#This Row],[FAF_atividade_fisica_frequente_em_horas]]+ 0.1)</f>
        <v>0.228548</v>
      </c>
      <c r="S1799" s="1">
        <f>(Tabela2[[#This Row],[TUE_tempo_uso_aparelhos_em_horas]]/Tabela2[[#This Row],[FAF_Var]])</f>
        <v>5.4213469380611512</v>
      </c>
      <c r="T1799">
        <f>(Tabela2[[#This Row],[CAEC_lanche_entre_refeicoes]]*Tabela2[[#This Row],[FAVC_consumo_frequente_de_alimentos_mt_caloricos]])</f>
        <v>1</v>
      </c>
      <c r="U1799" s="1">
        <f>IF(OR(Tabela2[[#This Row],[MTRANS]]="Walking",Tabela2[[#This Row],[MTRANS]]="Bike"),Tabela2[[#This Row],[FAF_atividade_fisica_frequente_em_horas]]+1,M1799)</f>
        <v>0.128548</v>
      </c>
      <c r="V1799">
        <f>(Tabela2[[#This Row],[SMOKE]]+Tabela2[[#This Row],[CALC_bebe_alcool_frequentemente]])</f>
        <v>0</v>
      </c>
      <c r="W1799" s="8">
        <f>(Tabela2[[#This Row],[Weight]]/(Tabela2[[#This Row],[Height]] ^2))</f>
        <v>37.82329793041324</v>
      </c>
    </row>
    <row r="1800" spans="1:23" x14ac:dyDescent="0.25">
      <c r="A1800" t="s">
        <v>15</v>
      </c>
      <c r="B1800" s="7">
        <v>26.844812000000001</v>
      </c>
      <c r="C1800" s="4">
        <v>1.6915100000000001</v>
      </c>
      <c r="D1800" s="7">
        <v>102.59518</v>
      </c>
      <c r="E1800">
        <v>1</v>
      </c>
      <c r="F1800">
        <v>1</v>
      </c>
      <c r="G1800" s="2">
        <v>2.6803750000000002</v>
      </c>
      <c r="H1800" s="2">
        <v>1.089048</v>
      </c>
      <c r="I1800">
        <v>1</v>
      </c>
      <c r="J1800">
        <v>0</v>
      </c>
      <c r="K1800" s="2">
        <v>1.3662380000000001</v>
      </c>
      <c r="L1800">
        <v>0</v>
      </c>
      <c r="M1800" s="7">
        <v>0.18132400000000001</v>
      </c>
      <c r="N1800" s="7">
        <v>1.041677</v>
      </c>
      <c r="O1800">
        <v>0</v>
      </c>
      <c r="P1800" t="s">
        <v>14</v>
      </c>
      <c r="Q1800">
        <v>5</v>
      </c>
      <c r="R1800" s="8">
        <f>(Tabela2[[#This Row],[FAF_atividade_fisica_frequente_em_horas]]+ 0.1)</f>
        <v>0.28132400000000002</v>
      </c>
      <c r="S1800" s="1">
        <f>(Tabela2[[#This Row],[TUE_tempo_uso_aparelhos_em_horas]]/Tabela2[[#This Row],[FAF_Var]])</f>
        <v>3.7027662055139268</v>
      </c>
      <c r="T1800">
        <f>(Tabela2[[#This Row],[CAEC_lanche_entre_refeicoes]]*Tabela2[[#This Row],[FAVC_consumo_frequente_de_alimentos_mt_caloricos]])</f>
        <v>1</v>
      </c>
      <c r="U1800" s="1">
        <f>IF(OR(Tabela2[[#This Row],[MTRANS]]="Walking",Tabela2[[#This Row],[MTRANS]]="Bike"),Tabela2[[#This Row],[FAF_atividade_fisica_frequente_em_horas]]+1,M1800)</f>
        <v>0.18132400000000001</v>
      </c>
      <c r="V1800">
        <f>(Tabela2[[#This Row],[SMOKE]]+Tabela2[[#This Row],[CALC_bebe_alcool_frequentemente]])</f>
        <v>0</v>
      </c>
      <c r="W1800" s="8">
        <f>(Tabela2[[#This Row],[Weight]]/(Tabela2[[#This Row],[Height]] ^2))</f>
        <v>35.857319300962153</v>
      </c>
    </row>
    <row r="1801" spans="1:23" x14ac:dyDescent="0.25">
      <c r="A1801" t="s">
        <v>13</v>
      </c>
      <c r="B1801" s="7">
        <v>25.919241</v>
      </c>
      <c r="C1801" s="4">
        <v>1.611462</v>
      </c>
      <c r="D1801" s="7">
        <v>102.09322299999999</v>
      </c>
      <c r="E1801">
        <v>1</v>
      </c>
      <c r="F1801">
        <v>1</v>
      </c>
      <c r="G1801" s="2">
        <v>3</v>
      </c>
      <c r="H1801" s="2">
        <v>3</v>
      </c>
      <c r="I1801">
        <v>1</v>
      </c>
      <c r="J1801">
        <v>0</v>
      </c>
      <c r="K1801" s="2">
        <v>1.023328</v>
      </c>
      <c r="L1801">
        <v>0</v>
      </c>
      <c r="M1801" s="7">
        <v>5.0930000000000003E-2</v>
      </c>
      <c r="N1801" s="7">
        <v>1</v>
      </c>
      <c r="O1801">
        <v>1</v>
      </c>
      <c r="P1801" t="s">
        <v>14</v>
      </c>
      <c r="Q1801">
        <v>6</v>
      </c>
      <c r="R1801" s="8">
        <f>(Tabela2[[#This Row],[FAF_atividade_fisica_frequente_em_horas]]+ 0.1)</f>
        <v>0.15093000000000001</v>
      </c>
      <c r="S1801" s="1">
        <f>(Tabela2[[#This Row],[TUE_tempo_uso_aparelhos_em_horas]]/Tabela2[[#This Row],[FAF_Var]])</f>
        <v>6.6255880209368581</v>
      </c>
      <c r="T1801">
        <f>(Tabela2[[#This Row],[CAEC_lanche_entre_refeicoes]]*Tabela2[[#This Row],[FAVC_consumo_frequente_de_alimentos_mt_caloricos]])</f>
        <v>1</v>
      </c>
      <c r="U1801" s="1">
        <f>IF(OR(Tabela2[[#This Row],[MTRANS]]="Walking",Tabela2[[#This Row],[MTRANS]]="Bike"),Tabela2[[#This Row],[FAF_atividade_fisica_frequente_em_horas]]+1,M1801)</f>
        <v>5.0930000000000003E-2</v>
      </c>
      <c r="V1801">
        <f>(Tabela2[[#This Row],[SMOKE]]+Tabela2[[#This Row],[CALC_bebe_alcool_frequentemente]])</f>
        <v>1</v>
      </c>
      <c r="W1801" s="8">
        <f>(Tabela2[[#This Row],[Weight]]/(Tabela2[[#This Row],[Height]] ^2))</f>
        <v>39.314863909858197</v>
      </c>
    </row>
    <row r="1802" spans="1:23" x14ac:dyDescent="0.25">
      <c r="A1802" t="s">
        <v>13</v>
      </c>
      <c r="B1802" s="7">
        <v>26</v>
      </c>
      <c r="C1802" s="4">
        <v>1.5847819999999999</v>
      </c>
      <c r="D1802" s="7">
        <v>105.05559700000001</v>
      </c>
      <c r="E1802">
        <v>1</v>
      </c>
      <c r="F1802">
        <v>1</v>
      </c>
      <c r="G1802" s="2">
        <v>3</v>
      </c>
      <c r="H1802" s="2">
        <v>3</v>
      </c>
      <c r="I1802">
        <v>1</v>
      </c>
      <c r="J1802">
        <v>0</v>
      </c>
      <c r="K1802" s="2">
        <v>1.197667</v>
      </c>
      <c r="L1802">
        <v>0</v>
      </c>
      <c r="M1802" s="7">
        <v>0</v>
      </c>
      <c r="N1802" s="7">
        <v>0.53476900000000005</v>
      </c>
      <c r="O1802">
        <v>1</v>
      </c>
      <c r="P1802" t="s">
        <v>14</v>
      </c>
      <c r="Q1802">
        <v>6</v>
      </c>
      <c r="R1802" s="8">
        <f>(Tabela2[[#This Row],[FAF_atividade_fisica_frequente_em_horas]]+ 0.1)</f>
        <v>0.1</v>
      </c>
      <c r="S1802" s="1">
        <f>(Tabela2[[#This Row],[TUE_tempo_uso_aparelhos_em_horas]]/Tabela2[[#This Row],[FAF_Var]])</f>
        <v>5.3476900000000001</v>
      </c>
      <c r="T1802">
        <f>(Tabela2[[#This Row],[CAEC_lanche_entre_refeicoes]]*Tabela2[[#This Row],[FAVC_consumo_frequente_de_alimentos_mt_caloricos]])</f>
        <v>1</v>
      </c>
      <c r="U1802" s="1">
        <f>IF(OR(Tabela2[[#This Row],[MTRANS]]="Walking",Tabela2[[#This Row],[MTRANS]]="Bike"),Tabela2[[#This Row],[FAF_atividade_fisica_frequente_em_horas]]+1,M1802)</f>
        <v>0</v>
      </c>
      <c r="V1802">
        <f>(Tabela2[[#This Row],[SMOKE]]+Tabela2[[#This Row],[CALC_bebe_alcool_frequentemente]])</f>
        <v>1</v>
      </c>
      <c r="W1802" s="8">
        <f>(Tabela2[[#This Row],[Weight]]/(Tabela2[[#This Row],[Height]] ^2))</f>
        <v>41.829255555314724</v>
      </c>
    </row>
    <row r="1803" spans="1:23" x14ac:dyDescent="0.25">
      <c r="A1803" t="s">
        <v>13</v>
      </c>
      <c r="B1803" s="7">
        <v>18.233540999999999</v>
      </c>
      <c r="C1803" s="4">
        <v>1.792378</v>
      </c>
      <c r="D1803" s="7">
        <v>137.859737</v>
      </c>
      <c r="E1803">
        <v>1</v>
      </c>
      <c r="F1803">
        <v>1</v>
      </c>
      <c r="G1803" s="2">
        <v>3</v>
      </c>
      <c r="H1803" s="2">
        <v>3</v>
      </c>
      <c r="I1803">
        <v>1</v>
      </c>
      <c r="J1803">
        <v>0</v>
      </c>
      <c r="K1803" s="2">
        <v>2.8388930000000001</v>
      </c>
      <c r="L1803">
        <v>0</v>
      </c>
      <c r="M1803" s="7">
        <v>1.9903169999999999</v>
      </c>
      <c r="N1803" s="7">
        <v>0.73586799999999997</v>
      </c>
      <c r="O1803">
        <v>1</v>
      </c>
      <c r="P1803" t="s">
        <v>14</v>
      </c>
      <c r="Q1803">
        <v>6</v>
      </c>
      <c r="R1803" s="8">
        <f>(Tabela2[[#This Row],[FAF_atividade_fisica_frequente_em_horas]]+ 0.1)</f>
        <v>2.0903169999999998</v>
      </c>
      <c r="S1803" s="1">
        <f>(Tabela2[[#This Row],[TUE_tempo_uso_aparelhos_em_horas]]/Tabela2[[#This Row],[FAF_Var]])</f>
        <v>0.35203655713463561</v>
      </c>
      <c r="T1803">
        <f>(Tabela2[[#This Row],[CAEC_lanche_entre_refeicoes]]*Tabela2[[#This Row],[FAVC_consumo_frequente_de_alimentos_mt_caloricos]])</f>
        <v>1</v>
      </c>
      <c r="U1803" s="1">
        <f>IF(OR(Tabela2[[#This Row],[MTRANS]]="Walking",Tabela2[[#This Row],[MTRANS]]="Bike"),Tabela2[[#This Row],[FAF_atividade_fisica_frequente_em_horas]]+1,M1803)</f>
        <v>1.9903169999999999</v>
      </c>
      <c r="V1803">
        <f>(Tabela2[[#This Row],[SMOKE]]+Tabela2[[#This Row],[CALC_bebe_alcool_frequentemente]])</f>
        <v>1</v>
      </c>
      <c r="W1803" s="8">
        <f>(Tabela2[[#This Row],[Weight]]/(Tabela2[[#This Row],[Height]] ^2))</f>
        <v>42.911948634659879</v>
      </c>
    </row>
    <row r="1804" spans="1:23" x14ac:dyDescent="0.25">
      <c r="A1804" t="s">
        <v>13</v>
      </c>
      <c r="B1804" s="7">
        <v>18.147704999999998</v>
      </c>
      <c r="C1804" s="4">
        <v>1.802257</v>
      </c>
      <c r="D1804" s="7">
        <v>149.93584799999999</v>
      </c>
      <c r="E1804">
        <v>1</v>
      </c>
      <c r="F1804">
        <v>1</v>
      </c>
      <c r="G1804" s="2">
        <v>3</v>
      </c>
      <c r="H1804" s="2">
        <v>3</v>
      </c>
      <c r="I1804">
        <v>1</v>
      </c>
      <c r="J1804">
        <v>0</v>
      </c>
      <c r="K1804" s="2">
        <v>2.1818110000000002</v>
      </c>
      <c r="L1804">
        <v>0</v>
      </c>
      <c r="M1804" s="7">
        <v>1.995582</v>
      </c>
      <c r="N1804" s="7">
        <v>0.93966499999999997</v>
      </c>
      <c r="O1804">
        <v>1</v>
      </c>
      <c r="P1804" t="s">
        <v>14</v>
      </c>
      <c r="Q1804">
        <v>6</v>
      </c>
      <c r="R1804" s="8">
        <f>(Tabela2[[#This Row],[FAF_atividade_fisica_frequente_em_horas]]+ 0.1)</f>
        <v>2.0955819999999998</v>
      </c>
      <c r="S1804" s="1">
        <f>(Tabela2[[#This Row],[TUE_tempo_uso_aparelhos_em_horas]]/Tabela2[[#This Row],[FAF_Var]])</f>
        <v>0.44840287805487927</v>
      </c>
      <c r="T1804">
        <f>(Tabela2[[#This Row],[CAEC_lanche_entre_refeicoes]]*Tabela2[[#This Row],[FAVC_consumo_frequente_de_alimentos_mt_caloricos]])</f>
        <v>1</v>
      </c>
      <c r="U1804" s="1">
        <f>IF(OR(Tabela2[[#This Row],[MTRANS]]="Walking",Tabela2[[#This Row],[MTRANS]]="Bike"),Tabela2[[#This Row],[FAF_atividade_fisica_frequente_em_horas]]+1,M1804)</f>
        <v>1.995582</v>
      </c>
      <c r="V1804">
        <f>(Tabela2[[#This Row],[SMOKE]]+Tabela2[[#This Row],[CALC_bebe_alcool_frequentemente]])</f>
        <v>1</v>
      </c>
      <c r="W1804" s="8">
        <f>(Tabela2[[#This Row],[Weight]]/(Tabela2[[#This Row],[Height]] ^2))</f>
        <v>46.160663035809279</v>
      </c>
    </row>
    <row r="1805" spans="1:23" x14ac:dyDescent="0.25">
      <c r="A1805" t="s">
        <v>13</v>
      </c>
      <c r="B1805" s="7">
        <v>26</v>
      </c>
      <c r="C1805" s="4">
        <v>1.65632</v>
      </c>
      <c r="D1805" s="7">
        <v>111.93301</v>
      </c>
      <c r="E1805">
        <v>1</v>
      </c>
      <c r="F1805">
        <v>1</v>
      </c>
      <c r="G1805" s="2">
        <v>3</v>
      </c>
      <c r="H1805" s="2">
        <v>3</v>
      </c>
      <c r="I1805">
        <v>1</v>
      </c>
      <c r="J1805">
        <v>0</v>
      </c>
      <c r="K1805" s="2">
        <v>2.7740140000000002</v>
      </c>
      <c r="L1805">
        <v>0</v>
      </c>
      <c r="M1805" s="7">
        <v>0</v>
      </c>
      <c r="N1805" s="7">
        <v>0.13841800000000001</v>
      </c>
      <c r="O1805">
        <v>1</v>
      </c>
      <c r="P1805" t="s">
        <v>14</v>
      </c>
      <c r="Q1805">
        <v>6</v>
      </c>
      <c r="R1805" s="8">
        <f>(Tabela2[[#This Row],[FAF_atividade_fisica_frequente_em_horas]]+ 0.1)</f>
        <v>0.1</v>
      </c>
      <c r="S1805" s="1">
        <f>(Tabela2[[#This Row],[TUE_tempo_uso_aparelhos_em_horas]]/Tabela2[[#This Row],[FAF_Var]])</f>
        <v>1.38418</v>
      </c>
      <c r="T1805">
        <f>(Tabela2[[#This Row],[CAEC_lanche_entre_refeicoes]]*Tabela2[[#This Row],[FAVC_consumo_frequente_de_alimentos_mt_caloricos]])</f>
        <v>1</v>
      </c>
      <c r="U1805" s="1">
        <f>IF(OR(Tabela2[[#This Row],[MTRANS]]="Walking",Tabela2[[#This Row],[MTRANS]]="Bike"),Tabela2[[#This Row],[FAF_atividade_fisica_frequente_em_horas]]+1,M1805)</f>
        <v>0</v>
      </c>
      <c r="V1805">
        <f>(Tabela2[[#This Row],[SMOKE]]+Tabela2[[#This Row],[CALC_bebe_alcool_frequentemente]])</f>
        <v>1</v>
      </c>
      <c r="W1805" s="8">
        <f>(Tabela2[[#This Row],[Weight]]/(Tabela2[[#This Row],[Height]] ^2))</f>
        <v>40.800895076806832</v>
      </c>
    </row>
    <row r="1806" spans="1:23" x14ac:dyDescent="0.25">
      <c r="A1806" t="s">
        <v>13</v>
      </c>
      <c r="B1806" s="7">
        <v>26</v>
      </c>
      <c r="C1806" s="4">
        <v>1.600762</v>
      </c>
      <c r="D1806" s="7">
        <v>105.44826399999999</v>
      </c>
      <c r="E1806">
        <v>1</v>
      </c>
      <c r="F1806">
        <v>1</v>
      </c>
      <c r="G1806" s="2">
        <v>3</v>
      </c>
      <c r="H1806" s="2">
        <v>3</v>
      </c>
      <c r="I1806">
        <v>1</v>
      </c>
      <c r="J1806">
        <v>0</v>
      </c>
      <c r="K1806" s="2">
        <v>1.0313540000000001</v>
      </c>
      <c r="L1806">
        <v>0</v>
      </c>
      <c r="M1806" s="7">
        <v>0</v>
      </c>
      <c r="N1806" s="7">
        <v>0.37464999999999998</v>
      </c>
      <c r="O1806">
        <v>1</v>
      </c>
      <c r="P1806" t="s">
        <v>14</v>
      </c>
      <c r="Q1806">
        <v>6</v>
      </c>
      <c r="R1806" s="8">
        <f>(Tabela2[[#This Row],[FAF_atividade_fisica_frequente_em_horas]]+ 0.1)</f>
        <v>0.1</v>
      </c>
      <c r="S1806" s="1">
        <f>(Tabela2[[#This Row],[TUE_tempo_uso_aparelhos_em_horas]]/Tabela2[[#This Row],[FAF_Var]])</f>
        <v>3.7464999999999997</v>
      </c>
      <c r="T1806">
        <f>(Tabela2[[#This Row],[CAEC_lanche_entre_refeicoes]]*Tabela2[[#This Row],[FAVC_consumo_frequente_de_alimentos_mt_caloricos]])</f>
        <v>1</v>
      </c>
      <c r="U1806" s="1">
        <f>IF(OR(Tabela2[[#This Row],[MTRANS]]="Walking",Tabela2[[#This Row],[MTRANS]]="Bike"),Tabela2[[#This Row],[FAF_atividade_fisica_frequente_em_horas]]+1,M1806)</f>
        <v>0</v>
      </c>
      <c r="V1806">
        <f>(Tabela2[[#This Row],[SMOKE]]+Tabela2[[#This Row],[CALC_bebe_alcool_frequentemente]])</f>
        <v>1</v>
      </c>
      <c r="W1806" s="8">
        <f>(Tabela2[[#This Row],[Weight]]/(Tabela2[[#This Row],[Height]] ^2))</f>
        <v>41.151521966582955</v>
      </c>
    </row>
    <row r="1807" spans="1:23" x14ac:dyDescent="0.25">
      <c r="A1807" t="s">
        <v>13</v>
      </c>
      <c r="B1807" s="7">
        <v>25.902283000000001</v>
      </c>
      <c r="C1807" s="4">
        <v>1.678658</v>
      </c>
      <c r="D1807" s="7">
        <v>104.95483400000001</v>
      </c>
      <c r="E1807">
        <v>1</v>
      </c>
      <c r="F1807">
        <v>1</v>
      </c>
      <c r="G1807" s="2">
        <v>3</v>
      </c>
      <c r="H1807" s="2">
        <v>3</v>
      </c>
      <c r="I1807">
        <v>1</v>
      </c>
      <c r="J1807">
        <v>0</v>
      </c>
      <c r="K1807" s="2">
        <v>1.6661600000000001</v>
      </c>
      <c r="L1807">
        <v>0</v>
      </c>
      <c r="M1807" s="7">
        <v>0.21035100000000001</v>
      </c>
      <c r="N1807" s="7">
        <v>0.73421000000000003</v>
      </c>
      <c r="O1807">
        <v>1</v>
      </c>
      <c r="P1807" t="s">
        <v>14</v>
      </c>
      <c r="Q1807">
        <v>6</v>
      </c>
      <c r="R1807" s="8">
        <f>(Tabela2[[#This Row],[FAF_atividade_fisica_frequente_em_horas]]+ 0.1)</f>
        <v>0.31035100000000004</v>
      </c>
      <c r="S1807" s="1">
        <f>(Tabela2[[#This Row],[TUE_tempo_uso_aparelhos_em_horas]]/Tabela2[[#This Row],[FAF_Var]])</f>
        <v>2.3657407258233416</v>
      </c>
      <c r="T1807">
        <f>(Tabela2[[#This Row],[CAEC_lanche_entre_refeicoes]]*Tabela2[[#This Row],[FAVC_consumo_frequente_de_alimentos_mt_caloricos]])</f>
        <v>1</v>
      </c>
      <c r="U1807" s="1">
        <f>IF(OR(Tabela2[[#This Row],[MTRANS]]="Walking",Tabela2[[#This Row],[MTRANS]]="Bike"),Tabela2[[#This Row],[FAF_atividade_fisica_frequente_em_horas]]+1,M1807)</f>
        <v>0.21035100000000001</v>
      </c>
      <c r="V1807">
        <f>(Tabela2[[#This Row],[SMOKE]]+Tabela2[[#This Row],[CALC_bebe_alcool_frequentemente]])</f>
        <v>1</v>
      </c>
      <c r="W1807" s="8">
        <f>(Tabela2[[#This Row],[Weight]]/(Tabela2[[#This Row],[Height]] ^2))</f>
        <v>37.245859187261523</v>
      </c>
    </row>
    <row r="1808" spans="1:23" x14ac:dyDescent="0.25">
      <c r="A1808" t="s">
        <v>13</v>
      </c>
      <c r="B1808" s="7">
        <v>25.540865</v>
      </c>
      <c r="C1808" s="4">
        <v>1.6782010000000001</v>
      </c>
      <c r="D1808" s="7">
        <v>109.90047199999999</v>
      </c>
      <c r="E1808">
        <v>1</v>
      </c>
      <c r="F1808">
        <v>1</v>
      </c>
      <c r="G1808" s="2">
        <v>3</v>
      </c>
      <c r="H1808" s="2">
        <v>3</v>
      </c>
      <c r="I1808">
        <v>1</v>
      </c>
      <c r="J1808">
        <v>0</v>
      </c>
      <c r="K1808" s="2">
        <v>1.4716640000000001</v>
      </c>
      <c r="L1808">
        <v>0</v>
      </c>
      <c r="M1808" s="7">
        <v>0.143955</v>
      </c>
      <c r="N1808" s="7">
        <v>0.44453199999999998</v>
      </c>
      <c r="O1808">
        <v>1</v>
      </c>
      <c r="P1808" t="s">
        <v>14</v>
      </c>
      <c r="Q1808">
        <v>6</v>
      </c>
      <c r="R1808" s="8">
        <f>(Tabela2[[#This Row],[FAF_atividade_fisica_frequente_em_horas]]+ 0.1)</f>
        <v>0.24395500000000001</v>
      </c>
      <c r="S1808" s="1">
        <f>(Tabela2[[#This Row],[TUE_tempo_uso_aparelhos_em_horas]]/Tabela2[[#This Row],[FAF_Var]])</f>
        <v>1.8221885183742903</v>
      </c>
      <c r="T1808">
        <f>(Tabela2[[#This Row],[CAEC_lanche_entre_refeicoes]]*Tabela2[[#This Row],[FAVC_consumo_frequente_de_alimentos_mt_caloricos]])</f>
        <v>1</v>
      </c>
      <c r="U1808" s="1">
        <f>IF(OR(Tabela2[[#This Row],[MTRANS]]="Walking",Tabela2[[#This Row],[MTRANS]]="Bike"),Tabela2[[#This Row],[FAF_atividade_fisica_frequente_em_horas]]+1,M1808)</f>
        <v>0.143955</v>
      </c>
      <c r="V1808">
        <f>(Tabela2[[#This Row],[SMOKE]]+Tabela2[[#This Row],[CALC_bebe_alcool_frequentemente]])</f>
        <v>1</v>
      </c>
      <c r="W1808" s="8">
        <f>(Tabela2[[#This Row],[Weight]]/(Tabela2[[#This Row],[Height]] ^2))</f>
        <v>39.022187068237983</v>
      </c>
    </row>
    <row r="1809" spans="1:23" x14ac:dyDescent="0.25">
      <c r="A1809" t="s">
        <v>13</v>
      </c>
      <c r="B1809" s="7">
        <v>22.392510000000001</v>
      </c>
      <c r="C1809" s="4">
        <v>1.6556299999999999</v>
      </c>
      <c r="D1809" s="7">
        <v>121.20517100000001</v>
      </c>
      <c r="E1809">
        <v>1</v>
      </c>
      <c r="F1809">
        <v>1</v>
      </c>
      <c r="G1809" s="2">
        <v>3</v>
      </c>
      <c r="H1809" s="2">
        <v>3</v>
      </c>
      <c r="I1809">
        <v>1</v>
      </c>
      <c r="J1809">
        <v>0</v>
      </c>
      <c r="K1809" s="2">
        <v>1.347559</v>
      </c>
      <c r="L1809">
        <v>0</v>
      </c>
      <c r="M1809" s="7">
        <v>0.462951</v>
      </c>
      <c r="N1809" s="7">
        <v>0.31794</v>
      </c>
      <c r="O1809">
        <v>1</v>
      </c>
      <c r="P1809" t="s">
        <v>14</v>
      </c>
      <c r="Q1809">
        <v>6</v>
      </c>
      <c r="R1809" s="8">
        <f>(Tabela2[[#This Row],[FAF_atividade_fisica_frequente_em_horas]]+ 0.1)</f>
        <v>0.56295099999999998</v>
      </c>
      <c r="S1809" s="1">
        <f>(Tabela2[[#This Row],[TUE_tempo_uso_aparelhos_em_horas]]/Tabela2[[#This Row],[FAF_Var]])</f>
        <v>0.5647738435494386</v>
      </c>
      <c r="T1809">
        <f>(Tabela2[[#This Row],[CAEC_lanche_entre_refeicoes]]*Tabela2[[#This Row],[FAVC_consumo_frequente_de_alimentos_mt_caloricos]])</f>
        <v>1</v>
      </c>
      <c r="U1809" s="1">
        <f>IF(OR(Tabela2[[#This Row],[MTRANS]]="Walking",Tabela2[[#This Row],[MTRANS]]="Bike"),Tabela2[[#This Row],[FAF_atividade_fisica_frequente_em_horas]]+1,M1809)</f>
        <v>0.462951</v>
      </c>
      <c r="V1809">
        <f>(Tabela2[[#This Row],[SMOKE]]+Tabela2[[#This Row],[CALC_bebe_alcool_frequentemente]])</f>
        <v>1</v>
      </c>
      <c r="W1809" s="8">
        <f>(Tabela2[[#This Row],[Weight]]/(Tabela2[[#This Row],[Height]] ^2))</f>
        <v>44.217539677282787</v>
      </c>
    </row>
    <row r="1810" spans="1:23" x14ac:dyDescent="0.25">
      <c r="A1810" t="s">
        <v>13</v>
      </c>
      <c r="B1810" s="7">
        <v>21.305402000000001</v>
      </c>
      <c r="C1810" s="4">
        <v>1.694952</v>
      </c>
      <c r="D1810" s="7">
        <v>133.76472999999999</v>
      </c>
      <c r="E1810">
        <v>1</v>
      </c>
      <c r="F1810">
        <v>1</v>
      </c>
      <c r="G1810" s="2">
        <v>3</v>
      </c>
      <c r="H1810" s="2">
        <v>3</v>
      </c>
      <c r="I1810">
        <v>1</v>
      </c>
      <c r="J1810">
        <v>0</v>
      </c>
      <c r="K1810" s="2">
        <v>1.338241</v>
      </c>
      <c r="L1810">
        <v>0</v>
      </c>
      <c r="M1810" s="7">
        <v>1.92628</v>
      </c>
      <c r="N1810" s="7">
        <v>0.88613500000000001</v>
      </c>
      <c r="O1810">
        <v>1</v>
      </c>
      <c r="P1810" t="s">
        <v>14</v>
      </c>
      <c r="Q1810">
        <v>6</v>
      </c>
      <c r="R1810" s="8">
        <f>(Tabela2[[#This Row],[FAF_atividade_fisica_frequente_em_horas]]+ 0.1)</f>
        <v>2.0262799999999999</v>
      </c>
      <c r="S1810" s="1">
        <f>(Tabela2[[#This Row],[TUE_tempo_uso_aparelhos_em_horas]]/Tabela2[[#This Row],[FAF_Var]])</f>
        <v>0.43732110073632474</v>
      </c>
      <c r="T1810">
        <f>(Tabela2[[#This Row],[CAEC_lanche_entre_refeicoes]]*Tabela2[[#This Row],[FAVC_consumo_frequente_de_alimentos_mt_caloricos]])</f>
        <v>1</v>
      </c>
      <c r="U1810" s="1">
        <f>IF(OR(Tabela2[[#This Row],[MTRANS]]="Walking",Tabela2[[#This Row],[MTRANS]]="Bike"),Tabela2[[#This Row],[FAF_atividade_fisica_frequente_em_horas]]+1,M1810)</f>
        <v>1.92628</v>
      </c>
      <c r="V1810">
        <f>(Tabela2[[#This Row],[SMOKE]]+Tabela2[[#This Row],[CALC_bebe_alcool_frequentemente]])</f>
        <v>1</v>
      </c>
      <c r="W1810" s="8">
        <f>(Tabela2[[#This Row],[Weight]]/(Tabela2[[#This Row],[Height]] ^2))</f>
        <v>46.561483585186799</v>
      </c>
    </row>
    <row r="1811" spans="1:23" x14ac:dyDescent="0.25">
      <c r="A1811" t="s">
        <v>13</v>
      </c>
      <c r="B1811" s="7">
        <v>26</v>
      </c>
      <c r="C1811" s="4">
        <v>1.622771</v>
      </c>
      <c r="D1811" s="7">
        <v>109.95971400000001</v>
      </c>
      <c r="E1811">
        <v>1</v>
      </c>
      <c r="F1811">
        <v>1</v>
      </c>
      <c r="G1811" s="2">
        <v>3</v>
      </c>
      <c r="H1811" s="2">
        <v>3</v>
      </c>
      <c r="I1811">
        <v>1</v>
      </c>
      <c r="J1811">
        <v>0</v>
      </c>
      <c r="K1811" s="2">
        <v>2.6791369999999999</v>
      </c>
      <c r="L1811">
        <v>0</v>
      </c>
      <c r="M1811" s="7">
        <v>0</v>
      </c>
      <c r="N1811" s="7">
        <v>0.479348</v>
      </c>
      <c r="O1811">
        <v>1</v>
      </c>
      <c r="P1811" t="s">
        <v>14</v>
      </c>
      <c r="Q1811">
        <v>6</v>
      </c>
      <c r="R1811" s="8">
        <f>(Tabela2[[#This Row],[FAF_atividade_fisica_frequente_em_horas]]+ 0.1)</f>
        <v>0.1</v>
      </c>
      <c r="S1811" s="1">
        <f>(Tabela2[[#This Row],[TUE_tempo_uso_aparelhos_em_horas]]/Tabela2[[#This Row],[FAF_Var]])</f>
        <v>4.7934799999999997</v>
      </c>
      <c r="T1811">
        <f>(Tabela2[[#This Row],[CAEC_lanche_entre_refeicoes]]*Tabela2[[#This Row],[FAVC_consumo_frequente_de_alimentos_mt_caloricos]])</f>
        <v>1</v>
      </c>
      <c r="U1811" s="1">
        <f>IF(OR(Tabela2[[#This Row],[MTRANS]]="Walking",Tabela2[[#This Row],[MTRANS]]="Bike"),Tabela2[[#This Row],[FAF_atividade_fisica_frequente_em_horas]]+1,M1811)</f>
        <v>0</v>
      </c>
      <c r="V1811">
        <f>(Tabela2[[#This Row],[SMOKE]]+Tabela2[[#This Row],[CALC_bebe_alcool_frequentemente]])</f>
        <v>1</v>
      </c>
      <c r="W1811" s="8">
        <f>(Tabela2[[#This Row],[Weight]]/(Tabela2[[#This Row],[Height]] ^2))</f>
        <v>41.756022761867811</v>
      </c>
    </row>
    <row r="1812" spans="1:23" x14ac:dyDescent="0.25">
      <c r="A1812" t="s">
        <v>13</v>
      </c>
      <c r="B1812" s="7">
        <v>26</v>
      </c>
      <c r="C1812" s="4">
        <v>1.5838890000000001</v>
      </c>
      <c r="D1812" s="7">
        <v>110.545378</v>
      </c>
      <c r="E1812">
        <v>1</v>
      </c>
      <c r="F1812">
        <v>1</v>
      </c>
      <c r="G1812" s="2">
        <v>3</v>
      </c>
      <c r="H1812" s="2">
        <v>3</v>
      </c>
      <c r="I1812">
        <v>1</v>
      </c>
      <c r="J1812">
        <v>0</v>
      </c>
      <c r="K1812" s="2">
        <v>2.5782919999999998</v>
      </c>
      <c r="L1812">
        <v>0</v>
      </c>
      <c r="M1812" s="7">
        <v>0</v>
      </c>
      <c r="N1812" s="7">
        <v>0.492394</v>
      </c>
      <c r="O1812">
        <v>1</v>
      </c>
      <c r="P1812" t="s">
        <v>14</v>
      </c>
      <c r="Q1812">
        <v>6</v>
      </c>
      <c r="R1812" s="8">
        <f>(Tabela2[[#This Row],[FAF_atividade_fisica_frequente_em_horas]]+ 0.1)</f>
        <v>0.1</v>
      </c>
      <c r="S1812" s="1">
        <f>(Tabela2[[#This Row],[TUE_tempo_uso_aparelhos_em_horas]]/Tabela2[[#This Row],[FAF_Var]])</f>
        <v>4.92394</v>
      </c>
      <c r="T1812">
        <f>(Tabela2[[#This Row],[CAEC_lanche_entre_refeicoes]]*Tabela2[[#This Row],[FAVC_consumo_frequente_de_alimentos_mt_caloricos]])</f>
        <v>1</v>
      </c>
      <c r="U1812" s="1">
        <f>IF(OR(Tabela2[[#This Row],[MTRANS]]="Walking",Tabela2[[#This Row],[MTRANS]]="Bike"),Tabela2[[#This Row],[FAF_atividade_fisica_frequente_em_horas]]+1,M1812)</f>
        <v>0</v>
      </c>
      <c r="V1812">
        <f>(Tabela2[[#This Row],[SMOKE]]+Tabela2[[#This Row],[CALC_bebe_alcool_frequentemente]])</f>
        <v>1</v>
      </c>
      <c r="W1812" s="8">
        <f>(Tabela2[[#This Row],[Weight]]/(Tabela2[[#This Row],[Height]] ^2))</f>
        <v>44.064729017968581</v>
      </c>
    </row>
    <row r="1813" spans="1:23" x14ac:dyDescent="0.25">
      <c r="A1813" t="s">
        <v>13</v>
      </c>
      <c r="B1813" s="7">
        <v>21.334585000000001</v>
      </c>
      <c r="C1813" s="4">
        <v>1.7290449999999999</v>
      </c>
      <c r="D1813" s="7">
        <v>131.529267</v>
      </c>
      <c r="E1813">
        <v>1</v>
      </c>
      <c r="F1813">
        <v>1</v>
      </c>
      <c r="G1813" s="2">
        <v>3</v>
      </c>
      <c r="H1813" s="2">
        <v>3</v>
      </c>
      <c r="I1813">
        <v>1</v>
      </c>
      <c r="J1813">
        <v>0</v>
      </c>
      <c r="K1813" s="2">
        <v>1.3021929999999999</v>
      </c>
      <c r="L1813">
        <v>0</v>
      </c>
      <c r="M1813" s="7">
        <v>1.742453</v>
      </c>
      <c r="N1813" s="7">
        <v>0.94232000000000005</v>
      </c>
      <c r="O1813">
        <v>1</v>
      </c>
      <c r="P1813" t="s">
        <v>14</v>
      </c>
      <c r="Q1813">
        <v>6</v>
      </c>
      <c r="R1813" s="8">
        <f>(Tabela2[[#This Row],[FAF_atividade_fisica_frequente_em_horas]]+ 0.1)</f>
        <v>1.8424530000000001</v>
      </c>
      <c r="S1813" s="1">
        <f>(Tabela2[[#This Row],[TUE_tempo_uso_aparelhos_em_horas]]/Tabela2[[#This Row],[FAF_Var]])</f>
        <v>0.51144859597503978</v>
      </c>
      <c r="T1813">
        <f>(Tabela2[[#This Row],[CAEC_lanche_entre_refeicoes]]*Tabela2[[#This Row],[FAVC_consumo_frequente_de_alimentos_mt_caloricos]])</f>
        <v>1</v>
      </c>
      <c r="U1813" s="1">
        <f>IF(OR(Tabela2[[#This Row],[MTRANS]]="Walking",Tabela2[[#This Row],[MTRANS]]="Bike"),Tabela2[[#This Row],[FAF_atividade_fisica_frequente_em_horas]]+1,M1813)</f>
        <v>1.742453</v>
      </c>
      <c r="V1813">
        <f>(Tabela2[[#This Row],[SMOKE]]+Tabela2[[#This Row],[CALC_bebe_alcool_frequentemente]])</f>
        <v>1</v>
      </c>
      <c r="W1813" s="8">
        <f>(Tabela2[[#This Row],[Weight]]/(Tabela2[[#This Row],[Height]] ^2))</f>
        <v>43.995656962866576</v>
      </c>
    </row>
    <row r="1814" spans="1:23" x14ac:dyDescent="0.25">
      <c r="A1814" t="s">
        <v>13</v>
      </c>
      <c r="B1814" s="7">
        <v>22.978655</v>
      </c>
      <c r="C1814" s="4">
        <v>1.664622</v>
      </c>
      <c r="D1814" s="7">
        <v>114.465425</v>
      </c>
      <c r="E1814">
        <v>1</v>
      </c>
      <c r="F1814">
        <v>1</v>
      </c>
      <c r="G1814" s="2">
        <v>3</v>
      </c>
      <c r="H1814" s="2">
        <v>3</v>
      </c>
      <c r="I1814">
        <v>1</v>
      </c>
      <c r="J1814">
        <v>0</v>
      </c>
      <c r="K1814" s="2">
        <v>2.408442</v>
      </c>
      <c r="L1814">
        <v>0</v>
      </c>
      <c r="M1814" s="7">
        <v>0.19405600000000001</v>
      </c>
      <c r="N1814" s="7">
        <v>0.80314099999999999</v>
      </c>
      <c r="O1814">
        <v>1</v>
      </c>
      <c r="P1814" t="s">
        <v>14</v>
      </c>
      <c r="Q1814">
        <v>6</v>
      </c>
      <c r="R1814" s="8">
        <f>(Tabela2[[#This Row],[FAF_atividade_fisica_frequente_em_horas]]+ 0.1)</f>
        <v>0.29405599999999998</v>
      </c>
      <c r="S1814" s="1">
        <f>(Tabela2[[#This Row],[TUE_tempo_uso_aparelhos_em_horas]]/Tabela2[[#This Row],[FAF_Var]])</f>
        <v>2.7312518703920343</v>
      </c>
      <c r="T1814">
        <f>(Tabela2[[#This Row],[CAEC_lanche_entre_refeicoes]]*Tabela2[[#This Row],[FAVC_consumo_frequente_de_alimentos_mt_caloricos]])</f>
        <v>1</v>
      </c>
      <c r="U1814" s="1">
        <f>IF(OR(Tabela2[[#This Row],[MTRANS]]="Walking",Tabela2[[#This Row],[MTRANS]]="Bike"),Tabela2[[#This Row],[FAF_atividade_fisica_frequente_em_horas]]+1,M1814)</f>
        <v>0.19405600000000001</v>
      </c>
      <c r="V1814">
        <f>(Tabela2[[#This Row],[SMOKE]]+Tabela2[[#This Row],[CALC_bebe_alcool_frequentemente]])</f>
        <v>1</v>
      </c>
      <c r="W1814" s="8">
        <f>(Tabela2[[#This Row],[Weight]]/(Tabela2[[#This Row],[Height]] ^2))</f>
        <v>41.308846213676674</v>
      </c>
    </row>
    <row r="1815" spans="1:23" x14ac:dyDescent="0.25">
      <c r="A1815" t="s">
        <v>13</v>
      </c>
      <c r="B1815" s="7">
        <v>21.012450000000001</v>
      </c>
      <c r="C1815" s="4">
        <v>1.747773</v>
      </c>
      <c r="D1815" s="7">
        <v>127.902844</v>
      </c>
      <c r="E1815">
        <v>1</v>
      </c>
      <c r="F1815">
        <v>1</v>
      </c>
      <c r="G1815" s="2">
        <v>3</v>
      </c>
      <c r="H1815" s="2">
        <v>3</v>
      </c>
      <c r="I1815">
        <v>1</v>
      </c>
      <c r="J1815">
        <v>0</v>
      </c>
      <c r="K1815" s="2">
        <v>1.7052179999999999</v>
      </c>
      <c r="L1815">
        <v>0</v>
      </c>
      <c r="M1815" s="7">
        <v>0.39093699999999998</v>
      </c>
      <c r="N1815" s="7">
        <v>0.99864600000000003</v>
      </c>
      <c r="O1815">
        <v>1</v>
      </c>
      <c r="P1815" t="s">
        <v>14</v>
      </c>
      <c r="Q1815">
        <v>6</v>
      </c>
      <c r="R1815" s="8">
        <f>(Tabela2[[#This Row],[FAF_atividade_fisica_frequente_em_horas]]+ 0.1)</f>
        <v>0.49093699999999996</v>
      </c>
      <c r="S1815" s="1">
        <f>(Tabela2[[#This Row],[TUE_tempo_uso_aparelhos_em_horas]]/Tabela2[[#This Row],[FAF_Var]])</f>
        <v>2.0341632429415588</v>
      </c>
      <c r="T1815">
        <f>(Tabela2[[#This Row],[CAEC_lanche_entre_refeicoes]]*Tabela2[[#This Row],[FAVC_consumo_frequente_de_alimentos_mt_caloricos]])</f>
        <v>1</v>
      </c>
      <c r="U1815" s="1">
        <f>IF(OR(Tabela2[[#This Row],[MTRANS]]="Walking",Tabela2[[#This Row],[MTRANS]]="Bike"),Tabela2[[#This Row],[FAF_atividade_fisica_frequente_em_horas]]+1,M1815)</f>
        <v>0.39093699999999998</v>
      </c>
      <c r="V1815">
        <f>(Tabela2[[#This Row],[SMOKE]]+Tabela2[[#This Row],[CALC_bebe_alcool_frequentemente]])</f>
        <v>1</v>
      </c>
      <c r="W1815" s="8">
        <f>(Tabela2[[#This Row],[Weight]]/(Tabela2[[#This Row],[Height]] ^2))</f>
        <v>41.870693047524078</v>
      </c>
    </row>
    <row r="1816" spans="1:23" x14ac:dyDescent="0.25">
      <c r="A1816" t="s">
        <v>13</v>
      </c>
      <c r="B1816" s="7">
        <v>21.056059000000001</v>
      </c>
      <c r="C1816" s="4">
        <v>1.730113</v>
      </c>
      <c r="D1816" s="7">
        <v>152.09436199999999</v>
      </c>
      <c r="E1816">
        <v>1</v>
      </c>
      <c r="F1816">
        <v>1</v>
      </c>
      <c r="G1816" s="2">
        <v>3</v>
      </c>
      <c r="H1816" s="2">
        <v>3</v>
      </c>
      <c r="I1816">
        <v>1</v>
      </c>
      <c r="J1816">
        <v>0</v>
      </c>
      <c r="K1816" s="2">
        <v>2.3749579999999999</v>
      </c>
      <c r="L1816">
        <v>0</v>
      </c>
      <c r="M1816" s="7">
        <v>0.75011099999999997</v>
      </c>
      <c r="N1816" s="7">
        <v>0.671458</v>
      </c>
      <c r="O1816">
        <v>1</v>
      </c>
      <c r="P1816" t="s">
        <v>14</v>
      </c>
      <c r="Q1816">
        <v>6</v>
      </c>
      <c r="R1816" s="8">
        <f>(Tabela2[[#This Row],[FAF_atividade_fisica_frequente_em_horas]]+ 0.1)</f>
        <v>0.85011099999999995</v>
      </c>
      <c r="S1816" s="1">
        <f>(Tabela2[[#This Row],[TUE_tempo_uso_aparelhos_em_horas]]/Tabela2[[#This Row],[FAF_Var]])</f>
        <v>0.78984744345150226</v>
      </c>
      <c r="T1816">
        <f>(Tabela2[[#This Row],[CAEC_lanche_entre_refeicoes]]*Tabela2[[#This Row],[FAVC_consumo_frequente_de_alimentos_mt_caloricos]])</f>
        <v>1</v>
      </c>
      <c r="U1816" s="1">
        <f>IF(OR(Tabela2[[#This Row],[MTRANS]]="Walking",Tabela2[[#This Row],[MTRANS]]="Bike"),Tabela2[[#This Row],[FAF_atividade_fisica_frequente_em_horas]]+1,M1816)</f>
        <v>0.75011099999999997</v>
      </c>
      <c r="V1816">
        <f>(Tabela2[[#This Row],[SMOKE]]+Tabela2[[#This Row],[CALC_bebe_alcool_frequentemente]])</f>
        <v>1</v>
      </c>
      <c r="W1816" s="8">
        <f>(Tabela2[[#This Row],[Weight]]/(Tabela2[[#This Row],[Height]] ^2))</f>
        <v>50.811752805664327</v>
      </c>
    </row>
    <row r="1817" spans="1:23" x14ac:dyDescent="0.25">
      <c r="A1817" t="s">
        <v>13</v>
      </c>
      <c r="B1817" s="7">
        <v>18.771000999999998</v>
      </c>
      <c r="C1817" s="4">
        <v>1.7466520000000001</v>
      </c>
      <c r="D1817" s="7">
        <v>133.800129</v>
      </c>
      <c r="E1817">
        <v>1</v>
      </c>
      <c r="F1817">
        <v>1</v>
      </c>
      <c r="G1817" s="2">
        <v>3</v>
      </c>
      <c r="H1817" s="2">
        <v>3</v>
      </c>
      <c r="I1817">
        <v>1</v>
      </c>
      <c r="J1817">
        <v>0</v>
      </c>
      <c r="K1817" s="2">
        <v>2.8692340000000001</v>
      </c>
      <c r="L1817">
        <v>0</v>
      </c>
      <c r="M1817" s="7">
        <v>1.4659310000000001</v>
      </c>
      <c r="N1817" s="7">
        <v>0.62788600000000006</v>
      </c>
      <c r="O1817">
        <v>1</v>
      </c>
      <c r="P1817" t="s">
        <v>14</v>
      </c>
      <c r="Q1817">
        <v>6</v>
      </c>
      <c r="R1817" s="8">
        <f>(Tabela2[[#This Row],[FAF_atividade_fisica_frequente_em_horas]]+ 0.1)</f>
        <v>1.5659310000000002</v>
      </c>
      <c r="S1817" s="1">
        <f>(Tabela2[[#This Row],[TUE_tempo_uso_aparelhos_em_horas]]/Tabela2[[#This Row],[FAF_Var]])</f>
        <v>0.40096658154158771</v>
      </c>
      <c r="T1817">
        <f>(Tabela2[[#This Row],[CAEC_lanche_entre_refeicoes]]*Tabela2[[#This Row],[FAVC_consumo_frequente_de_alimentos_mt_caloricos]])</f>
        <v>1</v>
      </c>
      <c r="U1817" s="1">
        <f>IF(OR(Tabela2[[#This Row],[MTRANS]]="Walking",Tabela2[[#This Row],[MTRANS]]="Bike"),Tabela2[[#This Row],[FAF_atividade_fisica_frequente_em_horas]]+1,M1817)</f>
        <v>1.4659310000000001</v>
      </c>
      <c r="V1817">
        <f>(Tabela2[[#This Row],[SMOKE]]+Tabela2[[#This Row],[CALC_bebe_alcool_frequentemente]])</f>
        <v>1</v>
      </c>
      <c r="W1817" s="8">
        <f>(Tabela2[[#This Row],[Weight]]/(Tabela2[[#This Row],[Height]] ^2))</f>
        <v>43.857488800198389</v>
      </c>
    </row>
    <row r="1818" spans="1:23" x14ac:dyDescent="0.25">
      <c r="A1818" t="s">
        <v>13</v>
      </c>
      <c r="B1818" s="7">
        <v>24.265943</v>
      </c>
      <c r="C1818" s="4">
        <v>1.719365</v>
      </c>
      <c r="D1818" s="7">
        <v>114.511537</v>
      </c>
      <c r="E1818">
        <v>1</v>
      </c>
      <c r="F1818">
        <v>1</v>
      </c>
      <c r="G1818" s="2">
        <v>3</v>
      </c>
      <c r="H1818" s="2">
        <v>3</v>
      </c>
      <c r="I1818">
        <v>1</v>
      </c>
      <c r="J1818">
        <v>0</v>
      </c>
      <c r="K1818" s="2">
        <v>2.987406</v>
      </c>
      <c r="L1818">
        <v>0</v>
      </c>
      <c r="M1818" s="7">
        <v>0.38925999999999999</v>
      </c>
      <c r="N1818" s="7">
        <v>0.52677600000000002</v>
      </c>
      <c r="O1818">
        <v>1</v>
      </c>
      <c r="P1818" t="s">
        <v>14</v>
      </c>
      <c r="Q1818">
        <v>6</v>
      </c>
      <c r="R1818" s="8">
        <f>(Tabela2[[#This Row],[FAF_atividade_fisica_frequente_em_horas]]+ 0.1)</f>
        <v>0.48926000000000003</v>
      </c>
      <c r="S1818" s="1">
        <f>(Tabela2[[#This Row],[TUE_tempo_uso_aparelhos_em_horas]]/Tabela2[[#This Row],[FAF_Var]])</f>
        <v>1.0766790663450925</v>
      </c>
      <c r="T1818">
        <f>(Tabela2[[#This Row],[CAEC_lanche_entre_refeicoes]]*Tabela2[[#This Row],[FAVC_consumo_frequente_de_alimentos_mt_caloricos]])</f>
        <v>1</v>
      </c>
      <c r="U1818" s="1">
        <f>IF(OR(Tabela2[[#This Row],[MTRANS]]="Walking",Tabela2[[#This Row],[MTRANS]]="Bike"),Tabela2[[#This Row],[FAF_atividade_fisica_frequente_em_horas]]+1,M1818)</f>
        <v>0.38925999999999999</v>
      </c>
      <c r="V1818">
        <f>(Tabela2[[#This Row],[SMOKE]]+Tabela2[[#This Row],[CALC_bebe_alcool_frequentemente]])</f>
        <v>1</v>
      </c>
      <c r="W1818" s="8">
        <f>(Tabela2[[#This Row],[Weight]]/(Tabela2[[#This Row],[Height]] ^2))</f>
        <v>38.735849097317953</v>
      </c>
    </row>
    <row r="1819" spans="1:23" x14ac:dyDescent="0.25">
      <c r="A1819" t="s">
        <v>13</v>
      </c>
      <c r="B1819" s="7">
        <v>26</v>
      </c>
      <c r="C1819" s="4">
        <v>1.632377</v>
      </c>
      <c r="D1819" s="7">
        <v>111.94665500000001</v>
      </c>
      <c r="E1819">
        <v>1</v>
      </c>
      <c r="F1819">
        <v>1</v>
      </c>
      <c r="G1819" s="2">
        <v>3</v>
      </c>
      <c r="H1819" s="2">
        <v>3</v>
      </c>
      <c r="I1819">
        <v>1</v>
      </c>
      <c r="J1819">
        <v>0</v>
      </c>
      <c r="K1819" s="2">
        <v>2.7370909999999999</v>
      </c>
      <c r="L1819">
        <v>0</v>
      </c>
      <c r="M1819" s="7">
        <v>0</v>
      </c>
      <c r="N1819" s="7">
        <v>3.7078E-2</v>
      </c>
      <c r="O1819">
        <v>1</v>
      </c>
      <c r="P1819" t="s">
        <v>14</v>
      </c>
      <c r="Q1819">
        <v>6</v>
      </c>
      <c r="R1819" s="8">
        <f>(Tabela2[[#This Row],[FAF_atividade_fisica_frequente_em_horas]]+ 0.1)</f>
        <v>0.1</v>
      </c>
      <c r="S1819" s="1">
        <f>(Tabela2[[#This Row],[TUE_tempo_uso_aparelhos_em_horas]]/Tabela2[[#This Row],[FAF_Var]])</f>
        <v>0.37078</v>
      </c>
      <c r="T1819">
        <f>(Tabela2[[#This Row],[CAEC_lanche_entre_refeicoes]]*Tabela2[[#This Row],[FAVC_consumo_frequente_de_alimentos_mt_caloricos]])</f>
        <v>1</v>
      </c>
      <c r="U1819" s="1">
        <f>IF(OR(Tabela2[[#This Row],[MTRANS]]="Walking",Tabela2[[#This Row],[MTRANS]]="Bike"),Tabela2[[#This Row],[FAF_atividade_fisica_frequente_em_horas]]+1,M1819)</f>
        <v>0</v>
      </c>
      <c r="V1819">
        <f>(Tabela2[[#This Row],[SMOKE]]+Tabela2[[#This Row],[CALC_bebe_alcool_frequentemente]])</f>
        <v>1</v>
      </c>
      <c r="W1819" s="8">
        <f>(Tabela2[[#This Row],[Weight]]/(Tabela2[[#This Row],[Height]] ^2))</f>
        <v>42.011693393118179</v>
      </c>
    </row>
    <row r="1820" spans="1:23" x14ac:dyDescent="0.25">
      <c r="A1820" t="s">
        <v>13</v>
      </c>
      <c r="B1820" s="7">
        <v>26</v>
      </c>
      <c r="C1820" s="4">
        <v>1.6425719999999999</v>
      </c>
      <c r="D1820" s="7">
        <v>111.86816899999999</v>
      </c>
      <c r="E1820">
        <v>1</v>
      </c>
      <c r="F1820">
        <v>1</v>
      </c>
      <c r="G1820" s="2">
        <v>3</v>
      </c>
      <c r="H1820" s="2">
        <v>3</v>
      </c>
      <c r="I1820">
        <v>1</v>
      </c>
      <c r="J1820">
        <v>0</v>
      </c>
      <c r="K1820" s="2">
        <v>2.6234890000000002</v>
      </c>
      <c r="L1820">
        <v>0</v>
      </c>
      <c r="M1820" s="7">
        <v>0</v>
      </c>
      <c r="N1820" s="7">
        <v>0.13856299999999999</v>
      </c>
      <c r="O1820">
        <v>1</v>
      </c>
      <c r="P1820" t="s">
        <v>14</v>
      </c>
      <c r="Q1820">
        <v>6</v>
      </c>
      <c r="R1820" s="8">
        <f>(Tabela2[[#This Row],[FAF_atividade_fisica_frequente_em_horas]]+ 0.1)</f>
        <v>0.1</v>
      </c>
      <c r="S1820" s="1">
        <f>(Tabela2[[#This Row],[TUE_tempo_uso_aparelhos_em_horas]]/Tabela2[[#This Row],[FAF_Var]])</f>
        <v>1.3856299999999999</v>
      </c>
      <c r="T1820">
        <f>(Tabela2[[#This Row],[CAEC_lanche_entre_refeicoes]]*Tabela2[[#This Row],[FAVC_consumo_frequente_de_alimentos_mt_caloricos]])</f>
        <v>1</v>
      </c>
      <c r="U1820" s="1">
        <f>IF(OR(Tabela2[[#This Row],[MTRANS]]="Walking",Tabela2[[#This Row],[MTRANS]]="Bike"),Tabela2[[#This Row],[FAF_atividade_fisica_frequente_em_horas]]+1,M1820)</f>
        <v>0</v>
      </c>
      <c r="V1820">
        <f>(Tabela2[[#This Row],[SMOKE]]+Tabela2[[#This Row],[CALC_bebe_alcool_frequentemente]])</f>
        <v>1</v>
      </c>
      <c r="W1820" s="8">
        <f>(Tabela2[[#This Row],[Weight]]/(Tabela2[[#This Row],[Height]] ^2))</f>
        <v>41.462711425088827</v>
      </c>
    </row>
    <row r="1821" spans="1:23" x14ac:dyDescent="0.25">
      <c r="A1821" t="s">
        <v>13</v>
      </c>
      <c r="B1821" s="7">
        <v>25.967009999999998</v>
      </c>
      <c r="C1821" s="4">
        <v>1.6548750000000001</v>
      </c>
      <c r="D1821" s="7">
        <v>104.758713</v>
      </c>
      <c r="E1821">
        <v>1</v>
      </c>
      <c r="F1821">
        <v>1</v>
      </c>
      <c r="G1821" s="2">
        <v>3</v>
      </c>
      <c r="H1821" s="2">
        <v>3</v>
      </c>
      <c r="I1821">
        <v>1</v>
      </c>
      <c r="J1821">
        <v>0</v>
      </c>
      <c r="K1821" s="2">
        <v>2.6127579999999999</v>
      </c>
      <c r="L1821">
        <v>0</v>
      </c>
      <c r="M1821" s="7">
        <v>0.24629000000000001</v>
      </c>
      <c r="N1821" s="7">
        <v>0.80213599999999996</v>
      </c>
      <c r="O1821">
        <v>1</v>
      </c>
      <c r="P1821" t="s">
        <v>14</v>
      </c>
      <c r="Q1821">
        <v>6</v>
      </c>
      <c r="R1821" s="8">
        <f>(Tabela2[[#This Row],[FAF_atividade_fisica_frequente_em_horas]]+ 0.1)</f>
        <v>0.34628999999999999</v>
      </c>
      <c r="S1821" s="1">
        <f>(Tabela2[[#This Row],[TUE_tempo_uso_aparelhos_em_horas]]/Tabela2[[#This Row],[FAF_Var]])</f>
        <v>2.316370671980132</v>
      </c>
      <c r="T1821">
        <f>(Tabela2[[#This Row],[CAEC_lanche_entre_refeicoes]]*Tabela2[[#This Row],[FAVC_consumo_frequente_de_alimentos_mt_caloricos]])</f>
        <v>1</v>
      </c>
      <c r="U1821" s="1">
        <f>IF(OR(Tabela2[[#This Row],[MTRANS]]="Walking",Tabela2[[#This Row],[MTRANS]]="Bike"),Tabela2[[#This Row],[FAF_atividade_fisica_frequente_em_horas]]+1,M1821)</f>
        <v>0.24629000000000001</v>
      </c>
      <c r="V1821">
        <f>(Tabela2[[#This Row],[SMOKE]]+Tabela2[[#This Row],[CALC_bebe_alcool_frequentemente]])</f>
        <v>1</v>
      </c>
      <c r="W1821" s="8">
        <f>(Tabela2[[#This Row],[Weight]]/(Tabela2[[#This Row],[Height]] ^2))</f>
        <v>38.252494727867912</v>
      </c>
    </row>
    <row r="1822" spans="1:23" x14ac:dyDescent="0.25">
      <c r="A1822" t="s">
        <v>13</v>
      </c>
      <c r="B1822" s="7">
        <v>26</v>
      </c>
      <c r="C1822" s="4">
        <v>1.627567</v>
      </c>
      <c r="D1822" s="7">
        <v>107.482662</v>
      </c>
      <c r="E1822">
        <v>1</v>
      </c>
      <c r="F1822">
        <v>1</v>
      </c>
      <c r="G1822" s="2">
        <v>3</v>
      </c>
      <c r="H1822" s="2">
        <v>3</v>
      </c>
      <c r="I1822">
        <v>1</v>
      </c>
      <c r="J1822">
        <v>0</v>
      </c>
      <c r="K1822" s="2">
        <v>2.6873779999999998</v>
      </c>
      <c r="L1822">
        <v>0</v>
      </c>
      <c r="M1822" s="7">
        <v>0</v>
      </c>
      <c r="N1822" s="7">
        <v>0.41065099999999999</v>
      </c>
      <c r="O1822">
        <v>1</v>
      </c>
      <c r="P1822" t="s">
        <v>14</v>
      </c>
      <c r="Q1822">
        <v>6</v>
      </c>
      <c r="R1822" s="8">
        <f>(Tabela2[[#This Row],[FAF_atividade_fisica_frequente_em_horas]]+ 0.1)</f>
        <v>0.1</v>
      </c>
      <c r="S1822" s="1">
        <f>(Tabela2[[#This Row],[TUE_tempo_uso_aparelhos_em_horas]]/Tabela2[[#This Row],[FAF_Var]])</f>
        <v>4.1065099999999992</v>
      </c>
      <c r="T1822">
        <f>(Tabela2[[#This Row],[CAEC_lanche_entre_refeicoes]]*Tabela2[[#This Row],[FAVC_consumo_frequente_de_alimentos_mt_caloricos]])</f>
        <v>1</v>
      </c>
      <c r="U1822" s="1">
        <f>IF(OR(Tabela2[[#This Row],[MTRANS]]="Walking",Tabela2[[#This Row],[MTRANS]]="Bike"),Tabela2[[#This Row],[FAF_atividade_fisica_frequente_em_horas]]+1,M1822)</f>
        <v>0</v>
      </c>
      <c r="V1822">
        <f>(Tabela2[[#This Row],[SMOKE]]+Tabela2[[#This Row],[CALC_bebe_alcool_frequentemente]])</f>
        <v>1</v>
      </c>
      <c r="W1822" s="8">
        <f>(Tabela2[[#This Row],[Weight]]/(Tabela2[[#This Row],[Height]] ^2))</f>
        <v>40.575199388580685</v>
      </c>
    </row>
    <row r="1823" spans="1:23" x14ac:dyDescent="0.25">
      <c r="A1823" t="s">
        <v>13</v>
      </c>
      <c r="B1823" s="7">
        <v>20.590046000000001</v>
      </c>
      <c r="C1823" s="4">
        <v>1.7362759999999999</v>
      </c>
      <c r="D1823" s="7">
        <v>130.92713800000001</v>
      </c>
      <c r="E1823">
        <v>1</v>
      </c>
      <c r="F1823">
        <v>1</v>
      </c>
      <c r="G1823" s="2">
        <v>3</v>
      </c>
      <c r="H1823" s="2">
        <v>3</v>
      </c>
      <c r="I1823">
        <v>1</v>
      </c>
      <c r="J1823">
        <v>0</v>
      </c>
      <c r="K1823" s="2">
        <v>1.852692</v>
      </c>
      <c r="L1823">
        <v>0</v>
      </c>
      <c r="M1823" s="7">
        <v>1.4636100000000001</v>
      </c>
      <c r="N1823" s="7">
        <v>0.96233599999999997</v>
      </c>
      <c r="O1823">
        <v>1</v>
      </c>
      <c r="P1823" t="s">
        <v>14</v>
      </c>
      <c r="Q1823">
        <v>6</v>
      </c>
      <c r="R1823" s="8">
        <f>(Tabela2[[#This Row],[FAF_atividade_fisica_frequente_em_horas]]+ 0.1)</f>
        <v>1.5636100000000002</v>
      </c>
      <c r="S1823" s="1">
        <f>(Tabela2[[#This Row],[TUE_tempo_uso_aparelhos_em_horas]]/Tabela2[[#This Row],[FAF_Var]])</f>
        <v>0.61545781876554884</v>
      </c>
      <c r="T1823">
        <f>(Tabela2[[#This Row],[CAEC_lanche_entre_refeicoes]]*Tabela2[[#This Row],[FAVC_consumo_frequente_de_alimentos_mt_caloricos]])</f>
        <v>1</v>
      </c>
      <c r="U1823" s="1">
        <f>IF(OR(Tabela2[[#This Row],[MTRANS]]="Walking",Tabela2[[#This Row],[MTRANS]]="Bike"),Tabela2[[#This Row],[FAF_atividade_fisica_frequente_em_horas]]+1,M1823)</f>
        <v>1.4636100000000001</v>
      </c>
      <c r="V1823">
        <f>(Tabela2[[#This Row],[SMOKE]]+Tabela2[[#This Row],[CALC_bebe_alcool_frequentemente]])</f>
        <v>1</v>
      </c>
      <c r="W1823" s="8">
        <f>(Tabela2[[#This Row],[Weight]]/(Tabela2[[#This Row],[Height]] ^2))</f>
        <v>43.430232085883006</v>
      </c>
    </row>
    <row r="1824" spans="1:23" x14ac:dyDescent="0.25">
      <c r="A1824" t="s">
        <v>13</v>
      </c>
      <c r="B1824" s="7">
        <v>24.497373</v>
      </c>
      <c r="C1824" s="4">
        <v>1.7370559999999999</v>
      </c>
      <c r="D1824" s="7">
        <v>132.52701099999999</v>
      </c>
      <c r="E1824">
        <v>1</v>
      </c>
      <c r="F1824">
        <v>1</v>
      </c>
      <c r="G1824" s="2">
        <v>3</v>
      </c>
      <c r="H1824" s="2">
        <v>3</v>
      </c>
      <c r="I1824">
        <v>1</v>
      </c>
      <c r="J1824">
        <v>0</v>
      </c>
      <c r="K1824" s="2">
        <v>2.8655900000000001</v>
      </c>
      <c r="L1824">
        <v>0</v>
      </c>
      <c r="M1824" s="7">
        <v>0.97386399999999995</v>
      </c>
      <c r="N1824" s="7">
        <v>0.58345000000000002</v>
      </c>
      <c r="O1824">
        <v>1</v>
      </c>
      <c r="P1824" t="s">
        <v>14</v>
      </c>
      <c r="Q1824">
        <v>6</v>
      </c>
      <c r="R1824" s="8">
        <f>(Tabela2[[#This Row],[FAF_atividade_fisica_frequente_em_horas]]+ 0.1)</f>
        <v>1.0738639999999999</v>
      </c>
      <c r="S1824" s="1">
        <f>(Tabela2[[#This Row],[TUE_tempo_uso_aparelhos_em_horas]]/Tabela2[[#This Row],[FAF_Var]])</f>
        <v>0.54331833453770684</v>
      </c>
      <c r="T1824">
        <f>(Tabela2[[#This Row],[CAEC_lanche_entre_refeicoes]]*Tabela2[[#This Row],[FAVC_consumo_frequente_de_alimentos_mt_caloricos]])</f>
        <v>1</v>
      </c>
      <c r="U1824" s="1">
        <f>IF(OR(Tabela2[[#This Row],[MTRANS]]="Walking",Tabela2[[#This Row],[MTRANS]]="Bike"),Tabela2[[#This Row],[FAF_atividade_fisica_frequente_em_horas]]+1,M1824)</f>
        <v>0.97386399999999995</v>
      </c>
      <c r="V1824">
        <f>(Tabela2[[#This Row],[SMOKE]]+Tabela2[[#This Row],[CALC_bebe_alcool_frequentemente]])</f>
        <v>1</v>
      </c>
      <c r="W1824" s="8">
        <f>(Tabela2[[#This Row],[Weight]]/(Tabela2[[#This Row],[Height]] ^2))</f>
        <v>43.921459555574955</v>
      </c>
    </row>
    <row r="1825" spans="1:23" x14ac:dyDescent="0.25">
      <c r="A1825" t="s">
        <v>13</v>
      </c>
      <c r="B1825" s="7">
        <v>25.991886000000001</v>
      </c>
      <c r="C1825" s="4">
        <v>1.5809679999999999</v>
      </c>
      <c r="D1825" s="7">
        <v>102.003378</v>
      </c>
      <c r="E1825">
        <v>1</v>
      </c>
      <c r="F1825">
        <v>1</v>
      </c>
      <c r="G1825" s="2">
        <v>3</v>
      </c>
      <c r="H1825" s="2">
        <v>3</v>
      </c>
      <c r="I1825">
        <v>1</v>
      </c>
      <c r="J1825">
        <v>0</v>
      </c>
      <c r="K1825" s="2">
        <v>1.003563</v>
      </c>
      <c r="L1825">
        <v>0</v>
      </c>
      <c r="M1825" s="7">
        <v>8.1270000000000005E-3</v>
      </c>
      <c r="N1825" s="7">
        <v>1</v>
      </c>
      <c r="O1825">
        <v>1</v>
      </c>
      <c r="P1825" t="s">
        <v>14</v>
      </c>
      <c r="Q1825">
        <v>6</v>
      </c>
      <c r="R1825" s="8">
        <f>(Tabela2[[#This Row],[FAF_atividade_fisica_frequente_em_horas]]+ 0.1)</f>
        <v>0.108127</v>
      </c>
      <c r="S1825" s="1">
        <f>(Tabela2[[#This Row],[TUE_tempo_uso_aparelhos_em_horas]]/Tabela2[[#This Row],[FAF_Var]])</f>
        <v>9.2483838449230991</v>
      </c>
      <c r="T1825">
        <f>(Tabela2[[#This Row],[CAEC_lanche_entre_refeicoes]]*Tabela2[[#This Row],[FAVC_consumo_frequente_de_alimentos_mt_caloricos]])</f>
        <v>1</v>
      </c>
      <c r="U1825" s="1">
        <f>IF(OR(Tabela2[[#This Row],[MTRANS]]="Walking",Tabela2[[#This Row],[MTRANS]]="Bike"),Tabela2[[#This Row],[FAF_atividade_fisica_frequente_em_horas]]+1,M1825)</f>
        <v>8.1270000000000005E-3</v>
      </c>
      <c r="V1825">
        <f>(Tabela2[[#This Row],[SMOKE]]+Tabela2[[#This Row],[CALC_bebe_alcool_frequentemente]])</f>
        <v>1</v>
      </c>
      <c r="W1825" s="8">
        <f>(Tabela2[[#This Row],[Weight]]/(Tabela2[[#This Row],[Height]] ^2))</f>
        <v>40.810169183456232</v>
      </c>
    </row>
    <row r="1826" spans="1:23" x14ac:dyDescent="0.25">
      <c r="A1826" t="s">
        <v>13</v>
      </c>
      <c r="B1826" s="7">
        <v>25.908431</v>
      </c>
      <c r="C1826" s="4">
        <v>1.6071279999999999</v>
      </c>
      <c r="D1826" s="7">
        <v>103.026858</v>
      </c>
      <c r="E1826">
        <v>1</v>
      </c>
      <c r="F1826">
        <v>1</v>
      </c>
      <c r="G1826" s="2">
        <v>3</v>
      </c>
      <c r="H1826" s="2">
        <v>3</v>
      </c>
      <c r="I1826">
        <v>1</v>
      </c>
      <c r="J1826">
        <v>0</v>
      </c>
      <c r="K1826" s="2">
        <v>1.077253</v>
      </c>
      <c r="L1826">
        <v>0</v>
      </c>
      <c r="M1826" s="7">
        <v>0.162083</v>
      </c>
      <c r="N1826" s="7">
        <v>0.82460699999999998</v>
      </c>
      <c r="O1826">
        <v>1</v>
      </c>
      <c r="P1826" t="s">
        <v>14</v>
      </c>
      <c r="Q1826">
        <v>6</v>
      </c>
      <c r="R1826" s="8">
        <f>(Tabela2[[#This Row],[FAF_atividade_fisica_frequente_em_horas]]+ 0.1)</f>
        <v>0.26208300000000001</v>
      </c>
      <c r="S1826" s="1">
        <f>(Tabela2[[#This Row],[TUE_tempo_uso_aparelhos_em_horas]]/Tabela2[[#This Row],[FAF_Var]])</f>
        <v>3.146358214764025</v>
      </c>
      <c r="T1826">
        <f>(Tabela2[[#This Row],[CAEC_lanche_entre_refeicoes]]*Tabela2[[#This Row],[FAVC_consumo_frequente_de_alimentos_mt_caloricos]])</f>
        <v>1</v>
      </c>
      <c r="U1826" s="1">
        <f>IF(OR(Tabela2[[#This Row],[MTRANS]]="Walking",Tabela2[[#This Row],[MTRANS]]="Bike"),Tabela2[[#This Row],[FAF_atividade_fisica_frequente_em_horas]]+1,M1826)</f>
        <v>0.162083</v>
      </c>
      <c r="V1826">
        <f>(Tabela2[[#This Row],[SMOKE]]+Tabela2[[#This Row],[CALC_bebe_alcool_frequentemente]])</f>
        <v>1</v>
      </c>
      <c r="W1826" s="8">
        <f>(Tabela2[[#This Row],[Weight]]/(Tabela2[[#This Row],[Height]] ^2))</f>
        <v>39.88866671445868</v>
      </c>
    </row>
    <row r="1827" spans="1:23" x14ac:dyDescent="0.25">
      <c r="A1827" t="s">
        <v>13</v>
      </c>
      <c r="B1827" s="7">
        <v>18.177882</v>
      </c>
      <c r="C1827" s="4">
        <v>1.821566</v>
      </c>
      <c r="D1827" s="7">
        <v>142.10246799999999</v>
      </c>
      <c r="E1827">
        <v>1</v>
      </c>
      <c r="F1827">
        <v>1</v>
      </c>
      <c r="G1827" s="2">
        <v>3</v>
      </c>
      <c r="H1827" s="2">
        <v>3</v>
      </c>
      <c r="I1827">
        <v>1</v>
      </c>
      <c r="J1827">
        <v>0</v>
      </c>
      <c r="K1827" s="2">
        <v>2.7149489999999998</v>
      </c>
      <c r="L1827">
        <v>0</v>
      </c>
      <c r="M1827" s="7">
        <v>1.999773</v>
      </c>
      <c r="N1827" s="7">
        <v>0.81378399999999995</v>
      </c>
      <c r="O1827">
        <v>1</v>
      </c>
      <c r="P1827" t="s">
        <v>14</v>
      </c>
      <c r="Q1827">
        <v>6</v>
      </c>
      <c r="R1827" s="8">
        <f>(Tabela2[[#This Row],[FAF_atividade_fisica_frequente_em_horas]]+ 0.1)</f>
        <v>2.0997729999999999</v>
      </c>
      <c r="S1827" s="1">
        <f>(Tabela2[[#This Row],[TUE_tempo_uso_aparelhos_em_horas]]/Tabela2[[#This Row],[FAF_Var]])</f>
        <v>0.38755808365951938</v>
      </c>
      <c r="T1827">
        <f>(Tabela2[[#This Row],[CAEC_lanche_entre_refeicoes]]*Tabela2[[#This Row],[FAVC_consumo_frequente_de_alimentos_mt_caloricos]])</f>
        <v>1</v>
      </c>
      <c r="U1827" s="1">
        <f>IF(OR(Tabela2[[#This Row],[MTRANS]]="Walking",Tabela2[[#This Row],[MTRANS]]="Bike"),Tabela2[[#This Row],[FAF_atividade_fisica_frequente_em_horas]]+1,M1827)</f>
        <v>1.999773</v>
      </c>
      <c r="V1827">
        <f>(Tabela2[[#This Row],[SMOKE]]+Tabela2[[#This Row],[CALC_bebe_alcool_frequentemente]])</f>
        <v>1</v>
      </c>
      <c r="W1827" s="8">
        <f>(Tabela2[[#This Row],[Weight]]/(Tabela2[[#This Row],[Height]] ^2))</f>
        <v>42.826422559906042</v>
      </c>
    </row>
    <row r="1828" spans="1:23" x14ac:dyDescent="0.25">
      <c r="A1828" t="s">
        <v>13</v>
      </c>
      <c r="B1828" s="7">
        <v>18.112503</v>
      </c>
      <c r="C1828" s="4">
        <v>1.8277300000000001</v>
      </c>
      <c r="D1828" s="7">
        <v>152.72054499999999</v>
      </c>
      <c r="E1828">
        <v>1</v>
      </c>
      <c r="F1828">
        <v>1</v>
      </c>
      <c r="G1828" s="2">
        <v>3</v>
      </c>
      <c r="H1828" s="2">
        <v>3</v>
      </c>
      <c r="I1828">
        <v>1</v>
      </c>
      <c r="J1828">
        <v>0</v>
      </c>
      <c r="K1828" s="2">
        <v>2.1549489999999998</v>
      </c>
      <c r="L1828">
        <v>0</v>
      </c>
      <c r="M1828" s="7">
        <v>1.999897</v>
      </c>
      <c r="N1828" s="7">
        <v>0.95746299999999995</v>
      </c>
      <c r="O1828">
        <v>1</v>
      </c>
      <c r="P1828" t="s">
        <v>14</v>
      </c>
      <c r="Q1828">
        <v>6</v>
      </c>
      <c r="R1828" s="8">
        <f>(Tabela2[[#This Row],[FAF_atividade_fisica_frequente_em_horas]]+ 0.1)</f>
        <v>2.0998969999999999</v>
      </c>
      <c r="S1828" s="1">
        <f>(Tabela2[[#This Row],[TUE_tempo_uso_aparelhos_em_horas]]/Tabela2[[#This Row],[FAF_Var]])</f>
        <v>0.45595712551615625</v>
      </c>
      <c r="T1828">
        <f>(Tabela2[[#This Row],[CAEC_lanche_entre_refeicoes]]*Tabela2[[#This Row],[FAVC_consumo_frequente_de_alimentos_mt_caloricos]])</f>
        <v>1</v>
      </c>
      <c r="U1828" s="1">
        <f>IF(OR(Tabela2[[#This Row],[MTRANS]]="Walking",Tabela2[[#This Row],[MTRANS]]="Bike"),Tabela2[[#This Row],[FAF_atividade_fisica_frequente_em_horas]]+1,M1828)</f>
        <v>1.999897</v>
      </c>
      <c r="V1828">
        <f>(Tabela2[[#This Row],[SMOKE]]+Tabela2[[#This Row],[CALC_bebe_alcool_frequentemente]])</f>
        <v>1</v>
      </c>
      <c r="W1828" s="8">
        <f>(Tabela2[[#This Row],[Weight]]/(Tabela2[[#This Row],[Height]] ^2))</f>
        <v>45.716543226629597</v>
      </c>
    </row>
    <row r="1829" spans="1:23" x14ac:dyDescent="0.25">
      <c r="A1829" t="s">
        <v>13</v>
      </c>
      <c r="B1829" s="7">
        <v>26</v>
      </c>
      <c r="C1829" s="4">
        <v>1.656504</v>
      </c>
      <c r="D1829" s="7">
        <v>111.993054</v>
      </c>
      <c r="E1829">
        <v>1</v>
      </c>
      <c r="F1829">
        <v>1</v>
      </c>
      <c r="G1829" s="2">
        <v>3</v>
      </c>
      <c r="H1829" s="2">
        <v>3</v>
      </c>
      <c r="I1829">
        <v>1</v>
      </c>
      <c r="J1829">
        <v>0</v>
      </c>
      <c r="K1829" s="2">
        <v>2.8931170000000002</v>
      </c>
      <c r="L1829">
        <v>0</v>
      </c>
      <c r="M1829" s="7">
        <v>0</v>
      </c>
      <c r="N1829" s="7">
        <v>1.9310000000000001E-2</v>
      </c>
      <c r="O1829">
        <v>1</v>
      </c>
      <c r="P1829" t="s">
        <v>14</v>
      </c>
      <c r="Q1829">
        <v>6</v>
      </c>
      <c r="R1829" s="8">
        <f>(Tabela2[[#This Row],[FAF_atividade_fisica_frequente_em_horas]]+ 0.1)</f>
        <v>0.1</v>
      </c>
      <c r="S1829" s="1">
        <f>(Tabela2[[#This Row],[TUE_tempo_uso_aparelhos_em_horas]]/Tabela2[[#This Row],[FAF_Var]])</f>
        <v>0.19309999999999999</v>
      </c>
      <c r="T1829">
        <f>(Tabela2[[#This Row],[CAEC_lanche_entre_refeicoes]]*Tabela2[[#This Row],[FAVC_consumo_frequente_de_alimentos_mt_caloricos]])</f>
        <v>1</v>
      </c>
      <c r="U1829" s="1">
        <f>IF(OR(Tabela2[[#This Row],[MTRANS]]="Walking",Tabela2[[#This Row],[MTRANS]]="Bike"),Tabela2[[#This Row],[FAF_atividade_fisica_frequente_em_horas]]+1,M1829)</f>
        <v>0</v>
      </c>
      <c r="V1829">
        <f>(Tabela2[[#This Row],[SMOKE]]+Tabela2[[#This Row],[CALC_bebe_alcool_frequentemente]])</f>
        <v>1</v>
      </c>
      <c r="W1829" s="8">
        <f>(Tabela2[[#This Row],[Weight]]/(Tabela2[[#This Row],[Height]] ^2))</f>
        <v>40.813713353606452</v>
      </c>
    </row>
    <row r="1830" spans="1:23" x14ac:dyDescent="0.25">
      <c r="A1830" t="s">
        <v>13</v>
      </c>
      <c r="B1830" s="7">
        <v>26</v>
      </c>
      <c r="C1830" s="4">
        <v>1.6377250000000001</v>
      </c>
      <c r="D1830" s="7">
        <v>111.208963</v>
      </c>
      <c r="E1830">
        <v>1</v>
      </c>
      <c r="F1830">
        <v>1</v>
      </c>
      <c r="G1830" s="2">
        <v>3</v>
      </c>
      <c r="H1830" s="2">
        <v>3</v>
      </c>
      <c r="I1830">
        <v>1</v>
      </c>
      <c r="J1830">
        <v>0</v>
      </c>
      <c r="K1830" s="2">
        <v>2.7091400000000001</v>
      </c>
      <c r="L1830">
        <v>0</v>
      </c>
      <c r="M1830" s="7">
        <v>0</v>
      </c>
      <c r="N1830" s="7">
        <v>0.11051800000000001</v>
      </c>
      <c r="O1830">
        <v>1</v>
      </c>
      <c r="P1830" t="s">
        <v>14</v>
      </c>
      <c r="Q1830">
        <v>6</v>
      </c>
      <c r="R1830" s="8">
        <f>(Tabela2[[#This Row],[FAF_atividade_fisica_frequente_em_horas]]+ 0.1)</f>
        <v>0.1</v>
      </c>
      <c r="S1830" s="1">
        <f>(Tabela2[[#This Row],[TUE_tempo_uso_aparelhos_em_horas]]/Tabela2[[#This Row],[FAF_Var]])</f>
        <v>1.1051800000000001</v>
      </c>
      <c r="T1830">
        <f>(Tabela2[[#This Row],[CAEC_lanche_entre_refeicoes]]*Tabela2[[#This Row],[FAVC_consumo_frequente_de_alimentos_mt_caloricos]])</f>
        <v>1</v>
      </c>
      <c r="U1830" s="1">
        <f>IF(OR(Tabela2[[#This Row],[MTRANS]]="Walking",Tabela2[[#This Row],[MTRANS]]="Bike"),Tabela2[[#This Row],[FAF_atividade_fisica_frequente_em_horas]]+1,M1830)</f>
        <v>0</v>
      </c>
      <c r="V1830">
        <f>(Tabela2[[#This Row],[SMOKE]]+Tabela2[[#This Row],[CALC_bebe_alcool_frequentemente]])</f>
        <v>1</v>
      </c>
      <c r="W1830" s="8">
        <f>(Tabela2[[#This Row],[Weight]]/(Tabela2[[#This Row],[Height]] ^2))</f>
        <v>41.462724291027371</v>
      </c>
    </row>
    <row r="1831" spans="1:23" x14ac:dyDescent="0.25">
      <c r="A1831" t="s">
        <v>13</v>
      </c>
      <c r="B1831" s="7">
        <v>25.902283000000001</v>
      </c>
      <c r="C1831" s="4">
        <v>1.6697010000000001</v>
      </c>
      <c r="D1831" s="7">
        <v>104.58578300000001</v>
      </c>
      <c r="E1831">
        <v>1</v>
      </c>
      <c r="F1831">
        <v>1</v>
      </c>
      <c r="G1831" s="2">
        <v>3</v>
      </c>
      <c r="H1831" s="2">
        <v>3</v>
      </c>
      <c r="I1831">
        <v>1</v>
      </c>
      <c r="J1831">
        <v>0</v>
      </c>
      <c r="K1831" s="2">
        <v>1.5701879999999999</v>
      </c>
      <c r="L1831">
        <v>0</v>
      </c>
      <c r="M1831" s="7">
        <v>0.21035100000000001</v>
      </c>
      <c r="N1831" s="7">
        <v>0.88184799999999997</v>
      </c>
      <c r="O1831">
        <v>1</v>
      </c>
      <c r="P1831" t="s">
        <v>14</v>
      </c>
      <c r="Q1831">
        <v>6</v>
      </c>
      <c r="R1831" s="8">
        <f>(Tabela2[[#This Row],[FAF_atividade_fisica_frequente_em_horas]]+ 0.1)</f>
        <v>0.31035100000000004</v>
      </c>
      <c r="S1831" s="1">
        <f>(Tabela2[[#This Row],[TUE_tempo_uso_aparelhos_em_horas]]/Tabela2[[#This Row],[FAF_Var]])</f>
        <v>2.8414537088651231</v>
      </c>
      <c r="T1831">
        <f>(Tabela2[[#This Row],[CAEC_lanche_entre_refeicoes]]*Tabela2[[#This Row],[FAVC_consumo_frequente_de_alimentos_mt_caloricos]])</f>
        <v>1</v>
      </c>
      <c r="U1831" s="1">
        <f>IF(OR(Tabela2[[#This Row],[MTRANS]]="Walking",Tabela2[[#This Row],[MTRANS]]="Bike"),Tabela2[[#This Row],[FAF_atividade_fisica_frequente_em_horas]]+1,M1831)</f>
        <v>0.21035100000000001</v>
      </c>
      <c r="V1831">
        <f>(Tabela2[[#This Row],[SMOKE]]+Tabela2[[#This Row],[CALC_bebe_alcool_frequentemente]])</f>
        <v>1</v>
      </c>
      <c r="W1831" s="8">
        <f>(Tabela2[[#This Row],[Weight]]/(Tabela2[[#This Row],[Height]] ^2))</f>
        <v>37.514160973213095</v>
      </c>
    </row>
    <row r="1832" spans="1:23" x14ac:dyDescent="0.25">
      <c r="A1832" t="s">
        <v>13</v>
      </c>
      <c r="B1832" s="7">
        <v>25.540865</v>
      </c>
      <c r="C1832" s="4">
        <v>1.668709</v>
      </c>
      <c r="D1832" s="7">
        <v>104.754958</v>
      </c>
      <c r="E1832">
        <v>1</v>
      </c>
      <c r="F1832">
        <v>1</v>
      </c>
      <c r="G1832" s="2">
        <v>3</v>
      </c>
      <c r="H1832" s="2">
        <v>3</v>
      </c>
      <c r="I1832">
        <v>1</v>
      </c>
      <c r="J1832">
        <v>0</v>
      </c>
      <c r="K1832" s="2">
        <v>1.4120490000000001</v>
      </c>
      <c r="L1832">
        <v>0</v>
      </c>
      <c r="M1832" s="7">
        <v>0.143955</v>
      </c>
      <c r="N1832" s="7">
        <v>0.753077</v>
      </c>
      <c r="O1832">
        <v>1</v>
      </c>
      <c r="P1832" t="s">
        <v>14</v>
      </c>
      <c r="Q1832">
        <v>6</v>
      </c>
      <c r="R1832" s="8">
        <f>(Tabela2[[#This Row],[FAF_atividade_fisica_frequente_em_horas]]+ 0.1)</f>
        <v>0.24395500000000001</v>
      </c>
      <c r="S1832" s="1">
        <f>(Tabela2[[#This Row],[TUE_tempo_uso_aparelhos_em_horas]]/Tabela2[[#This Row],[FAF_Var]])</f>
        <v>3.0869504621754009</v>
      </c>
      <c r="T1832">
        <f>(Tabela2[[#This Row],[CAEC_lanche_entre_refeicoes]]*Tabela2[[#This Row],[FAVC_consumo_frequente_de_alimentos_mt_caloricos]])</f>
        <v>1</v>
      </c>
      <c r="U1832" s="1">
        <f>IF(OR(Tabela2[[#This Row],[MTRANS]]="Walking",Tabela2[[#This Row],[MTRANS]]="Bike"),Tabela2[[#This Row],[FAF_atividade_fisica_frequente_em_horas]]+1,M1832)</f>
        <v>0.143955</v>
      </c>
      <c r="V1832">
        <f>(Tabela2[[#This Row],[SMOKE]]+Tabela2[[#This Row],[CALC_bebe_alcool_frequentemente]])</f>
        <v>1</v>
      </c>
      <c r="W1832" s="8">
        <f>(Tabela2[[#This Row],[Weight]]/(Tabela2[[#This Row],[Height]] ^2))</f>
        <v>37.619530445104111</v>
      </c>
    </row>
    <row r="1833" spans="1:23" x14ac:dyDescent="0.25">
      <c r="A1833" t="s">
        <v>13</v>
      </c>
      <c r="B1833" s="7">
        <v>20.520992</v>
      </c>
      <c r="C1833" s="4">
        <v>1.668642</v>
      </c>
      <c r="D1833" s="7">
        <v>124.704781</v>
      </c>
      <c r="E1833">
        <v>1</v>
      </c>
      <c r="F1833">
        <v>1</v>
      </c>
      <c r="G1833" s="2">
        <v>3</v>
      </c>
      <c r="H1833" s="2">
        <v>3</v>
      </c>
      <c r="I1833">
        <v>1</v>
      </c>
      <c r="J1833">
        <v>0</v>
      </c>
      <c r="K1833" s="2">
        <v>1.15635</v>
      </c>
      <c r="L1833">
        <v>0</v>
      </c>
      <c r="M1833" s="7">
        <v>0.78682799999999997</v>
      </c>
      <c r="N1833" s="7">
        <v>0.36638500000000002</v>
      </c>
      <c r="O1833">
        <v>1</v>
      </c>
      <c r="P1833" t="s">
        <v>14</v>
      </c>
      <c r="Q1833">
        <v>6</v>
      </c>
      <c r="R1833" s="8">
        <f>(Tabela2[[#This Row],[FAF_atividade_fisica_frequente_em_horas]]+ 0.1)</f>
        <v>0.88682799999999995</v>
      </c>
      <c r="S1833" s="1">
        <f>(Tabela2[[#This Row],[TUE_tempo_uso_aparelhos_em_horas]]/Tabela2[[#This Row],[FAF_Var]])</f>
        <v>0.41314099239085822</v>
      </c>
      <c r="T1833">
        <f>(Tabela2[[#This Row],[CAEC_lanche_entre_refeicoes]]*Tabela2[[#This Row],[FAVC_consumo_frequente_de_alimentos_mt_caloricos]])</f>
        <v>1</v>
      </c>
      <c r="U1833" s="1">
        <f>IF(OR(Tabela2[[#This Row],[MTRANS]]="Walking",Tabela2[[#This Row],[MTRANS]]="Bike"),Tabela2[[#This Row],[FAF_atividade_fisica_frequente_em_horas]]+1,M1833)</f>
        <v>0.78682799999999997</v>
      </c>
      <c r="V1833">
        <f>(Tabela2[[#This Row],[SMOKE]]+Tabela2[[#This Row],[CALC_bebe_alcool_frequentemente]])</f>
        <v>1</v>
      </c>
      <c r="W1833" s="8">
        <f>(Tabela2[[#This Row],[Weight]]/(Tabela2[[#This Row],[Height]] ^2))</f>
        <v>44.787493971340552</v>
      </c>
    </row>
    <row r="1834" spans="1:23" x14ac:dyDescent="0.25">
      <c r="A1834" t="s">
        <v>13</v>
      </c>
      <c r="B1834" s="7">
        <v>20.871153</v>
      </c>
      <c r="C1834" s="4">
        <v>1.6906140000000001</v>
      </c>
      <c r="D1834" s="7">
        <v>129.76914099999999</v>
      </c>
      <c r="E1834">
        <v>1</v>
      </c>
      <c r="F1834">
        <v>1</v>
      </c>
      <c r="G1834" s="2">
        <v>3</v>
      </c>
      <c r="H1834" s="2">
        <v>3</v>
      </c>
      <c r="I1834">
        <v>1</v>
      </c>
      <c r="J1834">
        <v>0</v>
      </c>
      <c r="K1834" s="2">
        <v>1.154698</v>
      </c>
      <c r="L1834">
        <v>0</v>
      </c>
      <c r="M1834" s="7">
        <v>1.7183600000000001</v>
      </c>
      <c r="N1834" s="7">
        <v>0.95921800000000002</v>
      </c>
      <c r="O1834">
        <v>1</v>
      </c>
      <c r="P1834" t="s">
        <v>14</v>
      </c>
      <c r="Q1834">
        <v>6</v>
      </c>
      <c r="R1834" s="8">
        <f>(Tabela2[[#This Row],[FAF_atividade_fisica_frequente_em_horas]]+ 0.1)</f>
        <v>1.8183600000000002</v>
      </c>
      <c r="S1834" s="1">
        <f>(Tabela2[[#This Row],[TUE_tempo_uso_aparelhos_em_horas]]/Tabela2[[#This Row],[FAF_Var]])</f>
        <v>0.52751820321608478</v>
      </c>
      <c r="T1834">
        <f>(Tabela2[[#This Row],[CAEC_lanche_entre_refeicoes]]*Tabela2[[#This Row],[FAVC_consumo_frequente_de_alimentos_mt_caloricos]])</f>
        <v>1</v>
      </c>
      <c r="U1834" s="1">
        <f>IF(OR(Tabela2[[#This Row],[MTRANS]]="Walking",Tabela2[[#This Row],[MTRANS]]="Bike"),Tabela2[[#This Row],[FAF_atividade_fisica_frequente_em_horas]]+1,M1834)</f>
        <v>1.7183600000000001</v>
      </c>
      <c r="V1834">
        <f>(Tabela2[[#This Row],[SMOKE]]+Tabela2[[#This Row],[CALC_bebe_alcool_frequentemente]])</f>
        <v>1</v>
      </c>
      <c r="W1834" s="8">
        <f>(Tabela2[[#This Row],[Weight]]/(Tabela2[[#This Row],[Height]] ^2))</f>
        <v>45.402786517424367</v>
      </c>
    </row>
    <row r="1835" spans="1:23" x14ac:dyDescent="0.25">
      <c r="A1835" t="s">
        <v>13</v>
      </c>
      <c r="B1835" s="7">
        <v>26</v>
      </c>
      <c r="C1835" s="4">
        <v>1.6224179999999999</v>
      </c>
      <c r="D1835" s="7">
        <v>110.676343</v>
      </c>
      <c r="E1835">
        <v>1</v>
      </c>
      <c r="F1835">
        <v>1</v>
      </c>
      <c r="G1835" s="2">
        <v>3</v>
      </c>
      <c r="H1835" s="2">
        <v>3</v>
      </c>
      <c r="I1835">
        <v>1</v>
      </c>
      <c r="J1835">
        <v>0</v>
      </c>
      <c r="K1835" s="2">
        <v>2.6915840000000002</v>
      </c>
      <c r="L1835">
        <v>0</v>
      </c>
      <c r="M1835" s="7">
        <v>0</v>
      </c>
      <c r="N1835" s="7">
        <v>0.42547299999999999</v>
      </c>
      <c r="O1835">
        <v>1</v>
      </c>
      <c r="P1835" t="s">
        <v>14</v>
      </c>
      <c r="Q1835">
        <v>6</v>
      </c>
      <c r="R1835" s="8">
        <f>(Tabela2[[#This Row],[FAF_atividade_fisica_frequente_em_horas]]+ 0.1)</f>
        <v>0.1</v>
      </c>
      <c r="S1835" s="1">
        <f>(Tabela2[[#This Row],[TUE_tempo_uso_aparelhos_em_horas]]/Tabela2[[#This Row],[FAF_Var]])</f>
        <v>4.2547299999999995</v>
      </c>
      <c r="T1835">
        <f>(Tabela2[[#This Row],[CAEC_lanche_entre_refeicoes]]*Tabela2[[#This Row],[FAVC_consumo_frequente_de_alimentos_mt_caloricos]])</f>
        <v>1</v>
      </c>
      <c r="U1835" s="1">
        <f>IF(OR(Tabela2[[#This Row],[MTRANS]]="Walking",Tabela2[[#This Row],[MTRANS]]="Bike"),Tabela2[[#This Row],[FAF_atividade_fisica_frequente_em_horas]]+1,M1835)</f>
        <v>0</v>
      </c>
      <c r="V1835">
        <f>(Tabela2[[#This Row],[SMOKE]]+Tabela2[[#This Row],[CALC_bebe_alcool_frequentemente]])</f>
        <v>1</v>
      </c>
      <c r="W1835" s="8">
        <f>(Tabela2[[#This Row],[Weight]]/(Tabela2[[#This Row],[Height]] ^2))</f>
        <v>42.046445609005417</v>
      </c>
    </row>
    <row r="1836" spans="1:23" x14ac:dyDescent="0.25">
      <c r="A1836" t="s">
        <v>13</v>
      </c>
      <c r="B1836" s="7">
        <v>26</v>
      </c>
      <c r="C1836" s="4">
        <v>1.643332</v>
      </c>
      <c r="D1836" s="7">
        <v>110.824698</v>
      </c>
      <c r="E1836">
        <v>1</v>
      </c>
      <c r="F1836">
        <v>1</v>
      </c>
      <c r="G1836" s="2">
        <v>3</v>
      </c>
      <c r="H1836" s="2">
        <v>3</v>
      </c>
      <c r="I1836">
        <v>1</v>
      </c>
      <c r="J1836">
        <v>0</v>
      </c>
      <c r="K1836" s="2">
        <v>2.709654</v>
      </c>
      <c r="L1836">
        <v>0</v>
      </c>
      <c r="M1836" s="7">
        <v>0</v>
      </c>
      <c r="N1836" s="7">
        <v>0.25114999999999998</v>
      </c>
      <c r="O1836">
        <v>1</v>
      </c>
      <c r="P1836" t="s">
        <v>14</v>
      </c>
      <c r="Q1836">
        <v>6</v>
      </c>
      <c r="R1836" s="8">
        <f>(Tabela2[[#This Row],[FAF_atividade_fisica_frequente_em_horas]]+ 0.1)</f>
        <v>0.1</v>
      </c>
      <c r="S1836" s="1">
        <f>(Tabela2[[#This Row],[TUE_tempo_uso_aparelhos_em_horas]]/Tabela2[[#This Row],[FAF_Var]])</f>
        <v>2.5114999999999998</v>
      </c>
      <c r="T1836">
        <f>(Tabela2[[#This Row],[CAEC_lanche_entre_refeicoes]]*Tabela2[[#This Row],[FAVC_consumo_frequente_de_alimentos_mt_caloricos]])</f>
        <v>1</v>
      </c>
      <c r="U1836" s="1">
        <f>IF(OR(Tabela2[[#This Row],[MTRANS]]="Walking",Tabela2[[#This Row],[MTRANS]]="Bike"),Tabela2[[#This Row],[FAF_atividade_fisica_frequente_em_horas]]+1,M1836)</f>
        <v>0</v>
      </c>
      <c r="V1836">
        <f>(Tabela2[[#This Row],[SMOKE]]+Tabela2[[#This Row],[CALC_bebe_alcool_frequentemente]])</f>
        <v>1</v>
      </c>
      <c r="W1836" s="8">
        <f>(Tabela2[[#This Row],[Weight]]/(Tabela2[[#This Row],[Height]] ^2))</f>
        <v>41.03797590350559</v>
      </c>
    </row>
    <row r="1837" spans="1:23" x14ac:dyDescent="0.25">
      <c r="A1837" t="s">
        <v>13</v>
      </c>
      <c r="B1837" s="7">
        <v>21.768833999999998</v>
      </c>
      <c r="C1837" s="4">
        <v>1.7333829999999999</v>
      </c>
      <c r="D1837" s="7">
        <v>135.524857</v>
      </c>
      <c r="E1837">
        <v>1</v>
      </c>
      <c r="F1837">
        <v>1</v>
      </c>
      <c r="G1837" s="2">
        <v>3</v>
      </c>
      <c r="H1837" s="2">
        <v>3</v>
      </c>
      <c r="I1837">
        <v>1</v>
      </c>
      <c r="J1837">
        <v>0</v>
      </c>
      <c r="K1837" s="2">
        <v>1.4857359999999999</v>
      </c>
      <c r="L1837">
        <v>0</v>
      </c>
      <c r="M1837" s="7">
        <v>1.9503740000000001</v>
      </c>
      <c r="N1837" s="7">
        <v>0.86923799999999996</v>
      </c>
      <c r="O1837">
        <v>1</v>
      </c>
      <c r="P1837" t="s">
        <v>14</v>
      </c>
      <c r="Q1837">
        <v>6</v>
      </c>
      <c r="R1837" s="8">
        <f>(Tabela2[[#This Row],[FAF_atividade_fisica_frequente_em_horas]]+ 0.1)</f>
        <v>2.0503740000000001</v>
      </c>
      <c r="S1837" s="1">
        <f>(Tabela2[[#This Row],[TUE_tempo_uso_aparelhos_em_horas]]/Tabela2[[#This Row],[FAF_Var]])</f>
        <v>0.42394119316768547</v>
      </c>
      <c r="T1837">
        <f>(Tabela2[[#This Row],[CAEC_lanche_entre_refeicoes]]*Tabela2[[#This Row],[FAVC_consumo_frequente_de_alimentos_mt_caloricos]])</f>
        <v>1</v>
      </c>
      <c r="U1837" s="1">
        <f>IF(OR(Tabela2[[#This Row],[MTRANS]]="Walking",Tabela2[[#This Row],[MTRANS]]="Bike"),Tabela2[[#This Row],[FAF_atividade_fisica_frequente_em_horas]]+1,M1837)</f>
        <v>1.9503740000000001</v>
      </c>
      <c r="V1837">
        <f>(Tabela2[[#This Row],[SMOKE]]+Tabela2[[#This Row],[CALC_bebe_alcool_frequentemente]])</f>
        <v>1</v>
      </c>
      <c r="W1837" s="8">
        <f>(Tabela2[[#This Row],[Weight]]/(Tabela2[[#This Row],[Height]] ^2))</f>
        <v>45.105540549296478</v>
      </c>
    </row>
    <row r="1838" spans="1:23" x14ac:dyDescent="0.25">
      <c r="A1838" t="s">
        <v>13</v>
      </c>
      <c r="B1838" s="7">
        <v>20.891490999999998</v>
      </c>
      <c r="C1838" s="4">
        <v>1.748313</v>
      </c>
      <c r="D1838" s="7">
        <v>133.57378700000001</v>
      </c>
      <c r="E1838">
        <v>1</v>
      </c>
      <c r="F1838">
        <v>1</v>
      </c>
      <c r="G1838" s="2">
        <v>3</v>
      </c>
      <c r="H1838" s="2">
        <v>3</v>
      </c>
      <c r="I1838">
        <v>1</v>
      </c>
      <c r="J1838">
        <v>0</v>
      </c>
      <c r="K1838" s="2">
        <v>2.874336</v>
      </c>
      <c r="L1838">
        <v>0</v>
      </c>
      <c r="M1838" s="7">
        <v>1.624981</v>
      </c>
      <c r="N1838" s="7">
        <v>0.82560900000000004</v>
      </c>
      <c r="O1838">
        <v>1</v>
      </c>
      <c r="P1838" t="s">
        <v>14</v>
      </c>
      <c r="Q1838">
        <v>6</v>
      </c>
      <c r="R1838" s="8">
        <f>(Tabela2[[#This Row],[FAF_atividade_fisica_frequente_em_horas]]+ 0.1)</f>
        <v>1.7249810000000001</v>
      </c>
      <c r="S1838" s="1">
        <f>(Tabela2[[#This Row],[TUE_tempo_uso_aparelhos_em_horas]]/Tabela2[[#This Row],[FAF_Var]])</f>
        <v>0.47861918479102089</v>
      </c>
      <c r="T1838">
        <f>(Tabela2[[#This Row],[CAEC_lanche_entre_refeicoes]]*Tabela2[[#This Row],[FAVC_consumo_frequente_de_alimentos_mt_caloricos]])</f>
        <v>1</v>
      </c>
      <c r="U1838" s="1">
        <f>IF(OR(Tabela2[[#This Row],[MTRANS]]="Walking",Tabela2[[#This Row],[MTRANS]]="Bike"),Tabela2[[#This Row],[FAF_atividade_fisica_frequente_em_horas]]+1,M1838)</f>
        <v>1.624981</v>
      </c>
      <c r="V1838">
        <f>(Tabela2[[#This Row],[SMOKE]]+Tabela2[[#This Row],[CALC_bebe_alcool_frequentemente]])</f>
        <v>1</v>
      </c>
      <c r="W1838" s="8">
        <f>(Tabela2[[#This Row],[Weight]]/(Tabela2[[#This Row],[Height]] ^2))</f>
        <v>43.700143715694701</v>
      </c>
    </row>
    <row r="1839" spans="1:23" x14ac:dyDescent="0.25">
      <c r="A1839" t="s">
        <v>13</v>
      </c>
      <c r="B1839" s="7">
        <v>20.941942999999998</v>
      </c>
      <c r="C1839" s="4">
        <v>1.8129630000000001</v>
      </c>
      <c r="D1839" s="7">
        <v>138.73061899999999</v>
      </c>
      <c r="E1839">
        <v>1</v>
      </c>
      <c r="F1839">
        <v>1</v>
      </c>
      <c r="G1839" s="2">
        <v>3</v>
      </c>
      <c r="H1839" s="2">
        <v>3</v>
      </c>
      <c r="I1839">
        <v>1</v>
      </c>
      <c r="J1839">
        <v>0</v>
      </c>
      <c r="K1839" s="2">
        <v>2.641489</v>
      </c>
      <c r="L1839">
        <v>0</v>
      </c>
      <c r="M1839" s="7">
        <v>0.48155500000000001</v>
      </c>
      <c r="N1839" s="7">
        <v>0.73520099999999999</v>
      </c>
      <c r="O1839">
        <v>1</v>
      </c>
      <c r="P1839" t="s">
        <v>14</v>
      </c>
      <c r="Q1839">
        <v>6</v>
      </c>
      <c r="R1839" s="8">
        <f>(Tabela2[[#This Row],[FAF_atividade_fisica_frequente_em_horas]]+ 0.1)</f>
        <v>0.58155500000000004</v>
      </c>
      <c r="S1839" s="1">
        <f>(Tabela2[[#This Row],[TUE_tempo_uso_aparelhos_em_horas]]/Tabela2[[#This Row],[FAF_Var]])</f>
        <v>1.2641985710723833</v>
      </c>
      <c r="T1839">
        <f>(Tabela2[[#This Row],[CAEC_lanche_entre_refeicoes]]*Tabela2[[#This Row],[FAVC_consumo_frequente_de_alimentos_mt_caloricos]])</f>
        <v>1</v>
      </c>
      <c r="U1839" s="1">
        <f>IF(OR(Tabela2[[#This Row],[MTRANS]]="Walking",Tabela2[[#This Row],[MTRANS]]="Bike"),Tabela2[[#This Row],[FAF_atividade_fisica_frequente_em_horas]]+1,M1839)</f>
        <v>0.48155500000000001</v>
      </c>
      <c r="V1839">
        <f>(Tabela2[[#This Row],[SMOKE]]+Tabela2[[#This Row],[CALC_bebe_alcool_frequentemente]])</f>
        <v>1</v>
      </c>
      <c r="W1839" s="8">
        <f>(Tabela2[[#This Row],[Weight]]/(Tabela2[[#This Row],[Height]] ^2))</f>
        <v>42.207967780526872</v>
      </c>
    </row>
    <row r="1840" spans="1:23" x14ac:dyDescent="0.25">
      <c r="A1840" t="s">
        <v>13</v>
      </c>
      <c r="B1840" s="7">
        <v>20.989015999999999</v>
      </c>
      <c r="C1840" s="4">
        <v>1.8073399999999999</v>
      </c>
      <c r="D1840" s="7">
        <v>155.87209300000001</v>
      </c>
      <c r="E1840">
        <v>1</v>
      </c>
      <c r="F1840">
        <v>1</v>
      </c>
      <c r="G1840" s="2">
        <v>3</v>
      </c>
      <c r="H1840" s="2">
        <v>3</v>
      </c>
      <c r="I1840">
        <v>1</v>
      </c>
      <c r="J1840">
        <v>0</v>
      </c>
      <c r="K1840" s="2">
        <v>2.417122</v>
      </c>
      <c r="L1840">
        <v>0</v>
      </c>
      <c r="M1840" s="7">
        <v>0.95272500000000004</v>
      </c>
      <c r="N1840" s="7">
        <v>0.57395799999999997</v>
      </c>
      <c r="O1840">
        <v>1</v>
      </c>
      <c r="P1840" t="s">
        <v>14</v>
      </c>
      <c r="Q1840">
        <v>6</v>
      </c>
      <c r="R1840" s="8">
        <f>(Tabela2[[#This Row],[FAF_atividade_fisica_frequente_em_horas]]+ 0.1)</f>
        <v>1.0527250000000001</v>
      </c>
      <c r="S1840" s="1">
        <f>(Tabela2[[#This Row],[TUE_tempo_uso_aparelhos_em_horas]]/Tabela2[[#This Row],[FAF_Var]])</f>
        <v>0.54521171246051903</v>
      </c>
      <c r="T1840">
        <f>(Tabela2[[#This Row],[CAEC_lanche_entre_refeicoes]]*Tabela2[[#This Row],[FAVC_consumo_frequente_de_alimentos_mt_caloricos]])</f>
        <v>1</v>
      </c>
      <c r="U1840" s="1">
        <f>IF(OR(Tabela2[[#This Row],[MTRANS]]="Walking",Tabela2[[#This Row],[MTRANS]]="Bike"),Tabela2[[#This Row],[FAF_atividade_fisica_frequente_em_horas]]+1,M1840)</f>
        <v>0.95272500000000004</v>
      </c>
      <c r="V1840">
        <f>(Tabela2[[#This Row],[SMOKE]]+Tabela2[[#This Row],[CALC_bebe_alcool_frequentemente]])</f>
        <v>1</v>
      </c>
      <c r="W1840" s="8">
        <f>(Tabela2[[#This Row],[Weight]]/(Tabela2[[#This Row],[Height]] ^2))</f>
        <v>47.718704652597346</v>
      </c>
    </row>
    <row r="1841" spans="1:23" x14ac:dyDescent="0.25">
      <c r="A1841" t="s">
        <v>13</v>
      </c>
      <c r="B1841" s="7">
        <v>18.367481000000002</v>
      </c>
      <c r="C1841" s="4">
        <v>1.745644</v>
      </c>
      <c r="D1841" s="7">
        <v>133.66558699999999</v>
      </c>
      <c r="E1841">
        <v>1</v>
      </c>
      <c r="F1841">
        <v>1</v>
      </c>
      <c r="G1841" s="2">
        <v>3</v>
      </c>
      <c r="H1841" s="2">
        <v>3</v>
      </c>
      <c r="I1841">
        <v>1</v>
      </c>
      <c r="J1841">
        <v>0</v>
      </c>
      <c r="K1841" s="2">
        <v>2.9008569999999998</v>
      </c>
      <c r="L1841">
        <v>0</v>
      </c>
      <c r="M1841" s="7">
        <v>1.5088969999999999</v>
      </c>
      <c r="N1841" s="7">
        <v>0.62537100000000001</v>
      </c>
      <c r="O1841">
        <v>1</v>
      </c>
      <c r="P1841" t="s">
        <v>14</v>
      </c>
      <c r="Q1841">
        <v>6</v>
      </c>
      <c r="R1841" s="8">
        <f>(Tabela2[[#This Row],[FAF_atividade_fisica_frequente_em_horas]]+ 0.1)</f>
        <v>1.608897</v>
      </c>
      <c r="S1841" s="1">
        <f>(Tabela2[[#This Row],[TUE_tempo_uso_aparelhos_em_horas]]/Tabela2[[#This Row],[FAF_Var]])</f>
        <v>0.38869548516778885</v>
      </c>
      <c r="T1841">
        <f>(Tabela2[[#This Row],[CAEC_lanche_entre_refeicoes]]*Tabela2[[#This Row],[FAVC_consumo_frequente_de_alimentos_mt_caloricos]])</f>
        <v>1</v>
      </c>
      <c r="U1841" s="1">
        <f>IF(OR(Tabela2[[#This Row],[MTRANS]]="Walking",Tabela2[[#This Row],[MTRANS]]="Bike"),Tabela2[[#This Row],[FAF_atividade_fisica_frequente_em_horas]]+1,M1841)</f>
        <v>1.5088969999999999</v>
      </c>
      <c r="V1841">
        <f>(Tabela2[[#This Row],[SMOKE]]+Tabela2[[#This Row],[CALC_bebe_alcool_frequentemente]])</f>
        <v>1</v>
      </c>
      <c r="W1841" s="8">
        <f>(Tabela2[[#This Row],[Weight]]/(Tabela2[[#This Row],[Height]] ^2))</f>
        <v>43.864001718316715</v>
      </c>
    </row>
    <row r="1842" spans="1:23" x14ac:dyDescent="0.25">
      <c r="A1842" t="s">
        <v>13</v>
      </c>
      <c r="B1842" s="7">
        <v>21.051106999999998</v>
      </c>
      <c r="C1842" s="4">
        <v>1.753266</v>
      </c>
      <c r="D1842" s="7">
        <v>133.85243199999999</v>
      </c>
      <c r="E1842">
        <v>1</v>
      </c>
      <c r="F1842">
        <v>1</v>
      </c>
      <c r="G1842" s="2">
        <v>3</v>
      </c>
      <c r="H1842" s="2">
        <v>3</v>
      </c>
      <c r="I1842">
        <v>1</v>
      </c>
      <c r="J1842">
        <v>0</v>
      </c>
      <c r="K1842" s="2">
        <v>2.9531100000000001</v>
      </c>
      <c r="L1842">
        <v>0</v>
      </c>
      <c r="M1842" s="7">
        <v>1.4451480000000001</v>
      </c>
      <c r="N1842" s="7">
        <v>0.67320999999999998</v>
      </c>
      <c r="O1842">
        <v>1</v>
      </c>
      <c r="P1842" t="s">
        <v>14</v>
      </c>
      <c r="Q1842">
        <v>6</v>
      </c>
      <c r="R1842" s="8">
        <f>(Tabela2[[#This Row],[FAF_atividade_fisica_frequente_em_horas]]+ 0.1)</f>
        <v>1.5451480000000002</v>
      </c>
      <c r="S1842" s="1">
        <f>(Tabela2[[#This Row],[TUE_tempo_uso_aparelhos_em_horas]]/Tabela2[[#This Row],[FAF_Var]])</f>
        <v>0.43569289155472479</v>
      </c>
      <c r="T1842">
        <f>(Tabela2[[#This Row],[CAEC_lanche_entre_refeicoes]]*Tabela2[[#This Row],[FAVC_consumo_frequente_de_alimentos_mt_caloricos]])</f>
        <v>1</v>
      </c>
      <c r="U1842" s="1">
        <f>IF(OR(Tabela2[[#This Row],[MTRANS]]="Walking",Tabela2[[#This Row],[MTRANS]]="Bike"),Tabela2[[#This Row],[FAF_atividade_fisica_frequente_em_horas]]+1,M1842)</f>
        <v>1.4451480000000001</v>
      </c>
      <c r="V1842">
        <f>(Tabela2[[#This Row],[SMOKE]]+Tabela2[[#This Row],[CALC_bebe_alcool_frequentemente]])</f>
        <v>1</v>
      </c>
      <c r="W1842" s="8">
        <f>(Tabela2[[#This Row],[Weight]]/(Tabela2[[#This Row],[Height]] ^2))</f>
        <v>43.544232946117518</v>
      </c>
    </row>
    <row r="1843" spans="1:23" x14ac:dyDescent="0.25">
      <c r="A1843" t="s">
        <v>13</v>
      </c>
      <c r="B1843" s="7">
        <v>26</v>
      </c>
      <c r="C1843" s="4">
        <v>1.632193</v>
      </c>
      <c r="D1843" s="7">
        <v>111.886611</v>
      </c>
      <c r="E1843">
        <v>1</v>
      </c>
      <c r="F1843">
        <v>1</v>
      </c>
      <c r="G1843" s="2">
        <v>3</v>
      </c>
      <c r="H1843" s="2">
        <v>3</v>
      </c>
      <c r="I1843">
        <v>1</v>
      </c>
      <c r="J1843">
        <v>0</v>
      </c>
      <c r="K1843" s="2">
        <v>2.617988</v>
      </c>
      <c r="L1843">
        <v>0</v>
      </c>
      <c r="M1843" s="7">
        <v>0</v>
      </c>
      <c r="N1843" s="7">
        <v>0.15618699999999999</v>
      </c>
      <c r="O1843">
        <v>1</v>
      </c>
      <c r="P1843" t="s">
        <v>14</v>
      </c>
      <c r="Q1843">
        <v>6</v>
      </c>
      <c r="R1843" s="8">
        <f>(Tabela2[[#This Row],[FAF_atividade_fisica_frequente_em_horas]]+ 0.1)</f>
        <v>0.1</v>
      </c>
      <c r="S1843" s="1">
        <f>(Tabela2[[#This Row],[TUE_tempo_uso_aparelhos_em_horas]]/Tabela2[[#This Row],[FAF_Var]])</f>
        <v>1.5618699999999999</v>
      </c>
      <c r="T1843">
        <f>(Tabela2[[#This Row],[CAEC_lanche_entre_refeicoes]]*Tabela2[[#This Row],[FAVC_consumo_frequente_de_alimentos_mt_caloricos]])</f>
        <v>1</v>
      </c>
      <c r="U1843" s="1">
        <f>IF(OR(Tabela2[[#This Row],[MTRANS]]="Walking",Tabela2[[#This Row],[MTRANS]]="Bike"),Tabela2[[#This Row],[FAF_atividade_fisica_frequente_em_horas]]+1,M1843)</f>
        <v>0</v>
      </c>
      <c r="V1843">
        <f>(Tabela2[[#This Row],[SMOKE]]+Tabela2[[#This Row],[CALC_bebe_alcool_frequentemente]])</f>
        <v>1</v>
      </c>
      <c r="W1843" s="8">
        <f>(Tabela2[[#This Row],[Weight]]/(Tabela2[[#This Row],[Height]] ^2))</f>
        <v>41.998627449566428</v>
      </c>
    </row>
    <row r="1844" spans="1:23" x14ac:dyDescent="0.25">
      <c r="A1844" t="s">
        <v>13</v>
      </c>
      <c r="B1844" s="7">
        <v>26</v>
      </c>
      <c r="C1844" s="4">
        <v>1.6410979999999999</v>
      </c>
      <c r="D1844" s="7">
        <v>111.81834499999999</v>
      </c>
      <c r="E1844">
        <v>1</v>
      </c>
      <c r="F1844">
        <v>1</v>
      </c>
      <c r="G1844" s="2">
        <v>3</v>
      </c>
      <c r="H1844" s="2">
        <v>3</v>
      </c>
      <c r="I1844">
        <v>1</v>
      </c>
      <c r="J1844">
        <v>0</v>
      </c>
      <c r="K1844" s="2">
        <v>2.55057</v>
      </c>
      <c r="L1844">
        <v>0</v>
      </c>
      <c r="M1844" s="7">
        <v>0</v>
      </c>
      <c r="N1844" s="7">
        <v>0.20482</v>
      </c>
      <c r="O1844">
        <v>1</v>
      </c>
      <c r="P1844" t="s">
        <v>14</v>
      </c>
      <c r="Q1844">
        <v>6</v>
      </c>
      <c r="R1844" s="8">
        <f>(Tabela2[[#This Row],[FAF_atividade_fisica_frequente_em_horas]]+ 0.1)</f>
        <v>0.1</v>
      </c>
      <c r="S1844" s="1">
        <f>(Tabela2[[#This Row],[TUE_tempo_uso_aparelhos_em_horas]]/Tabela2[[#This Row],[FAF_Var]])</f>
        <v>2.0482</v>
      </c>
      <c r="T1844">
        <f>(Tabela2[[#This Row],[CAEC_lanche_entre_refeicoes]]*Tabela2[[#This Row],[FAVC_consumo_frequente_de_alimentos_mt_caloricos]])</f>
        <v>1</v>
      </c>
      <c r="U1844" s="1">
        <f>IF(OR(Tabela2[[#This Row],[MTRANS]]="Walking",Tabela2[[#This Row],[MTRANS]]="Bike"),Tabela2[[#This Row],[FAF_atividade_fisica_frequente_em_horas]]+1,M1844)</f>
        <v>0</v>
      </c>
      <c r="V1844">
        <f>(Tabela2[[#This Row],[SMOKE]]+Tabela2[[#This Row],[CALC_bebe_alcool_frequentemente]])</f>
        <v>1</v>
      </c>
      <c r="W1844" s="8">
        <f>(Tabela2[[#This Row],[Weight]]/(Tabela2[[#This Row],[Height]] ^2))</f>
        <v>41.518726852031101</v>
      </c>
    </row>
    <row r="1845" spans="1:23" x14ac:dyDescent="0.25">
      <c r="A1845" t="s">
        <v>13</v>
      </c>
      <c r="B1845" s="7">
        <v>25.998646000000001</v>
      </c>
      <c r="C1845" s="4">
        <v>1.640741</v>
      </c>
      <c r="D1845" s="7">
        <v>104.808542</v>
      </c>
      <c r="E1845">
        <v>1</v>
      </c>
      <c r="F1845">
        <v>1</v>
      </c>
      <c r="G1845" s="2">
        <v>3</v>
      </c>
      <c r="H1845" s="2">
        <v>3</v>
      </c>
      <c r="I1845">
        <v>1</v>
      </c>
      <c r="J1845">
        <v>0</v>
      </c>
      <c r="K1845" s="2">
        <v>2.6535310000000001</v>
      </c>
      <c r="L1845">
        <v>0</v>
      </c>
      <c r="M1845" s="7">
        <v>0.19006100000000001</v>
      </c>
      <c r="N1845" s="7">
        <v>0.69234300000000004</v>
      </c>
      <c r="O1845">
        <v>1</v>
      </c>
      <c r="P1845" t="s">
        <v>14</v>
      </c>
      <c r="Q1845">
        <v>6</v>
      </c>
      <c r="R1845" s="8">
        <f>(Tabela2[[#This Row],[FAF_atividade_fisica_frequente_em_horas]]+ 0.1)</f>
        <v>0.29006100000000001</v>
      </c>
      <c r="S1845" s="1">
        <f>(Tabela2[[#This Row],[TUE_tempo_uso_aparelhos_em_horas]]/Tabela2[[#This Row],[FAF_Var]])</f>
        <v>2.3868875857147289</v>
      </c>
      <c r="T1845">
        <f>(Tabela2[[#This Row],[CAEC_lanche_entre_refeicoes]]*Tabela2[[#This Row],[FAVC_consumo_frequente_de_alimentos_mt_caloricos]])</f>
        <v>1</v>
      </c>
      <c r="U1845" s="1">
        <f>IF(OR(Tabela2[[#This Row],[MTRANS]]="Walking",Tabela2[[#This Row],[MTRANS]]="Bike"),Tabela2[[#This Row],[FAF_atividade_fisica_frequente_em_horas]]+1,M1845)</f>
        <v>0.19006100000000001</v>
      </c>
      <c r="V1845">
        <f>(Tabela2[[#This Row],[SMOKE]]+Tabela2[[#This Row],[CALC_bebe_alcool_frequentemente]])</f>
        <v>1</v>
      </c>
      <c r="W1845" s="8">
        <f>(Tabela2[[#This Row],[Weight]]/(Tabela2[[#This Row],[Height]] ^2))</f>
        <v>38.932887796534551</v>
      </c>
    </row>
    <row r="1846" spans="1:23" x14ac:dyDescent="0.25">
      <c r="A1846" t="s">
        <v>13</v>
      </c>
      <c r="B1846" s="7">
        <v>26</v>
      </c>
      <c r="C1846" s="4">
        <v>1.618573</v>
      </c>
      <c r="D1846" s="7">
        <v>104.92864299999999</v>
      </c>
      <c r="E1846">
        <v>1</v>
      </c>
      <c r="F1846">
        <v>1</v>
      </c>
      <c r="G1846" s="2">
        <v>3</v>
      </c>
      <c r="H1846" s="2">
        <v>3</v>
      </c>
      <c r="I1846">
        <v>1</v>
      </c>
      <c r="J1846">
        <v>0</v>
      </c>
      <c r="K1846" s="2">
        <v>1.6987669999999999</v>
      </c>
      <c r="L1846">
        <v>0</v>
      </c>
      <c r="M1846" s="7">
        <v>0</v>
      </c>
      <c r="N1846" s="7">
        <v>0.54396</v>
      </c>
      <c r="O1846">
        <v>1</v>
      </c>
      <c r="P1846" t="s">
        <v>14</v>
      </c>
      <c r="Q1846">
        <v>6</v>
      </c>
      <c r="R1846" s="8">
        <f>(Tabela2[[#This Row],[FAF_atividade_fisica_frequente_em_horas]]+ 0.1)</f>
        <v>0.1</v>
      </c>
      <c r="S1846" s="1">
        <f>(Tabela2[[#This Row],[TUE_tempo_uso_aparelhos_em_horas]]/Tabela2[[#This Row],[FAF_Var]])</f>
        <v>5.4395999999999995</v>
      </c>
      <c r="T1846">
        <f>(Tabela2[[#This Row],[CAEC_lanche_entre_refeicoes]]*Tabela2[[#This Row],[FAVC_consumo_frequente_de_alimentos_mt_caloricos]])</f>
        <v>1</v>
      </c>
      <c r="U1846" s="1">
        <f>IF(OR(Tabela2[[#This Row],[MTRANS]]="Walking",Tabela2[[#This Row],[MTRANS]]="Bike"),Tabela2[[#This Row],[FAF_atividade_fisica_frequente_em_horas]]+1,M1846)</f>
        <v>0</v>
      </c>
      <c r="V1846">
        <f>(Tabela2[[#This Row],[SMOKE]]+Tabela2[[#This Row],[CALC_bebe_alcool_frequentemente]])</f>
        <v>1</v>
      </c>
      <c r="W1846" s="8">
        <f>(Tabela2[[#This Row],[Weight]]/(Tabela2[[#This Row],[Height]] ^2))</f>
        <v>40.052485637195488</v>
      </c>
    </row>
    <row r="1847" spans="1:23" x14ac:dyDescent="0.25">
      <c r="A1847" t="s">
        <v>13</v>
      </c>
      <c r="B1847" s="7">
        <v>22.846357000000001</v>
      </c>
      <c r="C1847" s="4">
        <v>1.7574419999999999</v>
      </c>
      <c r="D1847" s="7">
        <v>133.365094</v>
      </c>
      <c r="E1847">
        <v>1</v>
      </c>
      <c r="F1847">
        <v>1</v>
      </c>
      <c r="G1847" s="2">
        <v>3</v>
      </c>
      <c r="H1847" s="2">
        <v>3</v>
      </c>
      <c r="I1847">
        <v>1</v>
      </c>
      <c r="J1847">
        <v>0</v>
      </c>
      <c r="K1847" s="2">
        <v>2.8483700000000001</v>
      </c>
      <c r="L1847">
        <v>0</v>
      </c>
      <c r="M1847" s="7">
        <v>1.206059</v>
      </c>
      <c r="N1847" s="7">
        <v>0.76666800000000002</v>
      </c>
      <c r="O1847">
        <v>1</v>
      </c>
      <c r="P1847" t="s">
        <v>14</v>
      </c>
      <c r="Q1847">
        <v>6</v>
      </c>
      <c r="R1847" s="8">
        <f>(Tabela2[[#This Row],[FAF_atividade_fisica_frequente_em_horas]]+ 0.1)</f>
        <v>1.3060590000000001</v>
      </c>
      <c r="S1847" s="1">
        <f>(Tabela2[[#This Row],[TUE_tempo_uso_aparelhos_em_horas]]/Tabela2[[#This Row],[FAF_Var]])</f>
        <v>0.58700870328216415</v>
      </c>
      <c r="T1847">
        <f>(Tabela2[[#This Row],[CAEC_lanche_entre_refeicoes]]*Tabela2[[#This Row],[FAVC_consumo_frequente_de_alimentos_mt_caloricos]])</f>
        <v>1</v>
      </c>
      <c r="U1847" s="1">
        <f>IF(OR(Tabela2[[#This Row],[MTRANS]]="Walking",Tabela2[[#This Row],[MTRANS]]="Bike"),Tabela2[[#This Row],[FAF_atividade_fisica_frequente_em_horas]]+1,M1847)</f>
        <v>1.206059</v>
      </c>
      <c r="V1847">
        <f>(Tabela2[[#This Row],[SMOKE]]+Tabela2[[#This Row],[CALC_bebe_alcool_frequentemente]])</f>
        <v>1</v>
      </c>
      <c r="W1847" s="8">
        <f>(Tabela2[[#This Row],[Weight]]/(Tabela2[[#This Row],[Height]] ^2))</f>
        <v>43.179754933279341</v>
      </c>
    </row>
    <row r="1848" spans="1:23" x14ac:dyDescent="0.25">
      <c r="A1848" t="s">
        <v>13</v>
      </c>
      <c r="B1848" s="7">
        <v>19.885655</v>
      </c>
      <c r="C1848" s="4">
        <v>1.7633430000000001</v>
      </c>
      <c r="D1848" s="7">
        <v>133.952675</v>
      </c>
      <c r="E1848">
        <v>1</v>
      </c>
      <c r="F1848">
        <v>1</v>
      </c>
      <c r="G1848" s="2">
        <v>3</v>
      </c>
      <c r="H1848" s="2">
        <v>3</v>
      </c>
      <c r="I1848">
        <v>1</v>
      </c>
      <c r="J1848">
        <v>0</v>
      </c>
      <c r="K1848" s="2">
        <v>2.8356219999999999</v>
      </c>
      <c r="L1848">
        <v>0</v>
      </c>
      <c r="M1848" s="7">
        <v>1.419473</v>
      </c>
      <c r="N1848" s="7">
        <v>0.81698599999999999</v>
      </c>
      <c r="O1848">
        <v>1</v>
      </c>
      <c r="P1848" t="s">
        <v>14</v>
      </c>
      <c r="Q1848">
        <v>6</v>
      </c>
      <c r="R1848" s="8">
        <f>(Tabela2[[#This Row],[FAF_atividade_fisica_frequente_em_horas]]+ 0.1)</f>
        <v>1.5194730000000001</v>
      </c>
      <c r="S1848" s="1">
        <f>(Tabela2[[#This Row],[TUE_tempo_uso_aparelhos_em_horas]]/Tabela2[[#This Row],[FAF_Var]])</f>
        <v>0.53767720782139594</v>
      </c>
      <c r="T1848">
        <f>(Tabela2[[#This Row],[CAEC_lanche_entre_refeicoes]]*Tabela2[[#This Row],[FAVC_consumo_frequente_de_alimentos_mt_caloricos]])</f>
        <v>1</v>
      </c>
      <c r="U1848" s="1">
        <f>IF(OR(Tabela2[[#This Row],[MTRANS]]="Walking",Tabela2[[#This Row],[MTRANS]]="Bike"),Tabela2[[#This Row],[FAF_atividade_fisica_frequente_em_horas]]+1,M1848)</f>
        <v>1.419473</v>
      </c>
      <c r="V1848">
        <f>(Tabela2[[#This Row],[SMOKE]]+Tabela2[[#This Row],[CALC_bebe_alcool_frequentemente]])</f>
        <v>1</v>
      </c>
      <c r="W1848" s="8">
        <f>(Tabela2[[#This Row],[Weight]]/(Tabela2[[#This Row],[Height]] ^2))</f>
        <v>43.08020830022258</v>
      </c>
    </row>
    <row r="1849" spans="1:23" x14ac:dyDescent="0.25">
      <c r="A1849" t="s">
        <v>13</v>
      </c>
      <c r="B1849" s="7">
        <v>25.930375999999999</v>
      </c>
      <c r="C1849" s="4">
        <v>1.6100859999999999</v>
      </c>
      <c r="D1849" s="7">
        <v>102.38745</v>
      </c>
      <c r="E1849">
        <v>1</v>
      </c>
      <c r="F1849">
        <v>1</v>
      </c>
      <c r="G1849" s="2">
        <v>3</v>
      </c>
      <c r="H1849" s="2">
        <v>3</v>
      </c>
      <c r="I1849">
        <v>1</v>
      </c>
      <c r="J1849">
        <v>0</v>
      </c>
      <c r="K1849" s="2">
        <v>1.0505640000000001</v>
      </c>
      <c r="L1849">
        <v>0</v>
      </c>
      <c r="M1849" s="7">
        <v>2.6033000000000001E-2</v>
      </c>
      <c r="N1849" s="7">
        <v>0.53907400000000005</v>
      </c>
      <c r="O1849">
        <v>1</v>
      </c>
      <c r="P1849" t="s">
        <v>14</v>
      </c>
      <c r="Q1849">
        <v>6</v>
      </c>
      <c r="R1849" s="8">
        <f>(Tabela2[[#This Row],[FAF_atividade_fisica_frequente_em_horas]]+ 0.1)</f>
        <v>0.12603300000000001</v>
      </c>
      <c r="S1849" s="1">
        <f>(Tabela2[[#This Row],[TUE_tempo_uso_aparelhos_em_horas]]/Tabela2[[#This Row],[FAF_Var]])</f>
        <v>4.2772448485714065</v>
      </c>
      <c r="T1849">
        <f>(Tabela2[[#This Row],[CAEC_lanche_entre_refeicoes]]*Tabela2[[#This Row],[FAVC_consumo_frequente_de_alimentos_mt_caloricos]])</f>
        <v>1</v>
      </c>
      <c r="U1849" s="1">
        <f>IF(OR(Tabela2[[#This Row],[MTRANS]]="Walking",Tabela2[[#This Row],[MTRANS]]="Bike"),Tabela2[[#This Row],[FAF_atividade_fisica_frequente_em_horas]]+1,M1849)</f>
        <v>2.6033000000000001E-2</v>
      </c>
      <c r="V1849">
        <f>(Tabela2[[#This Row],[SMOKE]]+Tabela2[[#This Row],[CALC_bebe_alcool_frequentemente]])</f>
        <v>1</v>
      </c>
      <c r="W1849" s="8">
        <f>(Tabela2[[#This Row],[Weight]]/(Tabela2[[#This Row],[Height]] ^2))</f>
        <v>39.495587589126757</v>
      </c>
    </row>
    <row r="1850" spans="1:23" x14ac:dyDescent="0.25">
      <c r="A1850" t="s">
        <v>13</v>
      </c>
      <c r="B1850" s="7">
        <v>25.897815000000001</v>
      </c>
      <c r="C1850" s="4">
        <v>1.664463</v>
      </c>
      <c r="D1850" s="7">
        <v>102.781971</v>
      </c>
      <c r="E1850">
        <v>1</v>
      </c>
      <c r="F1850">
        <v>1</v>
      </c>
      <c r="G1850" s="2">
        <v>3</v>
      </c>
      <c r="H1850" s="2">
        <v>3</v>
      </c>
      <c r="I1850">
        <v>1</v>
      </c>
      <c r="J1850">
        <v>0</v>
      </c>
      <c r="K1850" s="2">
        <v>1.0684929999999999</v>
      </c>
      <c r="L1850">
        <v>0</v>
      </c>
      <c r="M1850" s="7">
        <v>0.112122</v>
      </c>
      <c r="N1850" s="7">
        <v>1</v>
      </c>
      <c r="O1850">
        <v>1</v>
      </c>
      <c r="P1850" t="s">
        <v>14</v>
      </c>
      <c r="Q1850">
        <v>6</v>
      </c>
      <c r="R1850" s="8">
        <f>(Tabela2[[#This Row],[FAF_atividade_fisica_frequente_em_horas]]+ 0.1)</f>
        <v>0.212122</v>
      </c>
      <c r="S1850" s="1">
        <f>(Tabela2[[#This Row],[TUE_tempo_uso_aparelhos_em_horas]]/Tabela2[[#This Row],[FAF_Var]])</f>
        <v>4.7142682041466699</v>
      </c>
      <c r="T1850">
        <f>(Tabela2[[#This Row],[CAEC_lanche_entre_refeicoes]]*Tabela2[[#This Row],[FAVC_consumo_frequente_de_alimentos_mt_caloricos]])</f>
        <v>1</v>
      </c>
      <c r="U1850" s="1">
        <f>IF(OR(Tabela2[[#This Row],[MTRANS]]="Walking",Tabela2[[#This Row],[MTRANS]]="Bike"),Tabela2[[#This Row],[FAF_atividade_fisica_frequente_em_horas]]+1,M1850)</f>
        <v>0.112122</v>
      </c>
      <c r="V1850">
        <f>(Tabela2[[#This Row],[SMOKE]]+Tabela2[[#This Row],[CALC_bebe_alcool_frequentemente]])</f>
        <v>1</v>
      </c>
      <c r="W1850" s="8">
        <f>(Tabela2[[#This Row],[Weight]]/(Tabela2[[#This Row],[Height]] ^2))</f>
        <v>37.099550754103163</v>
      </c>
    </row>
    <row r="1851" spans="1:23" x14ac:dyDescent="0.25">
      <c r="A1851" t="s">
        <v>13</v>
      </c>
      <c r="B1851" s="7">
        <v>26</v>
      </c>
      <c r="C1851" s="4">
        <v>1.602025</v>
      </c>
      <c r="D1851" s="7">
        <v>104.899348</v>
      </c>
      <c r="E1851">
        <v>1</v>
      </c>
      <c r="F1851">
        <v>1</v>
      </c>
      <c r="G1851" s="2">
        <v>3</v>
      </c>
      <c r="H1851" s="2">
        <v>3</v>
      </c>
      <c r="I1851">
        <v>1</v>
      </c>
      <c r="J1851">
        <v>0</v>
      </c>
      <c r="K1851" s="2">
        <v>2.613928</v>
      </c>
      <c r="L1851">
        <v>0</v>
      </c>
      <c r="M1851" s="7">
        <v>0</v>
      </c>
      <c r="N1851" s="7">
        <v>0.55309299999999995</v>
      </c>
      <c r="O1851">
        <v>1</v>
      </c>
      <c r="P1851" t="s">
        <v>14</v>
      </c>
      <c r="Q1851">
        <v>6</v>
      </c>
      <c r="R1851" s="8">
        <f>(Tabela2[[#This Row],[FAF_atividade_fisica_frequente_em_horas]]+ 0.1)</f>
        <v>0.1</v>
      </c>
      <c r="S1851" s="1">
        <f>(Tabela2[[#This Row],[TUE_tempo_uso_aparelhos_em_horas]]/Tabela2[[#This Row],[FAF_Var]])</f>
        <v>5.5309299999999988</v>
      </c>
      <c r="T1851">
        <f>(Tabela2[[#This Row],[CAEC_lanche_entre_refeicoes]]*Tabela2[[#This Row],[FAVC_consumo_frequente_de_alimentos_mt_caloricos]])</f>
        <v>1</v>
      </c>
      <c r="U1851" s="1">
        <f>IF(OR(Tabela2[[#This Row],[MTRANS]]="Walking",Tabela2[[#This Row],[MTRANS]]="Bike"),Tabela2[[#This Row],[FAF_atividade_fisica_frequente_em_horas]]+1,M1851)</f>
        <v>0</v>
      </c>
      <c r="V1851">
        <f>(Tabela2[[#This Row],[SMOKE]]+Tabela2[[#This Row],[CALC_bebe_alcool_frequentemente]])</f>
        <v>1</v>
      </c>
      <c r="W1851" s="8">
        <f>(Tabela2[[#This Row],[Weight]]/(Tabela2[[#This Row],[Height]] ^2))</f>
        <v>40.87278310995751</v>
      </c>
    </row>
    <row r="1852" spans="1:23" x14ac:dyDescent="0.25">
      <c r="A1852" t="s">
        <v>13</v>
      </c>
      <c r="B1852" s="7">
        <v>25.968792000000001</v>
      </c>
      <c r="C1852" s="4">
        <v>1.6328959999999999</v>
      </c>
      <c r="D1852" s="7">
        <v>104.98892499999999</v>
      </c>
      <c r="E1852">
        <v>1</v>
      </c>
      <c r="F1852">
        <v>1</v>
      </c>
      <c r="G1852" s="2">
        <v>3</v>
      </c>
      <c r="H1852" s="2">
        <v>3</v>
      </c>
      <c r="I1852">
        <v>1</v>
      </c>
      <c r="J1852">
        <v>0</v>
      </c>
      <c r="K1852" s="2">
        <v>1.239833</v>
      </c>
      <c r="L1852">
        <v>0</v>
      </c>
      <c r="M1852" s="7">
        <v>0.16227900000000001</v>
      </c>
      <c r="N1852" s="7">
        <v>0.61923499999999998</v>
      </c>
      <c r="O1852">
        <v>1</v>
      </c>
      <c r="P1852" t="s">
        <v>14</v>
      </c>
      <c r="Q1852">
        <v>6</v>
      </c>
      <c r="R1852" s="8">
        <f>(Tabela2[[#This Row],[FAF_atividade_fisica_frequente_em_horas]]+ 0.1)</f>
        <v>0.26227900000000004</v>
      </c>
      <c r="S1852" s="1">
        <f>(Tabela2[[#This Row],[TUE_tempo_uso_aparelhos_em_horas]]/Tabela2[[#This Row],[FAF_Var]])</f>
        <v>2.360978194975579</v>
      </c>
      <c r="T1852">
        <f>(Tabela2[[#This Row],[CAEC_lanche_entre_refeicoes]]*Tabela2[[#This Row],[FAVC_consumo_frequente_de_alimentos_mt_caloricos]])</f>
        <v>1</v>
      </c>
      <c r="U1852" s="1">
        <f>IF(OR(Tabela2[[#This Row],[MTRANS]]="Walking",Tabela2[[#This Row],[MTRANS]]="Bike"),Tabela2[[#This Row],[FAF_atividade_fisica_frequente_em_horas]]+1,M1852)</f>
        <v>0.16227900000000001</v>
      </c>
      <c r="V1852">
        <f>(Tabela2[[#This Row],[SMOKE]]+Tabela2[[#This Row],[CALC_bebe_alcool_frequentemente]])</f>
        <v>1</v>
      </c>
      <c r="W1852" s="8">
        <f>(Tabela2[[#This Row],[Weight]]/(Tabela2[[#This Row],[Height]] ^2))</f>
        <v>39.375532364268658</v>
      </c>
    </row>
    <row r="1853" spans="1:23" x14ac:dyDescent="0.25">
      <c r="A1853" t="s">
        <v>13</v>
      </c>
      <c r="B1853" s="7">
        <v>18.335018999999999</v>
      </c>
      <c r="C1853" s="4">
        <v>1.7710429999999999</v>
      </c>
      <c r="D1853" s="7">
        <v>137.04495900000001</v>
      </c>
      <c r="E1853">
        <v>1</v>
      </c>
      <c r="F1853">
        <v>1</v>
      </c>
      <c r="G1853" s="2">
        <v>3</v>
      </c>
      <c r="H1853" s="2">
        <v>3</v>
      </c>
      <c r="I1853">
        <v>1</v>
      </c>
      <c r="J1853">
        <v>0</v>
      </c>
      <c r="K1853" s="2">
        <v>2.8615330000000001</v>
      </c>
      <c r="L1853">
        <v>0</v>
      </c>
      <c r="M1853" s="7">
        <v>1.7046399999999999</v>
      </c>
      <c r="N1853" s="7">
        <v>0.65557100000000001</v>
      </c>
      <c r="O1853">
        <v>1</v>
      </c>
      <c r="P1853" t="s">
        <v>14</v>
      </c>
      <c r="Q1853">
        <v>6</v>
      </c>
      <c r="R1853" s="8">
        <f>(Tabela2[[#This Row],[FAF_atividade_fisica_frequente_em_horas]]+ 0.1)</f>
        <v>1.80464</v>
      </c>
      <c r="S1853" s="1">
        <f>(Tabela2[[#This Row],[TUE_tempo_uso_aparelhos_em_horas]]/Tabela2[[#This Row],[FAF_Var]])</f>
        <v>0.36326968259597481</v>
      </c>
      <c r="T1853">
        <f>(Tabela2[[#This Row],[CAEC_lanche_entre_refeicoes]]*Tabela2[[#This Row],[FAVC_consumo_frequente_de_alimentos_mt_caloricos]])</f>
        <v>1</v>
      </c>
      <c r="U1853" s="1">
        <f>IF(OR(Tabela2[[#This Row],[MTRANS]]="Walking",Tabela2[[#This Row],[MTRANS]]="Bike"),Tabela2[[#This Row],[FAF_atividade_fisica_frequente_em_horas]]+1,M1853)</f>
        <v>1.7046399999999999</v>
      </c>
      <c r="V1853">
        <f>(Tabela2[[#This Row],[SMOKE]]+Tabela2[[#This Row],[CALC_bebe_alcool_frequentemente]])</f>
        <v>1</v>
      </c>
      <c r="W1853" s="8">
        <f>(Tabela2[[#This Row],[Weight]]/(Tabela2[[#This Row],[Height]] ^2))</f>
        <v>43.692294648802317</v>
      </c>
    </row>
    <row r="1854" spans="1:23" x14ac:dyDescent="0.25">
      <c r="A1854" t="s">
        <v>13</v>
      </c>
      <c r="B1854" s="7">
        <v>21.700748000000001</v>
      </c>
      <c r="C1854" s="4">
        <v>1.789555</v>
      </c>
      <c r="D1854" s="7">
        <v>137.767787</v>
      </c>
      <c r="E1854">
        <v>1</v>
      </c>
      <c r="F1854">
        <v>1</v>
      </c>
      <c r="G1854" s="2">
        <v>3</v>
      </c>
      <c r="H1854" s="2">
        <v>3</v>
      </c>
      <c r="I1854">
        <v>1</v>
      </c>
      <c r="J1854">
        <v>0</v>
      </c>
      <c r="K1854" s="2">
        <v>2.832659</v>
      </c>
      <c r="L1854">
        <v>0</v>
      </c>
      <c r="M1854" s="7">
        <v>1.5057750000000001</v>
      </c>
      <c r="N1854" s="7">
        <v>0.92300499999999996</v>
      </c>
      <c r="O1854">
        <v>1</v>
      </c>
      <c r="P1854" t="s">
        <v>14</v>
      </c>
      <c r="Q1854">
        <v>6</v>
      </c>
      <c r="R1854" s="8">
        <f>(Tabela2[[#This Row],[FAF_atividade_fisica_frequente_em_horas]]+ 0.1)</f>
        <v>1.6057750000000002</v>
      </c>
      <c r="S1854" s="1">
        <f>(Tabela2[[#This Row],[TUE_tempo_uso_aparelhos_em_horas]]/Tabela2[[#This Row],[FAF_Var]])</f>
        <v>0.57480344381996229</v>
      </c>
      <c r="T1854">
        <f>(Tabela2[[#This Row],[CAEC_lanche_entre_refeicoes]]*Tabela2[[#This Row],[FAVC_consumo_frequente_de_alimentos_mt_caloricos]])</f>
        <v>1</v>
      </c>
      <c r="U1854" s="1">
        <f>IF(OR(Tabela2[[#This Row],[MTRANS]]="Walking",Tabela2[[#This Row],[MTRANS]]="Bike"),Tabela2[[#This Row],[FAF_atividade_fisica_frequente_em_horas]]+1,M1854)</f>
        <v>1.5057750000000001</v>
      </c>
      <c r="V1854">
        <f>(Tabela2[[#This Row],[SMOKE]]+Tabela2[[#This Row],[CALC_bebe_alcool_frequentemente]])</f>
        <v>1</v>
      </c>
      <c r="W1854" s="8">
        <f>(Tabela2[[#This Row],[Weight]]/(Tabela2[[#This Row],[Height]] ^2))</f>
        <v>43.018729633717903</v>
      </c>
    </row>
    <row r="1855" spans="1:23" x14ac:dyDescent="0.25">
      <c r="A1855" t="s">
        <v>13</v>
      </c>
      <c r="B1855" s="7">
        <v>18.222536000000002</v>
      </c>
      <c r="C1855" s="4">
        <v>1.8017460000000001</v>
      </c>
      <c r="D1855" s="7">
        <v>141.16626500000001</v>
      </c>
      <c r="E1855">
        <v>1</v>
      </c>
      <c r="F1855">
        <v>1</v>
      </c>
      <c r="G1855" s="2">
        <v>3</v>
      </c>
      <c r="H1855" s="2">
        <v>3</v>
      </c>
      <c r="I1855">
        <v>1</v>
      </c>
      <c r="J1855">
        <v>0</v>
      </c>
      <c r="K1855" s="2">
        <v>2.418488</v>
      </c>
      <c r="L1855">
        <v>0</v>
      </c>
      <c r="M1855" s="7">
        <v>1.9950699999999999</v>
      </c>
      <c r="N1855" s="7">
        <v>0.89351400000000003</v>
      </c>
      <c r="O1855">
        <v>1</v>
      </c>
      <c r="P1855" t="s">
        <v>14</v>
      </c>
      <c r="Q1855">
        <v>6</v>
      </c>
      <c r="R1855" s="8">
        <f>(Tabela2[[#This Row],[FAF_atividade_fisica_frequente_em_horas]]+ 0.1)</f>
        <v>2.0950699999999998</v>
      </c>
      <c r="S1855" s="1">
        <f>(Tabela2[[#This Row],[TUE_tempo_uso_aparelhos_em_horas]]/Tabela2[[#This Row],[FAF_Var]])</f>
        <v>0.42648407929090681</v>
      </c>
      <c r="T1855">
        <f>(Tabela2[[#This Row],[CAEC_lanche_entre_refeicoes]]*Tabela2[[#This Row],[FAVC_consumo_frequente_de_alimentos_mt_caloricos]])</f>
        <v>1</v>
      </c>
      <c r="U1855" s="1">
        <f>IF(OR(Tabela2[[#This Row],[MTRANS]]="Walking",Tabela2[[#This Row],[MTRANS]]="Bike"),Tabela2[[#This Row],[FAF_atividade_fisica_frequente_em_horas]]+1,M1855)</f>
        <v>1.9950699999999999</v>
      </c>
      <c r="V1855">
        <f>(Tabela2[[#This Row],[SMOKE]]+Tabela2[[#This Row],[CALC_bebe_alcool_frequentemente]])</f>
        <v>1</v>
      </c>
      <c r="W1855" s="8">
        <f>(Tabela2[[#This Row],[Weight]]/(Tabela2[[#This Row],[Height]] ^2))</f>
        <v>43.485432222588209</v>
      </c>
    </row>
    <row r="1856" spans="1:23" x14ac:dyDescent="0.25">
      <c r="A1856" t="s">
        <v>13</v>
      </c>
      <c r="B1856" s="7">
        <v>20.375599999999999</v>
      </c>
      <c r="C1856" s="4">
        <v>1.7871950000000001</v>
      </c>
      <c r="D1856" s="7">
        <v>151.975864</v>
      </c>
      <c r="E1856">
        <v>1</v>
      </c>
      <c r="F1856">
        <v>1</v>
      </c>
      <c r="G1856" s="2">
        <v>3</v>
      </c>
      <c r="H1856" s="2">
        <v>3</v>
      </c>
      <c r="I1856">
        <v>1</v>
      </c>
      <c r="J1856">
        <v>0</v>
      </c>
      <c r="K1856" s="2">
        <v>2.304716</v>
      </c>
      <c r="L1856">
        <v>0</v>
      </c>
      <c r="M1856" s="7">
        <v>0.82665999999999995</v>
      </c>
      <c r="N1856" s="7">
        <v>0.91449199999999997</v>
      </c>
      <c r="O1856">
        <v>1</v>
      </c>
      <c r="P1856" t="s">
        <v>14</v>
      </c>
      <c r="Q1856">
        <v>6</v>
      </c>
      <c r="R1856" s="8">
        <f>(Tabela2[[#This Row],[FAF_atividade_fisica_frequente_em_horas]]+ 0.1)</f>
        <v>0.92665999999999993</v>
      </c>
      <c r="S1856" s="1">
        <f>(Tabela2[[#This Row],[TUE_tempo_uso_aparelhos_em_horas]]/Tabela2[[#This Row],[FAF_Var]])</f>
        <v>0.9868689702803618</v>
      </c>
      <c r="T1856">
        <f>(Tabela2[[#This Row],[CAEC_lanche_entre_refeicoes]]*Tabela2[[#This Row],[FAVC_consumo_frequente_de_alimentos_mt_caloricos]])</f>
        <v>1</v>
      </c>
      <c r="U1856" s="1">
        <f>IF(OR(Tabela2[[#This Row],[MTRANS]]="Walking",Tabela2[[#This Row],[MTRANS]]="Bike"),Tabela2[[#This Row],[FAF_atividade_fisica_frequente_em_horas]]+1,M1856)</f>
        <v>0.82665999999999995</v>
      </c>
      <c r="V1856">
        <f>(Tabela2[[#This Row],[SMOKE]]+Tabela2[[#This Row],[CALC_bebe_alcool_frequentemente]])</f>
        <v>1</v>
      </c>
      <c r="W1856" s="8">
        <f>(Tabela2[[#This Row],[Weight]]/(Tabela2[[#This Row],[Height]] ^2))</f>
        <v>47.58069041822948</v>
      </c>
    </row>
    <row r="1857" spans="1:23" x14ac:dyDescent="0.25">
      <c r="A1857" t="s">
        <v>13</v>
      </c>
      <c r="B1857" s="7">
        <v>26</v>
      </c>
      <c r="C1857" s="4">
        <v>1.6441410000000001</v>
      </c>
      <c r="D1857" s="7">
        <v>111.942544</v>
      </c>
      <c r="E1857">
        <v>1</v>
      </c>
      <c r="F1857">
        <v>1</v>
      </c>
      <c r="G1857" s="2">
        <v>3</v>
      </c>
      <c r="H1857" s="2">
        <v>3</v>
      </c>
      <c r="I1857">
        <v>1</v>
      </c>
      <c r="J1857">
        <v>0</v>
      </c>
      <c r="K1857" s="2">
        <v>2.7630050000000002</v>
      </c>
      <c r="L1857">
        <v>0</v>
      </c>
      <c r="M1857" s="7">
        <v>0</v>
      </c>
      <c r="N1857" s="7">
        <v>0.101867</v>
      </c>
      <c r="O1857">
        <v>1</v>
      </c>
      <c r="P1857" t="s">
        <v>14</v>
      </c>
      <c r="Q1857">
        <v>6</v>
      </c>
      <c r="R1857" s="8">
        <f>(Tabela2[[#This Row],[FAF_atividade_fisica_frequente_em_horas]]+ 0.1)</f>
        <v>0.1</v>
      </c>
      <c r="S1857" s="1">
        <f>(Tabela2[[#This Row],[TUE_tempo_uso_aparelhos_em_horas]]/Tabela2[[#This Row],[FAF_Var]])</f>
        <v>1.01867</v>
      </c>
      <c r="T1857">
        <f>(Tabela2[[#This Row],[CAEC_lanche_entre_refeicoes]]*Tabela2[[#This Row],[FAVC_consumo_frequente_de_alimentos_mt_caloricos]])</f>
        <v>1</v>
      </c>
      <c r="U1857" s="1">
        <f>IF(OR(Tabela2[[#This Row],[MTRANS]]="Walking",Tabela2[[#This Row],[MTRANS]]="Bike"),Tabela2[[#This Row],[FAF_atividade_fisica_frequente_em_horas]]+1,M1857)</f>
        <v>0</v>
      </c>
      <c r="V1857">
        <f>(Tabela2[[#This Row],[SMOKE]]+Tabela2[[#This Row],[CALC_bebe_alcool_frequentemente]])</f>
        <v>1</v>
      </c>
      <c r="W1857" s="8">
        <f>(Tabela2[[#This Row],[Weight]]/(Tabela2[[#This Row],[Height]] ^2))</f>
        <v>41.411127334221398</v>
      </c>
    </row>
    <row r="1858" spans="1:23" x14ac:dyDescent="0.25">
      <c r="A1858" t="s">
        <v>13</v>
      </c>
      <c r="B1858" s="7">
        <v>26</v>
      </c>
      <c r="C1858" s="4">
        <v>1.6433549999999999</v>
      </c>
      <c r="D1858" s="7">
        <v>111.600553</v>
      </c>
      <c r="E1858">
        <v>1</v>
      </c>
      <c r="F1858">
        <v>1</v>
      </c>
      <c r="G1858" s="2">
        <v>3</v>
      </c>
      <c r="H1858" s="2">
        <v>3</v>
      </c>
      <c r="I1858">
        <v>1</v>
      </c>
      <c r="J1858">
        <v>0</v>
      </c>
      <c r="K1858" s="2">
        <v>2.6526160000000001</v>
      </c>
      <c r="L1858">
        <v>0</v>
      </c>
      <c r="M1858" s="7">
        <v>0</v>
      </c>
      <c r="N1858" s="7">
        <v>0.250502</v>
      </c>
      <c r="O1858">
        <v>1</v>
      </c>
      <c r="P1858" t="s">
        <v>14</v>
      </c>
      <c r="Q1858">
        <v>6</v>
      </c>
      <c r="R1858" s="8">
        <f>(Tabela2[[#This Row],[FAF_atividade_fisica_frequente_em_horas]]+ 0.1)</f>
        <v>0.1</v>
      </c>
      <c r="S1858" s="1">
        <f>(Tabela2[[#This Row],[TUE_tempo_uso_aparelhos_em_horas]]/Tabela2[[#This Row],[FAF_Var]])</f>
        <v>2.50502</v>
      </c>
      <c r="T1858">
        <f>(Tabela2[[#This Row],[CAEC_lanche_entre_refeicoes]]*Tabela2[[#This Row],[FAVC_consumo_frequente_de_alimentos_mt_caloricos]])</f>
        <v>1</v>
      </c>
      <c r="U1858" s="1">
        <f>IF(OR(Tabela2[[#This Row],[MTRANS]]="Walking",Tabela2[[#This Row],[MTRANS]]="Bike"),Tabela2[[#This Row],[FAF_atividade_fisica_frequente_em_horas]]+1,M1858)</f>
        <v>0</v>
      </c>
      <c r="V1858">
        <f>(Tabela2[[#This Row],[SMOKE]]+Tabela2[[#This Row],[CALC_bebe_alcool_frequentemente]])</f>
        <v>1</v>
      </c>
      <c r="W1858" s="8">
        <f>(Tabela2[[#This Row],[Weight]]/(Tabela2[[#This Row],[Height]] ^2))</f>
        <v>41.324115392363304</v>
      </c>
    </row>
    <row r="1859" spans="1:23" x14ac:dyDescent="0.25">
      <c r="A1859" t="s">
        <v>13</v>
      </c>
      <c r="B1859" s="7">
        <v>26</v>
      </c>
      <c r="C1859" s="4">
        <v>1.623707</v>
      </c>
      <c r="D1859" s="7">
        <v>105.037463</v>
      </c>
      <c r="E1859">
        <v>1</v>
      </c>
      <c r="F1859">
        <v>1</v>
      </c>
      <c r="G1859" s="2">
        <v>3</v>
      </c>
      <c r="H1859" s="2">
        <v>3</v>
      </c>
      <c r="I1859">
        <v>1</v>
      </c>
      <c r="J1859">
        <v>0</v>
      </c>
      <c r="K1859" s="2">
        <v>2.5531980000000001</v>
      </c>
      <c r="L1859">
        <v>0</v>
      </c>
      <c r="M1859" s="7">
        <v>0</v>
      </c>
      <c r="N1859" s="7">
        <v>0.39383800000000002</v>
      </c>
      <c r="O1859">
        <v>1</v>
      </c>
      <c r="P1859" t="s">
        <v>14</v>
      </c>
      <c r="Q1859">
        <v>6</v>
      </c>
      <c r="R1859" s="8">
        <f>(Tabela2[[#This Row],[FAF_atividade_fisica_frequente_em_horas]]+ 0.1)</f>
        <v>0.1</v>
      </c>
      <c r="S1859" s="1">
        <f>(Tabela2[[#This Row],[TUE_tempo_uso_aparelhos_em_horas]]/Tabela2[[#This Row],[FAF_Var]])</f>
        <v>3.93838</v>
      </c>
      <c r="T1859">
        <f>(Tabela2[[#This Row],[CAEC_lanche_entre_refeicoes]]*Tabela2[[#This Row],[FAVC_consumo_frequente_de_alimentos_mt_caloricos]])</f>
        <v>1</v>
      </c>
      <c r="U1859" s="1">
        <f>IF(OR(Tabela2[[#This Row],[MTRANS]]="Walking",Tabela2[[#This Row],[MTRANS]]="Bike"),Tabela2[[#This Row],[FAF_atividade_fisica_frequente_em_horas]]+1,M1859)</f>
        <v>0</v>
      </c>
      <c r="V1859">
        <f>(Tabela2[[#This Row],[SMOKE]]+Tabela2[[#This Row],[CALC_bebe_alcool_frequentemente]])</f>
        <v>1</v>
      </c>
      <c r="W1859" s="8">
        <f>(Tabela2[[#This Row],[Weight]]/(Tabela2[[#This Row],[Height]] ^2))</f>
        <v>39.840877716621293</v>
      </c>
    </row>
    <row r="1860" spans="1:23" x14ac:dyDescent="0.25">
      <c r="A1860" t="s">
        <v>13</v>
      </c>
      <c r="B1860" s="7">
        <v>26</v>
      </c>
      <c r="C1860" s="4">
        <v>1.610636</v>
      </c>
      <c r="D1860" s="7">
        <v>105.42353199999999</v>
      </c>
      <c r="E1860">
        <v>1</v>
      </c>
      <c r="F1860">
        <v>1</v>
      </c>
      <c r="G1860" s="2">
        <v>3</v>
      </c>
      <c r="H1860" s="2">
        <v>3</v>
      </c>
      <c r="I1860">
        <v>1</v>
      </c>
      <c r="J1860">
        <v>0</v>
      </c>
      <c r="K1860" s="2">
        <v>2.1805659999999998</v>
      </c>
      <c r="L1860">
        <v>0</v>
      </c>
      <c r="M1860" s="7">
        <v>0</v>
      </c>
      <c r="N1860" s="7">
        <v>0.51990499999999995</v>
      </c>
      <c r="O1860">
        <v>1</v>
      </c>
      <c r="P1860" t="s">
        <v>14</v>
      </c>
      <c r="Q1860">
        <v>6</v>
      </c>
      <c r="R1860" s="8">
        <f>(Tabela2[[#This Row],[FAF_atividade_fisica_frequente_em_horas]]+ 0.1)</f>
        <v>0.1</v>
      </c>
      <c r="S1860" s="1">
        <f>(Tabela2[[#This Row],[TUE_tempo_uso_aparelhos_em_horas]]/Tabela2[[#This Row],[FAF_Var]])</f>
        <v>5.1990499999999988</v>
      </c>
      <c r="T1860">
        <f>(Tabela2[[#This Row],[CAEC_lanche_entre_refeicoes]]*Tabela2[[#This Row],[FAVC_consumo_frequente_de_alimentos_mt_caloricos]])</f>
        <v>1</v>
      </c>
      <c r="U1860" s="1">
        <f>IF(OR(Tabela2[[#This Row],[MTRANS]]="Walking",Tabela2[[#This Row],[MTRANS]]="Bike"),Tabela2[[#This Row],[FAF_atividade_fisica_frequente_em_horas]]+1,M1860)</f>
        <v>0</v>
      </c>
      <c r="V1860">
        <f>(Tabela2[[#This Row],[SMOKE]]+Tabela2[[#This Row],[CALC_bebe_alcool_frequentemente]])</f>
        <v>1</v>
      </c>
      <c r="W1860" s="8">
        <f>(Tabela2[[#This Row],[Weight]]/(Tabela2[[#This Row],[Height]] ^2))</f>
        <v>40.638976192882893</v>
      </c>
    </row>
    <row r="1861" spans="1:23" x14ac:dyDescent="0.25">
      <c r="A1861" t="s">
        <v>13</v>
      </c>
      <c r="B1861" s="7">
        <v>25.943826999999999</v>
      </c>
      <c r="C1861" s="4">
        <v>1.629491</v>
      </c>
      <c r="D1861" s="7">
        <v>104.839068</v>
      </c>
      <c r="E1861">
        <v>1</v>
      </c>
      <c r="F1861">
        <v>1</v>
      </c>
      <c r="G1861" s="2">
        <v>3</v>
      </c>
      <c r="H1861" s="2">
        <v>3</v>
      </c>
      <c r="I1861">
        <v>1</v>
      </c>
      <c r="J1861">
        <v>0</v>
      </c>
      <c r="K1861" s="2">
        <v>2.2097899999999999</v>
      </c>
      <c r="L1861">
        <v>0</v>
      </c>
      <c r="M1861" s="7">
        <v>0.11469799999999999</v>
      </c>
      <c r="N1861" s="7">
        <v>0.60442200000000001</v>
      </c>
      <c r="O1861">
        <v>1</v>
      </c>
      <c r="P1861" t="s">
        <v>14</v>
      </c>
      <c r="Q1861">
        <v>6</v>
      </c>
      <c r="R1861" s="8">
        <f>(Tabela2[[#This Row],[FAF_atividade_fisica_frequente_em_horas]]+ 0.1)</f>
        <v>0.214698</v>
      </c>
      <c r="S1861" s="1">
        <f>(Tabela2[[#This Row],[TUE_tempo_uso_aparelhos_em_horas]]/Tabela2[[#This Row],[FAF_Var]])</f>
        <v>2.8152195176480452</v>
      </c>
      <c r="T1861">
        <f>(Tabela2[[#This Row],[CAEC_lanche_entre_refeicoes]]*Tabela2[[#This Row],[FAVC_consumo_frequente_de_alimentos_mt_caloricos]])</f>
        <v>1</v>
      </c>
      <c r="U1861" s="1">
        <f>IF(OR(Tabela2[[#This Row],[MTRANS]]="Walking",Tabela2[[#This Row],[MTRANS]]="Bike"),Tabela2[[#This Row],[FAF_atividade_fisica_frequente_em_horas]]+1,M1861)</f>
        <v>0.11469799999999999</v>
      </c>
      <c r="V1861">
        <f>(Tabela2[[#This Row],[SMOKE]]+Tabela2[[#This Row],[CALC_bebe_alcool_frequentemente]])</f>
        <v>1</v>
      </c>
      <c r="W1861" s="8">
        <f>(Tabela2[[#This Row],[Weight]]/(Tabela2[[#This Row],[Height]] ^2))</f>
        <v>39.483825082164529</v>
      </c>
    </row>
    <row r="1862" spans="1:23" x14ac:dyDescent="0.25">
      <c r="A1862" t="s">
        <v>13</v>
      </c>
      <c r="B1862" s="7">
        <v>25.291974</v>
      </c>
      <c r="C1862" s="4">
        <v>1.684768</v>
      </c>
      <c r="D1862" s="7">
        <v>104.821175</v>
      </c>
      <c r="E1862">
        <v>1</v>
      </c>
      <c r="F1862">
        <v>1</v>
      </c>
      <c r="G1862" s="2">
        <v>3</v>
      </c>
      <c r="H1862" s="2">
        <v>3</v>
      </c>
      <c r="I1862">
        <v>1</v>
      </c>
      <c r="J1862">
        <v>0</v>
      </c>
      <c r="K1862" s="2">
        <v>1.4443790000000001</v>
      </c>
      <c r="L1862">
        <v>0</v>
      </c>
      <c r="M1862" s="7">
        <v>0.22448199999999999</v>
      </c>
      <c r="N1862" s="7">
        <v>0.91218699999999997</v>
      </c>
      <c r="O1862">
        <v>1</v>
      </c>
      <c r="P1862" t="s">
        <v>14</v>
      </c>
      <c r="Q1862">
        <v>6</v>
      </c>
      <c r="R1862" s="8">
        <f>(Tabela2[[#This Row],[FAF_atividade_fisica_frequente_em_horas]]+ 0.1)</f>
        <v>0.32448199999999999</v>
      </c>
      <c r="S1862" s="1">
        <f>(Tabela2[[#This Row],[TUE_tempo_uso_aparelhos_em_horas]]/Tabela2[[#This Row],[FAF_Var]])</f>
        <v>2.8112098668030892</v>
      </c>
      <c r="T1862">
        <f>(Tabela2[[#This Row],[CAEC_lanche_entre_refeicoes]]*Tabela2[[#This Row],[FAVC_consumo_frequente_de_alimentos_mt_caloricos]])</f>
        <v>1</v>
      </c>
      <c r="U1862" s="1">
        <f>IF(OR(Tabela2[[#This Row],[MTRANS]]="Walking",Tabela2[[#This Row],[MTRANS]]="Bike"),Tabela2[[#This Row],[FAF_atividade_fisica_frequente_em_horas]]+1,M1862)</f>
        <v>0.22448199999999999</v>
      </c>
      <c r="V1862">
        <f>(Tabela2[[#This Row],[SMOKE]]+Tabela2[[#This Row],[CALC_bebe_alcool_frequentemente]])</f>
        <v>1</v>
      </c>
      <c r="W1862" s="8">
        <f>(Tabela2[[#This Row],[Weight]]/(Tabela2[[#This Row],[Height]] ^2))</f>
        <v>36.929107649394574</v>
      </c>
    </row>
    <row r="1863" spans="1:23" x14ac:dyDescent="0.25">
      <c r="A1863" t="s">
        <v>13</v>
      </c>
      <c r="B1863" s="7">
        <v>25.653233</v>
      </c>
      <c r="C1863" s="4">
        <v>1.6649400000000001</v>
      </c>
      <c r="D1863" s="7">
        <v>110.92216999999999</v>
      </c>
      <c r="E1863">
        <v>1</v>
      </c>
      <c r="F1863">
        <v>1</v>
      </c>
      <c r="G1863" s="2">
        <v>3</v>
      </c>
      <c r="H1863" s="2">
        <v>3</v>
      </c>
      <c r="I1863">
        <v>1</v>
      </c>
      <c r="J1863">
        <v>0</v>
      </c>
      <c r="K1863" s="2">
        <v>1.6040749999999999</v>
      </c>
      <c r="L1863">
        <v>0</v>
      </c>
      <c r="M1863" s="7">
        <v>2.9728000000000001E-2</v>
      </c>
      <c r="N1863" s="7">
        <v>0.20012199999999999</v>
      </c>
      <c r="O1863">
        <v>1</v>
      </c>
      <c r="P1863" t="s">
        <v>14</v>
      </c>
      <c r="Q1863">
        <v>6</v>
      </c>
      <c r="R1863" s="8">
        <f>(Tabela2[[#This Row],[FAF_atividade_fisica_frequente_em_horas]]+ 0.1)</f>
        <v>0.12972800000000001</v>
      </c>
      <c r="S1863" s="1">
        <f>(Tabela2[[#This Row],[TUE_tempo_uso_aparelhos_em_horas]]/Tabela2[[#This Row],[FAF_Var]])</f>
        <v>1.5426276517020225</v>
      </c>
      <c r="T1863">
        <f>(Tabela2[[#This Row],[CAEC_lanche_entre_refeicoes]]*Tabela2[[#This Row],[FAVC_consumo_frequente_de_alimentos_mt_caloricos]])</f>
        <v>1</v>
      </c>
      <c r="U1863" s="1">
        <f>IF(OR(Tabela2[[#This Row],[MTRANS]]="Walking",Tabela2[[#This Row],[MTRANS]]="Bike"),Tabela2[[#This Row],[FAF_atividade_fisica_frequente_em_horas]]+1,M1863)</f>
        <v>2.9728000000000001E-2</v>
      </c>
      <c r="V1863">
        <f>(Tabela2[[#This Row],[SMOKE]]+Tabela2[[#This Row],[CALC_bebe_alcool_frequentemente]])</f>
        <v>1</v>
      </c>
      <c r="W1863" s="8">
        <f>(Tabela2[[#This Row],[Weight]]/(Tabela2[[#This Row],[Height]] ^2))</f>
        <v>40.01484901939078</v>
      </c>
    </row>
    <row r="1864" spans="1:23" x14ac:dyDescent="0.25">
      <c r="A1864" t="s">
        <v>13</v>
      </c>
      <c r="B1864" s="7">
        <v>25.783864999999999</v>
      </c>
      <c r="C1864" s="4">
        <v>1.655646</v>
      </c>
      <c r="D1864" s="7">
        <v>110.21733999999999</v>
      </c>
      <c r="E1864">
        <v>1</v>
      </c>
      <c r="F1864">
        <v>1</v>
      </c>
      <c r="G1864" s="2">
        <v>3</v>
      </c>
      <c r="H1864" s="2">
        <v>3</v>
      </c>
      <c r="I1864">
        <v>1</v>
      </c>
      <c r="J1864">
        <v>0</v>
      </c>
      <c r="K1864" s="2">
        <v>1.5282579999999999</v>
      </c>
      <c r="L1864">
        <v>0</v>
      </c>
      <c r="M1864" s="7">
        <v>1.5859999999999999E-2</v>
      </c>
      <c r="N1864" s="7">
        <v>0.43606800000000001</v>
      </c>
      <c r="O1864">
        <v>1</v>
      </c>
      <c r="P1864" t="s">
        <v>14</v>
      </c>
      <c r="Q1864">
        <v>6</v>
      </c>
      <c r="R1864" s="8">
        <f>(Tabela2[[#This Row],[FAF_atividade_fisica_frequente_em_horas]]+ 0.1)</f>
        <v>0.11586</v>
      </c>
      <c r="S1864" s="1">
        <f>(Tabela2[[#This Row],[TUE_tempo_uso_aparelhos_em_horas]]/Tabela2[[#This Row],[FAF_Var]])</f>
        <v>3.7637493526670118</v>
      </c>
      <c r="T1864">
        <f>(Tabela2[[#This Row],[CAEC_lanche_entre_refeicoes]]*Tabela2[[#This Row],[FAVC_consumo_frequente_de_alimentos_mt_caloricos]])</f>
        <v>1</v>
      </c>
      <c r="U1864" s="1">
        <f>IF(OR(Tabela2[[#This Row],[MTRANS]]="Walking",Tabela2[[#This Row],[MTRANS]]="Bike"),Tabela2[[#This Row],[FAF_atividade_fisica_frequente_em_horas]]+1,M1864)</f>
        <v>1.5859999999999999E-2</v>
      </c>
      <c r="V1864">
        <f>(Tabela2[[#This Row],[SMOKE]]+Tabela2[[#This Row],[CALC_bebe_alcool_frequentemente]])</f>
        <v>1</v>
      </c>
      <c r="W1864" s="8">
        <f>(Tabela2[[#This Row],[Weight]]/(Tabela2[[#This Row],[Height]] ^2))</f>
        <v>40.208230144038275</v>
      </c>
    </row>
    <row r="1865" spans="1:23" x14ac:dyDescent="0.25">
      <c r="A1865" t="s">
        <v>13</v>
      </c>
      <c r="B1865" s="7">
        <v>19.17614</v>
      </c>
      <c r="C1865" s="4">
        <v>1.666194</v>
      </c>
      <c r="D1865" s="7">
        <v>124.805868</v>
      </c>
      <c r="E1865">
        <v>1</v>
      </c>
      <c r="F1865">
        <v>1</v>
      </c>
      <c r="G1865" s="2">
        <v>3</v>
      </c>
      <c r="H1865" s="2">
        <v>3</v>
      </c>
      <c r="I1865">
        <v>1</v>
      </c>
      <c r="J1865">
        <v>0</v>
      </c>
      <c r="K1865" s="2">
        <v>1.2288380000000001</v>
      </c>
      <c r="L1865">
        <v>0</v>
      </c>
      <c r="M1865" s="7">
        <v>0.79255299999999995</v>
      </c>
      <c r="N1865" s="7">
        <v>0.63956100000000005</v>
      </c>
      <c r="O1865">
        <v>1</v>
      </c>
      <c r="P1865" t="s">
        <v>14</v>
      </c>
      <c r="Q1865">
        <v>6</v>
      </c>
      <c r="R1865" s="8">
        <f>(Tabela2[[#This Row],[FAF_atividade_fisica_frequente_em_horas]]+ 0.1)</f>
        <v>0.89255299999999993</v>
      </c>
      <c r="S1865" s="1">
        <f>(Tabela2[[#This Row],[TUE_tempo_uso_aparelhos_em_horas]]/Tabela2[[#This Row],[FAF_Var]])</f>
        <v>0.71655240641172024</v>
      </c>
      <c r="T1865">
        <f>(Tabela2[[#This Row],[CAEC_lanche_entre_refeicoes]]*Tabela2[[#This Row],[FAVC_consumo_frequente_de_alimentos_mt_caloricos]])</f>
        <v>1</v>
      </c>
      <c r="U1865" s="1">
        <f>IF(OR(Tabela2[[#This Row],[MTRANS]]="Walking",Tabela2[[#This Row],[MTRANS]]="Bike"),Tabela2[[#This Row],[FAF_atividade_fisica_frequente_em_horas]]+1,M1865)</f>
        <v>0.79255299999999995</v>
      </c>
      <c r="V1865">
        <f>(Tabela2[[#This Row],[SMOKE]]+Tabela2[[#This Row],[CALC_bebe_alcool_frequentemente]])</f>
        <v>1</v>
      </c>
      <c r="W1865" s="8">
        <f>(Tabela2[[#This Row],[Weight]]/(Tabela2[[#This Row],[Height]] ^2))</f>
        <v>44.955607684946138</v>
      </c>
    </row>
    <row r="1866" spans="1:23" x14ac:dyDescent="0.25">
      <c r="A1866" t="s">
        <v>13</v>
      </c>
      <c r="B1866" s="7">
        <v>21.207422999999999</v>
      </c>
      <c r="C1866" s="4">
        <v>1.707508</v>
      </c>
      <c r="D1866" s="7">
        <v>121.86432600000001</v>
      </c>
      <c r="E1866">
        <v>1</v>
      </c>
      <c r="F1866">
        <v>1</v>
      </c>
      <c r="G1866" s="2">
        <v>3</v>
      </c>
      <c r="H1866" s="2">
        <v>3</v>
      </c>
      <c r="I1866">
        <v>1</v>
      </c>
      <c r="J1866">
        <v>0</v>
      </c>
      <c r="K1866" s="2">
        <v>1.615548</v>
      </c>
      <c r="L1866">
        <v>0</v>
      </c>
      <c r="M1866" s="7">
        <v>1.3765339999999999</v>
      </c>
      <c r="N1866" s="7">
        <v>0.92605199999999999</v>
      </c>
      <c r="O1866">
        <v>1</v>
      </c>
      <c r="P1866" t="s">
        <v>14</v>
      </c>
      <c r="Q1866">
        <v>6</v>
      </c>
      <c r="R1866" s="8">
        <f>(Tabela2[[#This Row],[FAF_atividade_fisica_frequente_em_horas]]+ 0.1)</f>
        <v>1.476534</v>
      </c>
      <c r="S1866" s="1">
        <f>(Tabela2[[#This Row],[TUE_tempo_uso_aparelhos_em_horas]]/Tabela2[[#This Row],[FAF_Var]])</f>
        <v>0.62717959762524944</v>
      </c>
      <c r="T1866">
        <f>(Tabela2[[#This Row],[CAEC_lanche_entre_refeicoes]]*Tabela2[[#This Row],[FAVC_consumo_frequente_de_alimentos_mt_caloricos]])</f>
        <v>1</v>
      </c>
      <c r="U1866" s="1">
        <f>IF(OR(Tabela2[[#This Row],[MTRANS]]="Walking",Tabela2[[#This Row],[MTRANS]]="Bike"),Tabela2[[#This Row],[FAF_atividade_fisica_frequente_em_horas]]+1,M1866)</f>
        <v>1.3765339999999999</v>
      </c>
      <c r="V1866">
        <f>(Tabela2[[#This Row],[SMOKE]]+Tabela2[[#This Row],[CALC_bebe_alcool_frequentemente]])</f>
        <v>1</v>
      </c>
      <c r="W1866" s="8">
        <f>(Tabela2[[#This Row],[Weight]]/(Tabela2[[#This Row],[Height]] ^2))</f>
        <v>41.797576050040973</v>
      </c>
    </row>
    <row r="1867" spans="1:23" x14ac:dyDescent="0.25">
      <c r="A1867" t="s">
        <v>13</v>
      </c>
      <c r="B1867" s="7">
        <v>21.633056</v>
      </c>
      <c r="C1867" s="4">
        <v>1.7541739999999999</v>
      </c>
      <c r="D1867" s="7">
        <v>133.78395499999999</v>
      </c>
      <c r="E1867">
        <v>1</v>
      </c>
      <c r="F1867">
        <v>1</v>
      </c>
      <c r="G1867" s="2">
        <v>3</v>
      </c>
      <c r="H1867" s="2">
        <v>3</v>
      </c>
      <c r="I1867">
        <v>1</v>
      </c>
      <c r="J1867">
        <v>0</v>
      </c>
      <c r="K1867" s="2">
        <v>1.9459500000000001</v>
      </c>
      <c r="L1867">
        <v>0</v>
      </c>
      <c r="M1867" s="7">
        <v>1.493018</v>
      </c>
      <c r="N1867" s="7">
        <v>0.90661099999999994</v>
      </c>
      <c r="O1867">
        <v>1</v>
      </c>
      <c r="P1867" t="s">
        <v>14</v>
      </c>
      <c r="Q1867">
        <v>6</v>
      </c>
      <c r="R1867" s="8">
        <f>(Tabela2[[#This Row],[FAF_atividade_fisica_frequente_em_horas]]+ 0.1)</f>
        <v>1.593018</v>
      </c>
      <c r="S1867" s="1">
        <f>(Tabela2[[#This Row],[TUE_tempo_uso_aparelhos_em_horas]]/Tabela2[[#This Row],[FAF_Var]])</f>
        <v>0.56911535211780406</v>
      </c>
      <c r="T1867">
        <f>(Tabela2[[#This Row],[CAEC_lanche_entre_refeicoes]]*Tabela2[[#This Row],[FAVC_consumo_frequente_de_alimentos_mt_caloricos]])</f>
        <v>1</v>
      </c>
      <c r="U1867" s="1">
        <f>IF(OR(Tabela2[[#This Row],[MTRANS]]="Walking",Tabela2[[#This Row],[MTRANS]]="Bike"),Tabela2[[#This Row],[FAF_atividade_fisica_frequente_em_horas]]+1,M1867)</f>
        <v>1.493018</v>
      </c>
      <c r="V1867">
        <f>(Tabela2[[#This Row],[SMOKE]]+Tabela2[[#This Row],[CALC_bebe_alcool_frequentemente]])</f>
        <v>1</v>
      </c>
      <c r="W1867" s="8">
        <f>(Tabela2[[#This Row],[Weight]]/(Tabela2[[#This Row],[Height]] ^2))</f>
        <v>43.476912105888246</v>
      </c>
    </row>
    <row r="1868" spans="1:23" x14ac:dyDescent="0.25">
      <c r="A1868" t="s">
        <v>13</v>
      </c>
      <c r="B1868" s="7">
        <v>21.009595999999998</v>
      </c>
      <c r="C1868" s="4">
        <v>1.7141930000000001</v>
      </c>
      <c r="D1868" s="7">
        <v>131.86673400000001</v>
      </c>
      <c r="E1868">
        <v>1</v>
      </c>
      <c r="F1868">
        <v>1</v>
      </c>
      <c r="G1868" s="2">
        <v>3</v>
      </c>
      <c r="H1868" s="2">
        <v>3</v>
      </c>
      <c r="I1868">
        <v>1</v>
      </c>
      <c r="J1868">
        <v>0</v>
      </c>
      <c r="K1868" s="2">
        <v>1.7095560000000001</v>
      </c>
      <c r="L1868">
        <v>0</v>
      </c>
      <c r="M1868" s="7">
        <v>1.5924940000000001</v>
      </c>
      <c r="N1868" s="7">
        <v>0.92584299999999997</v>
      </c>
      <c r="O1868">
        <v>1</v>
      </c>
      <c r="P1868" t="s">
        <v>14</v>
      </c>
      <c r="Q1868">
        <v>6</v>
      </c>
      <c r="R1868" s="8">
        <f>(Tabela2[[#This Row],[FAF_atividade_fisica_frequente_em_horas]]+ 0.1)</f>
        <v>1.6924940000000002</v>
      </c>
      <c r="S1868" s="1">
        <f>(Tabela2[[#This Row],[TUE_tempo_uso_aparelhos_em_horas]]/Tabela2[[#This Row],[FAF_Var]])</f>
        <v>0.54702882255417151</v>
      </c>
      <c r="T1868">
        <f>(Tabela2[[#This Row],[CAEC_lanche_entre_refeicoes]]*Tabela2[[#This Row],[FAVC_consumo_frequente_de_alimentos_mt_caloricos]])</f>
        <v>1</v>
      </c>
      <c r="U1868" s="1">
        <f>IF(OR(Tabela2[[#This Row],[MTRANS]]="Walking",Tabela2[[#This Row],[MTRANS]]="Bike"),Tabela2[[#This Row],[FAF_atividade_fisica_frequente_em_horas]]+1,M1868)</f>
        <v>1.5924940000000001</v>
      </c>
      <c r="V1868">
        <f>(Tabela2[[#This Row],[SMOKE]]+Tabela2[[#This Row],[CALC_bebe_alcool_frequentemente]])</f>
        <v>1</v>
      </c>
      <c r="W1868" s="8">
        <f>(Tabela2[[#This Row],[Weight]]/(Tabela2[[#This Row],[Height]] ^2))</f>
        <v>44.876173183136189</v>
      </c>
    </row>
    <row r="1869" spans="1:23" x14ac:dyDescent="0.25">
      <c r="A1869" t="s">
        <v>13</v>
      </c>
      <c r="B1869" s="7">
        <v>26</v>
      </c>
      <c r="C1869" s="4">
        <v>1.62439</v>
      </c>
      <c r="D1869" s="7">
        <v>110.008636</v>
      </c>
      <c r="E1869">
        <v>1</v>
      </c>
      <c r="F1869">
        <v>1</v>
      </c>
      <c r="G1869" s="2">
        <v>3</v>
      </c>
      <c r="H1869" s="2">
        <v>3</v>
      </c>
      <c r="I1869">
        <v>1</v>
      </c>
      <c r="J1869">
        <v>0</v>
      </c>
      <c r="K1869" s="2">
        <v>2.5074610000000002</v>
      </c>
      <c r="L1869">
        <v>0</v>
      </c>
      <c r="M1869" s="7">
        <v>0</v>
      </c>
      <c r="N1869" s="7">
        <v>0.36847200000000002</v>
      </c>
      <c r="O1869">
        <v>1</v>
      </c>
      <c r="P1869" t="s">
        <v>14</v>
      </c>
      <c r="Q1869">
        <v>6</v>
      </c>
      <c r="R1869" s="8">
        <f>(Tabela2[[#This Row],[FAF_atividade_fisica_frequente_em_horas]]+ 0.1)</f>
        <v>0.1</v>
      </c>
      <c r="S1869" s="1">
        <f>(Tabela2[[#This Row],[TUE_tempo_uso_aparelhos_em_horas]]/Tabela2[[#This Row],[FAF_Var]])</f>
        <v>3.68472</v>
      </c>
      <c r="T1869">
        <f>(Tabela2[[#This Row],[CAEC_lanche_entre_refeicoes]]*Tabela2[[#This Row],[FAVC_consumo_frequente_de_alimentos_mt_caloricos]])</f>
        <v>1</v>
      </c>
      <c r="U1869" s="1">
        <f>IF(OR(Tabela2[[#This Row],[MTRANS]]="Walking",Tabela2[[#This Row],[MTRANS]]="Bike"),Tabela2[[#This Row],[FAF_atividade_fisica_frequente_em_horas]]+1,M1869)</f>
        <v>0</v>
      </c>
      <c r="V1869">
        <f>(Tabela2[[#This Row],[SMOKE]]+Tabela2[[#This Row],[CALC_bebe_alcool_frequentemente]])</f>
        <v>1</v>
      </c>
      <c r="W1869" s="8">
        <f>(Tabela2[[#This Row],[Weight]]/(Tabela2[[#This Row],[Height]] ^2))</f>
        <v>41.691369894421562</v>
      </c>
    </row>
    <row r="1870" spans="1:23" x14ac:dyDescent="0.25">
      <c r="A1870" t="s">
        <v>13</v>
      </c>
      <c r="B1870" s="7">
        <v>26</v>
      </c>
      <c r="C1870" s="4">
        <v>1.638836</v>
      </c>
      <c r="D1870" s="7">
        <v>110.970479</v>
      </c>
      <c r="E1870">
        <v>1</v>
      </c>
      <c r="F1870">
        <v>1</v>
      </c>
      <c r="G1870" s="2">
        <v>3</v>
      </c>
      <c r="H1870" s="2">
        <v>3</v>
      </c>
      <c r="I1870">
        <v>1</v>
      </c>
      <c r="J1870">
        <v>0</v>
      </c>
      <c r="K1870" s="2">
        <v>2.6441349999999999</v>
      </c>
      <c r="L1870">
        <v>0</v>
      </c>
      <c r="M1870" s="7">
        <v>0</v>
      </c>
      <c r="N1870" s="7">
        <v>0.35758099999999998</v>
      </c>
      <c r="O1870">
        <v>1</v>
      </c>
      <c r="P1870" t="s">
        <v>14</v>
      </c>
      <c r="Q1870">
        <v>6</v>
      </c>
      <c r="R1870" s="8">
        <f>(Tabela2[[#This Row],[FAF_atividade_fisica_frequente_em_horas]]+ 0.1)</f>
        <v>0.1</v>
      </c>
      <c r="S1870" s="1">
        <f>(Tabela2[[#This Row],[TUE_tempo_uso_aparelhos_em_horas]]/Tabela2[[#This Row],[FAF_Var]])</f>
        <v>3.5758099999999997</v>
      </c>
      <c r="T1870">
        <f>(Tabela2[[#This Row],[CAEC_lanche_entre_refeicoes]]*Tabela2[[#This Row],[FAVC_consumo_frequente_de_alimentos_mt_caloricos]])</f>
        <v>1</v>
      </c>
      <c r="U1870" s="1">
        <f>IF(OR(Tabela2[[#This Row],[MTRANS]]="Walking",Tabela2[[#This Row],[MTRANS]]="Bike"),Tabela2[[#This Row],[FAF_atividade_fisica_frequente_em_horas]]+1,M1870)</f>
        <v>0</v>
      </c>
      <c r="V1870">
        <f>(Tabela2[[#This Row],[SMOKE]]+Tabela2[[#This Row],[CALC_bebe_alcool_frequentemente]])</f>
        <v>1</v>
      </c>
      <c r="W1870" s="8">
        <f>(Tabela2[[#This Row],[Weight]]/(Tabela2[[#This Row],[Height]] ^2))</f>
        <v>41.317731563228982</v>
      </c>
    </row>
    <row r="1871" spans="1:23" x14ac:dyDescent="0.25">
      <c r="A1871" t="s">
        <v>13</v>
      </c>
      <c r="B1871" s="7">
        <v>26</v>
      </c>
      <c r="C1871" s="4">
        <v>1.621245</v>
      </c>
      <c r="D1871" s="7">
        <v>111.26733400000001</v>
      </c>
      <c r="E1871">
        <v>1</v>
      </c>
      <c r="F1871">
        <v>1</v>
      </c>
      <c r="G1871" s="2">
        <v>3</v>
      </c>
      <c r="H1871" s="2">
        <v>3</v>
      </c>
      <c r="I1871">
        <v>1</v>
      </c>
      <c r="J1871">
        <v>0</v>
      </c>
      <c r="K1871" s="2">
        <v>2.6056849999999998</v>
      </c>
      <c r="L1871">
        <v>0</v>
      </c>
      <c r="M1871" s="7">
        <v>0</v>
      </c>
      <c r="N1871" s="7">
        <v>0.19922699999999999</v>
      </c>
      <c r="O1871">
        <v>1</v>
      </c>
      <c r="P1871" t="s">
        <v>14</v>
      </c>
      <c r="Q1871">
        <v>6</v>
      </c>
      <c r="R1871" s="8">
        <f>(Tabela2[[#This Row],[FAF_atividade_fisica_frequente_em_horas]]+ 0.1)</f>
        <v>0.1</v>
      </c>
      <c r="S1871" s="1">
        <f>(Tabela2[[#This Row],[TUE_tempo_uso_aparelhos_em_horas]]/Tabela2[[#This Row],[FAF_Var]])</f>
        <v>1.9922699999999998</v>
      </c>
      <c r="T1871">
        <f>(Tabela2[[#This Row],[CAEC_lanche_entre_refeicoes]]*Tabela2[[#This Row],[FAVC_consumo_frequente_de_alimentos_mt_caloricos]])</f>
        <v>1</v>
      </c>
      <c r="U1871" s="1">
        <f>IF(OR(Tabela2[[#This Row],[MTRANS]]="Walking",Tabela2[[#This Row],[MTRANS]]="Bike"),Tabela2[[#This Row],[FAF_atividade_fisica_frequente_em_horas]]+1,M1871)</f>
        <v>0</v>
      </c>
      <c r="V1871">
        <f>(Tabela2[[#This Row],[SMOKE]]+Tabela2[[#This Row],[CALC_bebe_alcool_frequentemente]])</f>
        <v>1</v>
      </c>
      <c r="W1871" s="8">
        <f>(Tabela2[[#This Row],[Weight]]/(Tabela2[[#This Row],[Height]] ^2))</f>
        <v>42.332155515615668</v>
      </c>
    </row>
    <row r="1872" spans="1:23" x14ac:dyDescent="0.25">
      <c r="A1872" t="s">
        <v>13</v>
      </c>
      <c r="B1872" s="7">
        <v>25.954511</v>
      </c>
      <c r="C1872" s="4">
        <v>1.6235139999999999</v>
      </c>
      <c r="D1872" s="7">
        <v>109.98014499999999</v>
      </c>
      <c r="E1872">
        <v>1</v>
      </c>
      <c r="F1872">
        <v>1</v>
      </c>
      <c r="G1872" s="2">
        <v>3</v>
      </c>
      <c r="H1872" s="2">
        <v>3</v>
      </c>
      <c r="I1872">
        <v>1</v>
      </c>
      <c r="J1872">
        <v>0</v>
      </c>
      <c r="K1872" s="2">
        <v>2.2173479999999999</v>
      </c>
      <c r="L1872">
        <v>0</v>
      </c>
      <c r="M1872" s="7">
        <v>1.0150000000000001E-3</v>
      </c>
      <c r="N1872" s="7">
        <v>0.48103099999999999</v>
      </c>
      <c r="O1872">
        <v>1</v>
      </c>
      <c r="P1872" t="s">
        <v>14</v>
      </c>
      <c r="Q1872">
        <v>6</v>
      </c>
      <c r="R1872" s="8">
        <f>(Tabela2[[#This Row],[FAF_atividade_fisica_frequente_em_horas]]+ 0.1)</f>
        <v>0.10101500000000001</v>
      </c>
      <c r="S1872" s="1">
        <f>(Tabela2[[#This Row],[TUE_tempo_uso_aparelhos_em_horas]]/Tabela2[[#This Row],[FAF_Var]])</f>
        <v>4.7619759441667071</v>
      </c>
      <c r="T1872">
        <f>(Tabela2[[#This Row],[CAEC_lanche_entre_refeicoes]]*Tabela2[[#This Row],[FAVC_consumo_frequente_de_alimentos_mt_caloricos]])</f>
        <v>1</v>
      </c>
      <c r="U1872" s="1">
        <f>IF(OR(Tabela2[[#This Row],[MTRANS]]="Walking",Tabela2[[#This Row],[MTRANS]]="Bike"),Tabela2[[#This Row],[FAF_atividade_fisica_frequente_em_horas]]+1,M1872)</f>
        <v>1.0150000000000001E-3</v>
      </c>
      <c r="V1872">
        <f>(Tabela2[[#This Row],[SMOKE]]+Tabela2[[#This Row],[CALC_bebe_alcool_frequentemente]])</f>
        <v>1</v>
      </c>
      <c r="W1872" s="8">
        <f>(Tabela2[[#This Row],[Weight]]/(Tabela2[[#This Row],[Height]] ^2))</f>
        <v>41.725563634120057</v>
      </c>
    </row>
    <row r="1873" spans="1:23" x14ac:dyDescent="0.25">
      <c r="A1873" t="s">
        <v>13</v>
      </c>
      <c r="B1873" s="7">
        <v>21.001968999999999</v>
      </c>
      <c r="C1873" s="4">
        <v>1.7362150000000001</v>
      </c>
      <c r="D1873" s="7">
        <v>132.14554899999999</v>
      </c>
      <c r="E1873">
        <v>1</v>
      </c>
      <c r="F1873">
        <v>1</v>
      </c>
      <c r="G1873" s="2">
        <v>3</v>
      </c>
      <c r="H1873" s="2">
        <v>3</v>
      </c>
      <c r="I1873">
        <v>1</v>
      </c>
      <c r="J1873">
        <v>0</v>
      </c>
      <c r="K1873" s="2">
        <v>1.6575409999999999</v>
      </c>
      <c r="L1873">
        <v>0</v>
      </c>
      <c r="M1873" s="7">
        <v>1.672639</v>
      </c>
      <c r="N1873" s="7">
        <v>0.62928499999999998</v>
      </c>
      <c r="O1873">
        <v>1</v>
      </c>
      <c r="P1873" t="s">
        <v>14</v>
      </c>
      <c r="Q1873">
        <v>6</v>
      </c>
      <c r="R1873" s="8">
        <f>(Tabela2[[#This Row],[FAF_atividade_fisica_frequente_em_horas]]+ 0.1)</f>
        <v>1.7726390000000001</v>
      </c>
      <c r="S1873" s="1">
        <f>(Tabela2[[#This Row],[TUE_tempo_uso_aparelhos_em_horas]]/Tabela2[[#This Row],[FAF_Var]])</f>
        <v>0.35499895917894164</v>
      </c>
      <c r="T1873">
        <f>(Tabela2[[#This Row],[CAEC_lanche_entre_refeicoes]]*Tabela2[[#This Row],[FAVC_consumo_frequente_de_alimentos_mt_caloricos]])</f>
        <v>1</v>
      </c>
      <c r="U1873" s="1">
        <f>IF(OR(Tabela2[[#This Row],[MTRANS]]="Walking",Tabela2[[#This Row],[MTRANS]]="Bike"),Tabela2[[#This Row],[FAF_atividade_fisica_frequente_em_horas]]+1,M1873)</f>
        <v>1.672639</v>
      </c>
      <c r="V1873">
        <f>(Tabela2[[#This Row],[SMOKE]]+Tabela2[[#This Row],[CALC_bebe_alcool_frequentemente]])</f>
        <v>1</v>
      </c>
      <c r="W1873" s="8">
        <f>(Tabela2[[#This Row],[Weight]]/(Tabela2[[#This Row],[Height]] ^2))</f>
        <v>43.837475039036967</v>
      </c>
    </row>
    <row r="1874" spans="1:23" x14ac:dyDescent="0.25">
      <c r="A1874" t="s">
        <v>13</v>
      </c>
      <c r="B1874" s="7">
        <v>21.772251000000001</v>
      </c>
      <c r="C1874" s="4">
        <v>1.7329509999999999</v>
      </c>
      <c r="D1874" s="7">
        <v>132.90488400000001</v>
      </c>
      <c r="E1874">
        <v>1</v>
      </c>
      <c r="F1874">
        <v>1</v>
      </c>
      <c r="G1874" s="2">
        <v>3</v>
      </c>
      <c r="H1874" s="2">
        <v>3</v>
      </c>
      <c r="I1874">
        <v>1</v>
      </c>
      <c r="J1874">
        <v>0</v>
      </c>
      <c r="K1874" s="2">
        <v>1.8178989999999999</v>
      </c>
      <c r="L1874">
        <v>0</v>
      </c>
      <c r="M1874" s="7">
        <v>1.5778239999999999</v>
      </c>
      <c r="N1874" s="7">
        <v>0.930836</v>
      </c>
      <c r="O1874">
        <v>1</v>
      </c>
      <c r="P1874" t="s">
        <v>14</v>
      </c>
      <c r="Q1874">
        <v>6</v>
      </c>
      <c r="R1874" s="8">
        <f>(Tabela2[[#This Row],[FAF_atividade_fisica_frequente_em_horas]]+ 0.1)</f>
        <v>1.677824</v>
      </c>
      <c r="S1874" s="1">
        <f>(Tabela2[[#This Row],[TUE_tempo_uso_aparelhos_em_horas]]/Tabela2[[#This Row],[FAF_Var]])</f>
        <v>0.5547876296917913</v>
      </c>
      <c r="T1874">
        <f>(Tabela2[[#This Row],[CAEC_lanche_entre_refeicoes]]*Tabela2[[#This Row],[FAVC_consumo_frequente_de_alimentos_mt_caloricos]])</f>
        <v>1</v>
      </c>
      <c r="U1874" s="1">
        <f>IF(OR(Tabela2[[#This Row],[MTRANS]]="Walking",Tabela2[[#This Row],[MTRANS]]="Bike"),Tabela2[[#This Row],[FAF_atividade_fisica_frequente_em_horas]]+1,M1874)</f>
        <v>1.5778239999999999</v>
      </c>
      <c r="V1874">
        <f>(Tabela2[[#This Row],[SMOKE]]+Tabela2[[#This Row],[CALC_bebe_alcool_frequentemente]])</f>
        <v>1</v>
      </c>
      <c r="W1874" s="8">
        <f>(Tabela2[[#This Row],[Weight]]/(Tabela2[[#This Row],[Height]] ^2))</f>
        <v>44.255614428635795</v>
      </c>
    </row>
    <row r="1875" spans="1:23" x14ac:dyDescent="0.25">
      <c r="A1875" t="s">
        <v>13</v>
      </c>
      <c r="B1875" s="7">
        <v>23.761970000000002</v>
      </c>
      <c r="C1875" s="4">
        <v>1.6913499999999999</v>
      </c>
      <c r="D1875" s="7">
        <v>114.48069599999999</v>
      </c>
      <c r="E1875">
        <v>1</v>
      </c>
      <c r="F1875">
        <v>1</v>
      </c>
      <c r="G1875" s="2">
        <v>3</v>
      </c>
      <c r="H1875" s="2">
        <v>3</v>
      </c>
      <c r="I1875">
        <v>1</v>
      </c>
      <c r="J1875">
        <v>0</v>
      </c>
      <c r="K1875" s="2">
        <v>2.5095350000000001</v>
      </c>
      <c r="L1875">
        <v>0</v>
      </c>
      <c r="M1875" s="7">
        <v>0.33426400000000001</v>
      </c>
      <c r="N1875" s="7">
        <v>0.66817199999999999</v>
      </c>
      <c r="O1875">
        <v>1</v>
      </c>
      <c r="P1875" t="s">
        <v>14</v>
      </c>
      <c r="Q1875">
        <v>6</v>
      </c>
      <c r="R1875" s="8">
        <f>(Tabela2[[#This Row],[FAF_atividade_fisica_frequente_em_horas]]+ 0.1)</f>
        <v>0.43426399999999998</v>
      </c>
      <c r="S1875" s="1">
        <f>(Tabela2[[#This Row],[TUE_tempo_uso_aparelhos_em_horas]]/Tabela2[[#This Row],[FAF_Var]])</f>
        <v>1.5386308789123666</v>
      </c>
      <c r="T1875">
        <f>(Tabela2[[#This Row],[CAEC_lanche_entre_refeicoes]]*Tabela2[[#This Row],[FAVC_consumo_frequente_de_alimentos_mt_caloricos]])</f>
        <v>1</v>
      </c>
      <c r="U1875" s="1">
        <f>IF(OR(Tabela2[[#This Row],[MTRANS]]="Walking",Tabela2[[#This Row],[MTRANS]]="Bike"),Tabela2[[#This Row],[FAF_atividade_fisica_frequente_em_horas]]+1,M1875)</f>
        <v>0.33426400000000001</v>
      </c>
      <c r="V1875">
        <f>(Tabela2[[#This Row],[SMOKE]]+Tabela2[[#This Row],[CALC_bebe_alcool_frequentemente]])</f>
        <v>1</v>
      </c>
      <c r="W1875" s="8">
        <f>(Tabela2[[#This Row],[Weight]]/(Tabela2[[#This Row],[Height]] ^2))</f>
        <v>40.018912771455945</v>
      </c>
    </row>
    <row r="1876" spans="1:23" x14ac:dyDescent="0.25">
      <c r="A1876" t="s">
        <v>13</v>
      </c>
      <c r="B1876" s="7">
        <v>24.449655</v>
      </c>
      <c r="C1876" s="4">
        <v>1.635062</v>
      </c>
      <c r="D1876" s="7">
        <v>113.277388</v>
      </c>
      <c r="E1876">
        <v>1</v>
      </c>
      <c r="F1876">
        <v>1</v>
      </c>
      <c r="G1876" s="2">
        <v>3</v>
      </c>
      <c r="H1876" s="2">
        <v>3</v>
      </c>
      <c r="I1876">
        <v>1</v>
      </c>
      <c r="J1876">
        <v>0</v>
      </c>
      <c r="K1876" s="2">
        <v>2.5780379999999998</v>
      </c>
      <c r="L1876">
        <v>0</v>
      </c>
      <c r="M1876" s="7">
        <v>0.16542200000000001</v>
      </c>
      <c r="N1876" s="7">
        <v>0.463196</v>
      </c>
      <c r="O1876">
        <v>1</v>
      </c>
      <c r="P1876" t="s">
        <v>14</v>
      </c>
      <c r="Q1876">
        <v>6</v>
      </c>
      <c r="R1876" s="8">
        <f>(Tabela2[[#This Row],[FAF_atividade_fisica_frequente_em_horas]]+ 0.1)</f>
        <v>0.26542200000000005</v>
      </c>
      <c r="S1876" s="1">
        <f>(Tabela2[[#This Row],[TUE_tempo_uso_aparelhos_em_horas]]/Tabela2[[#This Row],[FAF_Var]])</f>
        <v>1.745130396123908</v>
      </c>
      <c r="T1876">
        <f>(Tabela2[[#This Row],[CAEC_lanche_entre_refeicoes]]*Tabela2[[#This Row],[FAVC_consumo_frequente_de_alimentos_mt_caloricos]])</f>
        <v>1</v>
      </c>
      <c r="U1876" s="1">
        <f>IF(OR(Tabela2[[#This Row],[MTRANS]]="Walking",Tabela2[[#This Row],[MTRANS]]="Bike"),Tabela2[[#This Row],[FAF_atividade_fisica_frequente_em_horas]]+1,M1876)</f>
        <v>0.16542200000000001</v>
      </c>
      <c r="V1876">
        <f>(Tabela2[[#This Row],[SMOKE]]+Tabela2[[#This Row],[CALC_bebe_alcool_frequentemente]])</f>
        <v>1</v>
      </c>
      <c r="W1876" s="8">
        <f>(Tabela2[[#This Row],[Weight]]/(Tabela2[[#This Row],[Height]] ^2))</f>
        <v>42.371591400156419</v>
      </c>
    </row>
    <row r="1877" spans="1:23" x14ac:dyDescent="0.25">
      <c r="A1877" t="s">
        <v>13</v>
      </c>
      <c r="B1877" s="7">
        <v>18.378202999999999</v>
      </c>
      <c r="C1877" s="4">
        <v>1.7460610000000001</v>
      </c>
      <c r="D1877" s="7">
        <v>128.261402</v>
      </c>
      <c r="E1877">
        <v>1</v>
      </c>
      <c r="F1877">
        <v>1</v>
      </c>
      <c r="G1877" s="2">
        <v>3</v>
      </c>
      <c r="H1877" s="2">
        <v>3</v>
      </c>
      <c r="I1877">
        <v>1</v>
      </c>
      <c r="J1877">
        <v>0</v>
      </c>
      <c r="K1877" s="2">
        <v>2.5016379999999998</v>
      </c>
      <c r="L1877">
        <v>0</v>
      </c>
      <c r="M1877" s="7">
        <v>1.546179</v>
      </c>
      <c r="N1877" s="7">
        <v>0.66488000000000003</v>
      </c>
      <c r="O1877">
        <v>1</v>
      </c>
      <c r="P1877" t="s">
        <v>14</v>
      </c>
      <c r="Q1877">
        <v>6</v>
      </c>
      <c r="R1877" s="8">
        <f>(Tabela2[[#This Row],[FAF_atividade_fisica_frequente_em_horas]]+ 0.1)</f>
        <v>1.6461790000000001</v>
      </c>
      <c r="S1877" s="1">
        <f>(Tabela2[[#This Row],[TUE_tempo_uso_aparelhos_em_horas]]/Tabela2[[#This Row],[FAF_Var]])</f>
        <v>0.40389289378615573</v>
      </c>
      <c r="T1877">
        <f>(Tabela2[[#This Row],[CAEC_lanche_entre_refeicoes]]*Tabela2[[#This Row],[FAVC_consumo_frequente_de_alimentos_mt_caloricos]])</f>
        <v>1</v>
      </c>
      <c r="U1877" s="1">
        <f>IF(OR(Tabela2[[#This Row],[MTRANS]]="Walking",Tabela2[[#This Row],[MTRANS]]="Bike"),Tabela2[[#This Row],[FAF_atividade_fisica_frequente_em_horas]]+1,M1877)</f>
        <v>1.546179</v>
      </c>
      <c r="V1877">
        <f>(Tabela2[[#This Row],[SMOKE]]+Tabela2[[#This Row],[CALC_bebe_alcool_frequentemente]])</f>
        <v>1</v>
      </c>
      <c r="W1877" s="8">
        <f>(Tabela2[[#This Row],[Weight]]/(Tabela2[[#This Row],[Height]] ^2))</f>
        <v>42.070450124825932</v>
      </c>
    </row>
    <row r="1878" spans="1:23" x14ac:dyDescent="0.25">
      <c r="A1878" t="s">
        <v>13</v>
      </c>
      <c r="B1878" s="7">
        <v>19.725718000000001</v>
      </c>
      <c r="C1878" s="4">
        <v>1.746529</v>
      </c>
      <c r="D1878" s="7">
        <v>129.36377100000001</v>
      </c>
      <c r="E1878">
        <v>1</v>
      </c>
      <c r="F1878">
        <v>1</v>
      </c>
      <c r="G1878" s="2">
        <v>3</v>
      </c>
      <c r="H1878" s="2">
        <v>3</v>
      </c>
      <c r="I1878">
        <v>1</v>
      </c>
      <c r="J1878">
        <v>0</v>
      </c>
      <c r="K1878" s="2">
        <v>2.2507109999999999</v>
      </c>
      <c r="L1878">
        <v>0</v>
      </c>
      <c r="M1878" s="7">
        <v>0.64234999999999998</v>
      </c>
      <c r="N1878" s="7">
        <v>0.68512899999999999</v>
      </c>
      <c r="O1878">
        <v>1</v>
      </c>
      <c r="P1878" t="s">
        <v>14</v>
      </c>
      <c r="Q1878">
        <v>6</v>
      </c>
      <c r="R1878" s="8">
        <f>(Tabela2[[#This Row],[FAF_atividade_fisica_frequente_em_horas]]+ 0.1)</f>
        <v>0.74234999999999995</v>
      </c>
      <c r="S1878" s="1">
        <f>(Tabela2[[#This Row],[TUE_tempo_uso_aparelhos_em_horas]]/Tabela2[[#This Row],[FAF_Var]])</f>
        <v>0.92291910823735435</v>
      </c>
      <c r="T1878">
        <f>(Tabela2[[#This Row],[CAEC_lanche_entre_refeicoes]]*Tabela2[[#This Row],[FAVC_consumo_frequente_de_alimentos_mt_caloricos]])</f>
        <v>1</v>
      </c>
      <c r="U1878" s="1">
        <f>IF(OR(Tabela2[[#This Row],[MTRANS]]="Walking",Tabela2[[#This Row],[MTRANS]]="Bike"),Tabela2[[#This Row],[FAF_atividade_fisica_frequente_em_horas]]+1,M1878)</f>
        <v>0.64234999999999998</v>
      </c>
      <c r="V1878">
        <f>(Tabela2[[#This Row],[SMOKE]]+Tabela2[[#This Row],[CALC_bebe_alcool_frequentemente]])</f>
        <v>1</v>
      </c>
      <c r="W1878" s="8">
        <f>(Tabela2[[#This Row],[Weight]]/(Tabela2[[#This Row],[Height]] ^2))</f>
        <v>42.40929612850956</v>
      </c>
    </row>
    <row r="1879" spans="1:23" x14ac:dyDescent="0.25">
      <c r="A1879" t="s">
        <v>13</v>
      </c>
      <c r="B1879" s="7">
        <v>21.344017999999998</v>
      </c>
      <c r="C1879" s="4">
        <v>1.746516</v>
      </c>
      <c r="D1879" s="7">
        <v>144.30226099999999</v>
      </c>
      <c r="E1879">
        <v>1</v>
      </c>
      <c r="F1879">
        <v>1</v>
      </c>
      <c r="G1879" s="2">
        <v>3</v>
      </c>
      <c r="H1879" s="2">
        <v>3</v>
      </c>
      <c r="I1879">
        <v>1</v>
      </c>
      <c r="J1879">
        <v>0</v>
      </c>
      <c r="K1879" s="2">
        <v>2.3665099999999999</v>
      </c>
      <c r="L1879">
        <v>0</v>
      </c>
      <c r="M1879" s="7">
        <v>1.2475050000000001</v>
      </c>
      <c r="N1879" s="7">
        <v>0.72336599999999995</v>
      </c>
      <c r="O1879">
        <v>1</v>
      </c>
      <c r="P1879" t="s">
        <v>14</v>
      </c>
      <c r="Q1879">
        <v>6</v>
      </c>
      <c r="R1879" s="8">
        <f>(Tabela2[[#This Row],[FAF_atividade_fisica_frequente_em_horas]]+ 0.1)</f>
        <v>1.3475050000000002</v>
      </c>
      <c r="S1879" s="1">
        <f>(Tabela2[[#This Row],[TUE_tempo_uso_aparelhos_em_horas]]/Tabela2[[#This Row],[FAF_Var]])</f>
        <v>0.53681878731433263</v>
      </c>
      <c r="T1879">
        <f>(Tabela2[[#This Row],[CAEC_lanche_entre_refeicoes]]*Tabela2[[#This Row],[FAVC_consumo_frequente_de_alimentos_mt_caloricos]])</f>
        <v>1</v>
      </c>
      <c r="U1879" s="1">
        <f>IF(OR(Tabela2[[#This Row],[MTRANS]]="Walking",Tabela2[[#This Row],[MTRANS]]="Bike"),Tabela2[[#This Row],[FAF_atividade_fisica_frequente_em_horas]]+1,M1879)</f>
        <v>1.2475050000000001</v>
      </c>
      <c r="V1879">
        <f>(Tabela2[[#This Row],[SMOKE]]+Tabela2[[#This Row],[CALC_bebe_alcool_frequentemente]])</f>
        <v>1</v>
      </c>
      <c r="W1879" s="8">
        <f>(Tabela2[[#This Row],[Weight]]/(Tabela2[[#This Row],[Height]] ^2))</f>
        <v>47.307282211062713</v>
      </c>
    </row>
    <row r="1880" spans="1:23" x14ac:dyDescent="0.25">
      <c r="A1880" t="s">
        <v>13</v>
      </c>
      <c r="B1880" s="7">
        <v>21.322096999999999</v>
      </c>
      <c r="C1880" s="4">
        <v>1.751118</v>
      </c>
      <c r="D1880" s="7">
        <v>149.29110600000001</v>
      </c>
      <c r="E1880">
        <v>1</v>
      </c>
      <c r="F1880">
        <v>1</v>
      </c>
      <c r="G1880" s="2">
        <v>3</v>
      </c>
      <c r="H1880" s="2">
        <v>3</v>
      </c>
      <c r="I1880">
        <v>1</v>
      </c>
      <c r="J1880">
        <v>0</v>
      </c>
      <c r="K1880" s="2">
        <v>2.309409</v>
      </c>
      <c r="L1880">
        <v>0</v>
      </c>
      <c r="M1880" s="7">
        <v>1.6829099999999999</v>
      </c>
      <c r="N1880" s="7">
        <v>0.70557999999999998</v>
      </c>
      <c r="O1880">
        <v>1</v>
      </c>
      <c r="P1880" t="s">
        <v>14</v>
      </c>
      <c r="Q1880">
        <v>6</v>
      </c>
      <c r="R1880" s="8">
        <f>(Tabela2[[#This Row],[FAF_atividade_fisica_frequente_em_horas]]+ 0.1)</f>
        <v>1.78291</v>
      </c>
      <c r="S1880" s="1">
        <f>(Tabela2[[#This Row],[TUE_tempo_uso_aparelhos_em_horas]]/Tabela2[[#This Row],[FAF_Var]])</f>
        <v>0.39574627995804612</v>
      </c>
      <c r="T1880">
        <f>(Tabela2[[#This Row],[CAEC_lanche_entre_refeicoes]]*Tabela2[[#This Row],[FAVC_consumo_frequente_de_alimentos_mt_caloricos]])</f>
        <v>1</v>
      </c>
      <c r="U1880" s="1">
        <f>IF(OR(Tabela2[[#This Row],[MTRANS]]="Walking",Tabela2[[#This Row],[MTRANS]]="Bike"),Tabela2[[#This Row],[FAF_atividade_fisica_frequente_em_horas]]+1,M1880)</f>
        <v>1.6829099999999999</v>
      </c>
      <c r="V1880">
        <f>(Tabela2[[#This Row],[SMOKE]]+Tabela2[[#This Row],[CALC_bebe_alcool_frequentemente]])</f>
        <v>1</v>
      </c>
      <c r="W1880" s="8">
        <f>(Tabela2[[#This Row],[Weight]]/(Tabela2[[#This Row],[Height]] ^2))</f>
        <v>48.685889717509681</v>
      </c>
    </row>
    <row r="1881" spans="1:23" x14ac:dyDescent="0.25">
      <c r="A1881" t="s">
        <v>13</v>
      </c>
      <c r="B1881" s="7">
        <v>19.262934000000001</v>
      </c>
      <c r="C1881" s="4">
        <v>1.7410140000000001</v>
      </c>
      <c r="D1881" s="7">
        <v>132.57927000000001</v>
      </c>
      <c r="E1881">
        <v>1</v>
      </c>
      <c r="F1881">
        <v>1</v>
      </c>
      <c r="G1881" s="2">
        <v>3</v>
      </c>
      <c r="H1881" s="2">
        <v>3</v>
      </c>
      <c r="I1881">
        <v>1</v>
      </c>
      <c r="J1881">
        <v>0</v>
      </c>
      <c r="K1881" s="2">
        <v>2.436261</v>
      </c>
      <c r="L1881">
        <v>0</v>
      </c>
      <c r="M1881" s="7">
        <v>1.464674</v>
      </c>
      <c r="N1881" s="7">
        <v>0.87092000000000003</v>
      </c>
      <c r="O1881">
        <v>1</v>
      </c>
      <c r="P1881" t="s">
        <v>14</v>
      </c>
      <c r="Q1881">
        <v>6</v>
      </c>
      <c r="R1881" s="8">
        <f>(Tabela2[[#This Row],[FAF_atividade_fisica_frequente_em_horas]]+ 0.1)</f>
        <v>1.5646740000000001</v>
      </c>
      <c r="S1881" s="1">
        <f>(Tabela2[[#This Row],[TUE_tempo_uso_aparelhos_em_horas]]/Tabela2[[#This Row],[FAF_Var]])</f>
        <v>0.55661434905929286</v>
      </c>
      <c r="T1881">
        <f>(Tabela2[[#This Row],[CAEC_lanche_entre_refeicoes]]*Tabela2[[#This Row],[FAVC_consumo_frequente_de_alimentos_mt_caloricos]])</f>
        <v>1</v>
      </c>
      <c r="U1881" s="1">
        <f>IF(OR(Tabela2[[#This Row],[MTRANS]]="Walking",Tabela2[[#This Row],[MTRANS]]="Bike"),Tabela2[[#This Row],[FAF_atividade_fisica_frequente_em_horas]]+1,M1881)</f>
        <v>1.464674</v>
      </c>
      <c r="V1881">
        <f>(Tabela2[[#This Row],[SMOKE]]+Tabela2[[#This Row],[CALC_bebe_alcool_frequentemente]])</f>
        <v>1</v>
      </c>
      <c r="W1881" s="8">
        <f>(Tabela2[[#This Row],[Weight]]/(Tabela2[[#This Row],[Height]] ^2))</f>
        <v>43.739226299667827</v>
      </c>
    </row>
    <row r="1882" spans="1:23" x14ac:dyDescent="0.25">
      <c r="A1882" t="s">
        <v>13</v>
      </c>
      <c r="B1882" s="7">
        <v>21.566814999999998</v>
      </c>
      <c r="C1882" s="4">
        <v>1.7485329999999999</v>
      </c>
      <c r="D1882" s="7">
        <v>133.94607999999999</v>
      </c>
      <c r="E1882">
        <v>1</v>
      </c>
      <c r="F1882">
        <v>1</v>
      </c>
      <c r="G1882" s="2">
        <v>3</v>
      </c>
      <c r="H1882" s="2">
        <v>3</v>
      </c>
      <c r="I1882">
        <v>1</v>
      </c>
      <c r="J1882">
        <v>0</v>
      </c>
      <c r="K1882" s="2">
        <v>2.8335659999999998</v>
      </c>
      <c r="L1882">
        <v>0</v>
      </c>
      <c r="M1882" s="7">
        <v>1.4132389999999999</v>
      </c>
      <c r="N1882" s="7">
        <v>0.86272400000000005</v>
      </c>
      <c r="O1882">
        <v>1</v>
      </c>
      <c r="P1882" t="s">
        <v>14</v>
      </c>
      <c r="Q1882">
        <v>6</v>
      </c>
      <c r="R1882" s="8">
        <f>(Tabela2[[#This Row],[FAF_atividade_fisica_frequente_em_horas]]+ 0.1)</f>
        <v>1.513239</v>
      </c>
      <c r="S1882" s="1">
        <f>(Tabela2[[#This Row],[TUE_tempo_uso_aparelhos_em_horas]]/Tabela2[[#This Row],[FAF_Var]])</f>
        <v>0.57011747648586908</v>
      </c>
      <c r="T1882">
        <f>(Tabela2[[#This Row],[CAEC_lanche_entre_refeicoes]]*Tabela2[[#This Row],[FAVC_consumo_frequente_de_alimentos_mt_caloricos]])</f>
        <v>1</v>
      </c>
      <c r="U1882" s="1">
        <f>IF(OR(Tabela2[[#This Row],[MTRANS]]="Walking",Tabela2[[#This Row],[MTRANS]]="Bike"),Tabela2[[#This Row],[FAF_atividade_fisica_frequente_em_horas]]+1,M1882)</f>
        <v>1.4132389999999999</v>
      </c>
      <c r="V1882">
        <f>(Tabela2[[#This Row],[SMOKE]]+Tabela2[[#This Row],[CALC_bebe_alcool_frequentemente]])</f>
        <v>1</v>
      </c>
      <c r="W1882" s="8">
        <f>(Tabela2[[#This Row],[Weight]]/(Tabela2[[#This Row],[Height]] ^2))</f>
        <v>43.810916854725996</v>
      </c>
    </row>
    <row r="1883" spans="1:23" x14ac:dyDescent="0.25">
      <c r="A1883" t="s">
        <v>13</v>
      </c>
      <c r="B1883" s="7">
        <v>24.475242000000001</v>
      </c>
      <c r="C1883" s="4">
        <v>1.694726</v>
      </c>
      <c r="D1883" s="7">
        <v>112.776612</v>
      </c>
      <c r="E1883">
        <v>1</v>
      </c>
      <c r="F1883">
        <v>1</v>
      </c>
      <c r="G1883" s="2">
        <v>3</v>
      </c>
      <c r="H1883" s="2">
        <v>3</v>
      </c>
      <c r="I1883">
        <v>1</v>
      </c>
      <c r="J1883">
        <v>0</v>
      </c>
      <c r="K1883" s="2">
        <v>2.7240989999999998</v>
      </c>
      <c r="L1883">
        <v>0</v>
      </c>
      <c r="M1883" s="7">
        <v>0.33679500000000001</v>
      </c>
      <c r="N1883" s="7">
        <v>0.15346199999999999</v>
      </c>
      <c r="O1883">
        <v>1</v>
      </c>
      <c r="P1883" t="s">
        <v>14</v>
      </c>
      <c r="Q1883">
        <v>6</v>
      </c>
      <c r="R1883" s="8">
        <f>(Tabela2[[#This Row],[FAF_atividade_fisica_frequente_em_horas]]+ 0.1)</f>
        <v>0.43679500000000004</v>
      </c>
      <c r="S1883" s="1">
        <f>(Tabela2[[#This Row],[TUE_tempo_uso_aparelhos_em_horas]]/Tabela2[[#This Row],[FAF_Var]])</f>
        <v>0.35133643929074271</v>
      </c>
      <c r="T1883">
        <f>(Tabela2[[#This Row],[CAEC_lanche_entre_refeicoes]]*Tabela2[[#This Row],[FAVC_consumo_frequente_de_alimentos_mt_caloricos]])</f>
        <v>1</v>
      </c>
      <c r="U1883" s="1">
        <f>IF(OR(Tabela2[[#This Row],[MTRANS]]="Walking",Tabela2[[#This Row],[MTRANS]]="Bike"),Tabela2[[#This Row],[FAF_atividade_fisica_frequente_em_horas]]+1,M1883)</f>
        <v>0.33679500000000001</v>
      </c>
      <c r="V1883">
        <f>(Tabela2[[#This Row],[SMOKE]]+Tabela2[[#This Row],[CALC_bebe_alcool_frequentemente]])</f>
        <v>1</v>
      </c>
      <c r="W1883" s="8">
        <f>(Tabela2[[#This Row],[Weight]]/(Tabela2[[#This Row],[Height]] ^2))</f>
        <v>39.266307099330852</v>
      </c>
    </row>
    <row r="1884" spans="1:23" x14ac:dyDescent="0.25">
      <c r="A1884" t="s">
        <v>13</v>
      </c>
      <c r="B1884" s="7">
        <v>25.612462000000001</v>
      </c>
      <c r="C1884" s="4">
        <v>1.674515</v>
      </c>
      <c r="D1884" s="7">
        <v>112.879662</v>
      </c>
      <c r="E1884">
        <v>1</v>
      </c>
      <c r="F1884">
        <v>1</v>
      </c>
      <c r="G1884" s="2">
        <v>3</v>
      </c>
      <c r="H1884" s="2">
        <v>3</v>
      </c>
      <c r="I1884">
        <v>1</v>
      </c>
      <c r="J1884">
        <v>0</v>
      </c>
      <c r="K1884" s="2">
        <v>2.9893890000000001</v>
      </c>
      <c r="L1884">
        <v>0</v>
      </c>
      <c r="M1884" s="7">
        <v>0.36009000000000002</v>
      </c>
      <c r="N1884" s="7">
        <v>0.169016</v>
      </c>
      <c r="O1884">
        <v>1</v>
      </c>
      <c r="P1884" t="s">
        <v>14</v>
      </c>
      <c r="Q1884">
        <v>6</v>
      </c>
      <c r="R1884" s="8">
        <f>(Tabela2[[#This Row],[FAF_atividade_fisica_frequente_em_horas]]+ 0.1)</f>
        <v>0.46009</v>
      </c>
      <c r="S1884" s="1">
        <f>(Tabela2[[#This Row],[TUE_tempo_uso_aparelhos_em_horas]]/Tabela2[[#This Row],[FAF_Var]])</f>
        <v>0.3673542133060923</v>
      </c>
      <c r="T1884">
        <f>(Tabela2[[#This Row],[CAEC_lanche_entre_refeicoes]]*Tabela2[[#This Row],[FAVC_consumo_frequente_de_alimentos_mt_caloricos]])</f>
        <v>1</v>
      </c>
      <c r="U1884" s="1">
        <f>IF(OR(Tabela2[[#This Row],[MTRANS]]="Walking",Tabela2[[#This Row],[MTRANS]]="Bike"),Tabela2[[#This Row],[FAF_atividade_fisica_frequente_em_horas]]+1,M1884)</f>
        <v>0.36009000000000002</v>
      </c>
      <c r="V1884">
        <f>(Tabela2[[#This Row],[SMOKE]]+Tabela2[[#This Row],[CALC_bebe_alcool_frequentemente]])</f>
        <v>1</v>
      </c>
      <c r="W1884" s="8">
        <f>(Tabela2[[#This Row],[Weight]]/(Tabela2[[#This Row],[Height]] ^2))</f>
        <v>40.256648525844405</v>
      </c>
    </row>
    <row r="1885" spans="1:23" x14ac:dyDescent="0.25">
      <c r="A1885" t="s">
        <v>13</v>
      </c>
      <c r="B1885" s="7">
        <v>26</v>
      </c>
      <c r="C1885" s="4">
        <v>1.631332</v>
      </c>
      <c r="D1885" s="7">
        <v>111.82995699999999</v>
      </c>
      <c r="E1885">
        <v>1</v>
      </c>
      <c r="F1885">
        <v>1</v>
      </c>
      <c r="G1885" s="2">
        <v>3</v>
      </c>
      <c r="H1885" s="2">
        <v>3</v>
      </c>
      <c r="I1885">
        <v>1</v>
      </c>
      <c r="J1885">
        <v>0</v>
      </c>
      <c r="K1885" s="2">
        <v>2.5597500000000002</v>
      </c>
      <c r="L1885">
        <v>0</v>
      </c>
      <c r="M1885" s="7">
        <v>0</v>
      </c>
      <c r="N1885" s="7">
        <v>0.23730699999999999</v>
      </c>
      <c r="O1885">
        <v>1</v>
      </c>
      <c r="P1885" t="s">
        <v>14</v>
      </c>
      <c r="Q1885">
        <v>6</v>
      </c>
      <c r="R1885" s="8">
        <f>(Tabela2[[#This Row],[FAF_atividade_fisica_frequente_em_horas]]+ 0.1)</f>
        <v>0.1</v>
      </c>
      <c r="S1885" s="1">
        <f>(Tabela2[[#This Row],[TUE_tempo_uso_aparelhos_em_horas]]/Tabela2[[#This Row],[FAF_Var]])</f>
        <v>2.3730699999999998</v>
      </c>
      <c r="T1885">
        <f>(Tabela2[[#This Row],[CAEC_lanche_entre_refeicoes]]*Tabela2[[#This Row],[FAVC_consumo_frequente_de_alimentos_mt_caloricos]])</f>
        <v>1</v>
      </c>
      <c r="U1885" s="1">
        <f>IF(OR(Tabela2[[#This Row],[MTRANS]]="Walking",Tabela2[[#This Row],[MTRANS]]="Bike"),Tabela2[[#This Row],[FAF_atividade_fisica_frequente_em_horas]]+1,M1885)</f>
        <v>0</v>
      </c>
      <c r="V1885">
        <f>(Tabela2[[#This Row],[SMOKE]]+Tabela2[[#This Row],[CALC_bebe_alcool_frequentemente]])</f>
        <v>1</v>
      </c>
      <c r="W1885" s="8">
        <f>(Tabela2[[#This Row],[Weight]]/(Tabela2[[#This Row],[Height]] ^2))</f>
        <v>42.021683483569667</v>
      </c>
    </row>
    <row r="1886" spans="1:23" x14ac:dyDescent="0.25">
      <c r="A1886" t="s">
        <v>13</v>
      </c>
      <c r="B1886" s="7">
        <v>26</v>
      </c>
      <c r="C1886" s="4">
        <v>1.641918</v>
      </c>
      <c r="D1886" s="7">
        <v>111.86899</v>
      </c>
      <c r="E1886">
        <v>1</v>
      </c>
      <c r="F1886">
        <v>1</v>
      </c>
      <c r="G1886" s="2">
        <v>3</v>
      </c>
      <c r="H1886" s="2">
        <v>3</v>
      </c>
      <c r="I1886">
        <v>1</v>
      </c>
      <c r="J1886">
        <v>0</v>
      </c>
      <c r="K1886" s="2">
        <v>2.6354540000000002</v>
      </c>
      <c r="L1886">
        <v>0</v>
      </c>
      <c r="M1886" s="7">
        <v>0</v>
      </c>
      <c r="N1886" s="7">
        <v>8.8308999999999999E-2</v>
      </c>
      <c r="O1886">
        <v>1</v>
      </c>
      <c r="P1886" t="s">
        <v>14</v>
      </c>
      <c r="Q1886">
        <v>6</v>
      </c>
      <c r="R1886" s="8">
        <f>(Tabela2[[#This Row],[FAF_atividade_fisica_frequente_em_horas]]+ 0.1)</f>
        <v>0.1</v>
      </c>
      <c r="S1886" s="1">
        <f>(Tabela2[[#This Row],[TUE_tempo_uso_aparelhos_em_horas]]/Tabela2[[#This Row],[FAF_Var]])</f>
        <v>0.88308999999999993</v>
      </c>
      <c r="T1886">
        <f>(Tabela2[[#This Row],[CAEC_lanche_entre_refeicoes]]*Tabela2[[#This Row],[FAVC_consumo_frequente_de_alimentos_mt_caloricos]])</f>
        <v>1</v>
      </c>
      <c r="U1886" s="1">
        <f>IF(OR(Tabela2[[#This Row],[MTRANS]]="Walking",Tabela2[[#This Row],[MTRANS]]="Bike"),Tabela2[[#This Row],[FAF_atividade_fisica_frequente_em_horas]]+1,M1886)</f>
        <v>0</v>
      </c>
      <c r="V1886">
        <f>(Tabela2[[#This Row],[SMOKE]]+Tabela2[[#This Row],[CALC_bebe_alcool_frequentemente]])</f>
        <v>1</v>
      </c>
      <c r="W1886" s="8">
        <f>(Tabela2[[#This Row],[Weight]]/(Tabela2[[#This Row],[Height]] ^2))</f>
        <v>41.496052951559236</v>
      </c>
    </row>
    <row r="1887" spans="1:23" x14ac:dyDescent="0.25">
      <c r="A1887" t="s">
        <v>13</v>
      </c>
      <c r="B1887" s="7">
        <v>26</v>
      </c>
      <c r="C1887" s="4">
        <v>1.6401250000000001</v>
      </c>
      <c r="D1887" s="7">
        <v>111.539494</v>
      </c>
      <c r="E1887">
        <v>1</v>
      </c>
      <c r="F1887">
        <v>1</v>
      </c>
      <c r="G1887" s="2">
        <v>3</v>
      </c>
      <c r="H1887" s="2">
        <v>3</v>
      </c>
      <c r="I1887">
        <v>1</v>
      </c>
      <c r="J1887">
        <v>0</v>
      </c>
      <c r="K1887" s="2">
        <v>2.625537</v>
      </c>
      <c r="L1887">
        <v>0</v>
      </c>
      <c r="M1887" s="7">
        <v>0</v>
      </c>
      <c r="N1887" s="7">
        <v>0.162494</v>
      </c>
      <c r="O1887">
        <v>1</v>
      </c>
      <c r="P1887" t="s">
        <v>14</v>
      </c>
      <c r="Q1887">
        <v>6</v>
      </c>
      <c r="R1887" s="8">
        <f>(Tabela2[[#This Row],[FAF_atividade_fisica_frequente_em_horas]]+ 0.1)</f>
        <v>0.1</v>
      </c>
      <c r="S1887" s="1">
        <f>(Tabela2[[#This Row],[TUE_tempo_uso_aparelhos_em_horas]]/Tabela2[[#This Row],[FAF_Var]])</f>
        <v>1.6249399999999998</v>
      </c>
      <c r="T1887">
        <f>(Tabela2[[#This Row],[CAEC_lanche_entre_refeicoes]]*Tabela2[[#This Row],[FAVC_consumo_frequente_de_alimentos_mt_caloricos]])</f>
        <v>1</v>
      </c>
      <c r="U1887" s="1">
        <f>IF(OR(Tabela2[[#This Row],[MTRANS]]="Walking",Tabela2[[#This Row],[MTRANS]]="Bike"),Tabela2[[#This Row],[FAF_atividade_fisica_frequente_em_horas]]+1,M1887)</f>
        <v>0</v>
      </c>
      <c r="V1887">
        <f>(Tabela2[[#This Row],[SMOKE]]+Tabela2[[#This Row],[CALC_bebe_alcool_frequentemente]])</f>
        <v>1</v>
      </c>
      <c r="W1887" s="8">
        <f>(Tabela2[[#This Row],[Weight]]/(Tabela2[[#This Row],[Height]] ^2))</f>
        <v>41.464341527399405</v>
      </c>
    </row>
    <row r="1888" spans="1:23" x14ac:dyDescent="0.25">
      <c r="A1888" t="s">
        <v>13</v>
      </c>
      <c r="B1888" s="7">
        <v>26</v>
      </c>
      <c r="C1888" s="4">
        <v>1.649178</v>
      </c>
      <c r="D1888" s="7">
        <v>111.914361</v>
      </c>
      <c r="E1888">
        <v>1</v>
      </c>
      <c r="F1888">
        <v>1</v>
      </c>
      <c r="G1888" s="2">
        <v>3</v>
      </c>
      <c r="H1888" s="2">
        <v>3</v>
      </c>
      <c r="I1888">
        <v>1</v>
      </c>
      <c r="J1888">
        <v>0</v>
      </c>
      <c r="K1888" s="2">
        <v>2.884077</v>
      </c>
      <c r="L1888">
        <v>0</v>
      </c>
      <c r="M1888" s="7">
        <v>0</v>
      </c>
      <c r="N1888" s="7">
        <v>9.6575999999999995E-2</v>
      </c>
      <c r="O1888">
        <v>1</v>
      </c>
      <c r="P1888" t="s">
        <v>14</v>
      </c>
      <c r="Q1888">
        <v>6</v>
      </c>
      <c r="R1888" s="8">
        <f>(Tabela2[[#This Row],[FAF_atividade_fisica_frequente_em_horas]]+ 0.1)</f>
        <v>0.1</v>
      </c>
      <c r="S1888" s="1">
        <f>(Tabela2[[#This Row],[TUE_tempo_uso_aparelhos_em_horas]]/Tabela2[[#This Row],[FAF_Var]])</f>
        <v>0.96575999999999995</v>
      </c>
      <c r="T1888">
        <f>(Tabela2[[#This Row],[CAEC_lanche_entre_refeicoes]]*Tabela2[[#This Row],[FAVC_consumo_frequente_de_alimentos_mt_caloricos]])</f>
        <v>1</v>
      </c>
      <c r="U1888" s="1">
        <f>IF(OR(Tabela2[[#This Row],[MTRANS]]="Walking",Tabela2[[#This Row],[MTRANS]]="Bike"),Tabela2[[#This Row],[FAF_atividade_fisica_frequente_em_horas]]+1,M1888)</f>
        <v>0</v>
      </c>
      <c r="V1888">
        <f>(Tabela2[[#This Row],[SMOKE]]+Tabela2[[#This Row],[CALC_bebe_alcool_frequentemente]])</f>
        <v>1</v>
      </c>
      <c r="W1888" s="8">
        <f>(Tabela2[[#This Row],[Weight]]/(Tabela2[[#This Row],[Height]] ^2))</f>
        <v>41.148191655283519</v>
      </c>
    </row>
    <row r="1889" spans="1:23" x14ac:dyDescent="0.25">
      <c r="A1889" t="s">
        <v>13</v>
      </c>
      <c r="B1889" s="7">
        <v>25.96773</v>
      </c>
      <c r="C1889" s="4">
        <v>1.6034040000000001</v>
      </c>
      <c r="D1889" s="7">
        <v>105.031908</v>
      </c>
      <c r="E1889">
        <v>1</v>
      </c>
      <c r="F1889">
        <v>1</v>
      </c>
      <c r="G1889" s="2">
        <v>3</v>
      </c>
      <c r="H1889" s="2">
        <v>3</v>
      </c>
      <c r="I1889">
        <v>1</v>
      </c>
      <c r="J1889">
        <v>0</v>
      </c>
      <c r="K1889" s="2">
        <v>1.919473</v>
      </c>
      <c r="L1889">
        <v>0</v>
      </c>
      <c r="M1889" s="7">
        <v>2.7101E-2</v>
      </c>
      <c r="N1889" s="7">
        <v>0.54613699999999998</v>
      </c>
      <c r="O1889">
        <v>1</v>
      </c>
      <c r="P1889" t="s">
        <v>14</v>
      </c>
      <c r="Q1889">
        <v>6</v>
      </c>
      <c r="R1889" s="8">
        <f>(Tabela2[[#This Row],[FAF_atividade_fisica_frequente_em_horas]]+ 0.1)</f>
        <v>0.12710100000000002</v>
      </c>
      <c r="S1889" s="1">
        <f>(Tabela2[[#This Row],[TUE_tempo_uso_aparelhos_em_horas]]/Tabela2[[#This Row],[FAF_Var]])</f>
        <v>4.2968741394638901</v>
      </c>
      <c r="T1889">
        <f>(Tabela2[[#This Row],[CAEC_lanche_entre_refeicoes]]*Tabela2[[#This Row],[FAVC_consumo_frequente_de_alimentos_mt_caloricos]])</f>
        <v>1</v>
      </c>
      <c r="U1889" s="1">
        <f>IF(OR(Tabela2[[#This Row],[MTRANS]]="Walking",Tabela2[[#This Row],[MTRANS]]="Bike"),Tabela2[[#This Row],[FAF_atividade_fisica_frequente_em_horas]]+1,M1889)</f>
        <v>2.7101E-2</v>
      </c>
      <c r="V1889">
        <f>(Tabela2[[#This Row],[SMOKE]]+Tabela2[[#This Row],[CALC_bebe_alcool_frequentemente]])</f>
        <v>1</v>
      </c>
      <c r="W1889" s="8">
        <f>(Tabela2[[#This Row],[Weight]]/(Tabela2[[#This Row],[Height]] ^2))</f>
        <v>40.854070078326686</v>
      </c>
    </row>
    <row r="1890" spans="1:23" x14ac:dyDescent="0.25">
      <c r="A1890" t="s">
        <v>13</v>
      </c>
      <c r="B1890" s="7">
        <v>25.989937999999999</v>
      </c>
      <c r="C1890" s="4">
        <v>1.644199</v>
      </c>
      <c r="D1890" s="7">
        <v>105.036075</v>
      </c>
      <c r="E1890">
        <v>1</v>
      </c>
      <c r="F1890">
        <v>1</v>
      </c>
      <c r="G1890" s="2">
        <v>3</v>
      </c>
      <c r="H1890" s="2">
        <v>3</v>
      </c>
      <c r="I1890">
        <v>1</v>
      </c>
      <c r="J1890">
        <v>0</v>
      </c>
      <c r="K1890" s="2">
        <v>2.310076</v>
      </c>
      <c r="L1890">
        <v>0</v>
      </c>
      <c r="M1890" s="7">
        <v>7.1150000000000005E-2</v>
      </c>
      <c r="N1890" s="7">
        <v>0.73308499999999999</v>
      </c>
      <c r="O1890">
        <v>1</v>
      </c>
      <c r="P1890" t="s">
        <v>14</v>
      </c>
      <c r="Q1890">
        <v>6</v>
      </c>
      <c r="R1890" s="8">
        <f>(Tabela2[[#This Row],[FAF_atividade_fisica_frequente_em_horas]]+ 0.1)</f>
        <v>0.17115000000000002</v>
      </c>
      <c r="S1890" s="1">
        <f>(Tabela2[[#This Row],[TUE_tempo_uso_aparelhos_em_horas]]/Tabela2[[#This Row],[FAF_Var]])</f>
        <v>4.2832895121238677</v>
      </c>
      <c r="T1890">
        <f>(Tabela2[[#This Row],[CAEC_lanche_entre_refeicoes]]*Tabela2[[#This Row],[FAVC_consumo_frequente_de_alimentos_mt_caloricos]])</f>
        <v>1</v>
      </c>
      <c r="U1890" s="1">
        <f>IF(OR(Tabela2[[#This Row],[MTRANS]]="Walking",Tabela2[[#This Row],[MTRANS]]="Bike"),Tabela2[[#This Row],[FAF_atividade_fisica_frequente_em_horas]]+1,M1890)</f>
        <v>7.1150000000000005E-2</v>
      </c>
      <c r="V1890">
        <f>(Tabela2[[#This Row],[SMOKE]]+Tabela2[[#This Row],[CALC_bebe_alcool_frequentemente]])</f>
        <v>1</v>
      </c>
      <c r="W1890" s="8">
        <f>(Tabela2[[#This Row],[Weight]]/(Tabela2[[#This Row],[Height]] ^2))</f>
        <v>38.853462260008293</v>
      </c>
    </row>
    <row r="1891" spans="1:23" x14ac:dyDescent="0.25">
      <c r="A1891" t="s">
        <v>13</v>
      </c>
      <c r="B1891" s="7">
        <v>26</v>
      </c>
      <c r="C1891" s="4">
        <v>1.6289089999999999</v>
      </c>
      <c r="D1891" s="7">
        <v>106.875927</v>
      </c>
      <c r="E1891">
        <v>1</v>
      </c>
      <c r="F1891">
        <v>1</v>
      </c>
      <c r="G1891" s="2">
        <v>3</v>
      </c>
      <c r="H1891" s="2">
        <v>3</v>
      </c>
      <c r="I1891">
        <v>1</v>
      </c>
      <c r="J1891">
        <v>0</v>
      </c>
      <c r="K1891" s="2">
        <v>2.6868240000000001</v>
      </c>
      <c r="L1891">
        <v>0</v>
      </c>
      <c r="M1891" s="7">
        <v>0</v>
      </c>
      <c r="N1891" s="7">
        <v>0.54081199999999996</v>
      </c>
      <c r="O1891">
        <v>1</v>
      </c>
      <c r="P1891" t="s">
        <v>14</v>
      </c>
      <c r="Q1891">
        <v>6</v>
      </c>
      <c r="R1891" s="8">
        <f>(Tabela2[[#This Row],[FAF_atividade_fisica_frequente_em_horas]]+ 0.1)</f>
        <v>0.1</v>
      </c>
      <c r="S1891" s="1">
        <f>(Tabela2[[#This Row],[TUE_tempo_uso_aparelhos_em_horas]]/Tabela2[[#This Row],[FAF_Var]])</f>
        <v>5.4081199999999994</v>
      </c>
      <c r="T1891">
        <f>(Tabela2[[#This Row],[CAEC_lanche_entre_refeicoes]]*Tabela2[[#This Row],[FAVC_consumo_frequente_de_alimentos_mt_caloricos]])</f>
        <v>1</v>
      </c>
      <c r="U1891" s="1">
        <f>IF(OR(Tabela2[[#This Row],[MTRANS]]="Walking",Tabela2[[#This Row],[MTRANS]]="Bike"),Tabela2[[#This Row],[FAF_atividade_fisica_frequente_em_horas]]+1,M1891)</f>
        <v>0</v>
      </c>
      <c r="V1891">
        <f>(Tabela2[[#This Row],[SMOKE]]+Tabela2[[#This Row],[CALC_bebe_alcool_frequentemente]])</f>
        <v>1</v>
      </c>
      <c r="W1891" s="8">
        <f>(Tabela2[[#This Row],[Weight]]/(Tabela2[[#This Row],[Height]] ^2))</f>
        <v>40.279702006388675</v>
      </c>
    </row>
    <row r="1892" spans="1:23" x14ac:dyDescent="0.25">
      <c r="A1892" t="s">
        <v>13</v>
      </c>
      <c r="B1892" s="7">
        <v>25.617227</v>
      </c>
      <c r="C1892" s="4">
        <v>1.6280190000000001</v>
      </c>
      <c r="D1892" s="7">
        <v>108.265922</v>
      </c>
      <c r="E1892">
        <v>1</v>
      </c>
      <c r="F1892">
        <v>1</v>
      </c>
      <c r="G1892" s="2">
        <v>3</v>
      </c>
      <c r="H1892" s="2">
        <v>3</v>
      </c>
      <c r="I1892">
        <v>1</v>
      </c>
      <c r="J1892">
        <v>0</v>
      </c>
      <c r="K1892" s="2">
        <v>1.6213</v>
      </c>
      <c r="L1892">
        <v>0</v>
      </c>
      <c r="M1892" s="7">
        <v>9.0916999999999998E-2</v>
      </c>
      <c r="N1892" s="7">
        <v>0.43821599999999999</v>
      </c>
      <c r="O1892">
        <v>1</v>
      </c>
      <c r="P1892" t="s">
        <v>14</v>
      </c>
      <c r="Q1892">
        <v>6</v>
      </c>
      <c r="R1892" s="8">
        <f>(Tabela2[[#This Row],[FAF_atividade_fisica_frequente_em_horas]]+ 0.1)</f>
        <v>0.190917</v>
      </c>
      <c r="S1892" s="1">
        <f>(Tabela2[[#This Row],[TUE_tempo_uso_aparelhos_em_horas]]/Tabela2[[#This Row],[FAF_Var]])</f>
        <v>2.2953220509436036</v>
      </c>
      <c r="T1892">
        <f>(Tabela2[[#This Row],[CAEC_lanche_entre_refeicoes]]*Tabela2[[#This Row],[FAVC_consumo_frequente_de_alimentos_mt_caloricos]])</f>
        <v>1</v>
      </c>
      <c r="U1892" s="1">
        <f>IF(OR(Tabela2[[#This Row],[MTRANS]]="Walking",Tabela2[[#This Row],[MTRANS]]="Bike"),Tabela2[[#This Row],[FAF_atividade_fisica_frequente_em_horas]]+1,M1892)</f>
        <v>9.0916999999999998E-2</v>
      </c>
      <c r="V1892">
        <f>(Tabela2[[#This Row],[SMOKE]]+Tabela2[[#This Row],[CALC_bebe_alcool_frequentemente]])</f>
        <v>1</v>
      </c>
      <c r="W1892" s="8">
        <f>(Tabela2[[#This Row],[Weight]]/(Tabela2[[#This Row],[Height]] ^2))</f>
        <v>40.848192168641773</v>
      </c>
    </row>
    <row r="1893" spans="1:23" x14ac:dyDescent="0.25">
      <c r="A1893" t="s">
        <v>13</v>
      </c>
      <c r="B1893" s="7">
        <v>21.030909000000001</v>
      </c>
      <c r="C1893" s="4">
        <v>1.71818</v>
      </c>
      <c r="D1893" s="7">
        <v>133.46676299999999</v>
      </c>
      <c r="E1893">
        <v>1</v>
      </c>
      <c r="F1893">
        <v>1</v>
      </c>
      <c r="G1893" s="2">
        <v>3</v>
      </c>
      <c r="H1893" s="2">
        <v>3</v>
      </c>
      <c r="I1893">
        <v>1</v>
      </c>
      <c r="J1893">
        <v>0</v>
      </c>
      <c r="K1893" s="2">
        <v>1.517215</v>
      </c>
      <c r="L1893">
        <v>0</v>
      </c>
      <c r="M1893" s="7">
        <v>1.486289</v>
      </c>
      <c r="N1893" s="7">
        <v>0.93749199999999999</v>
      </c>
      <c r="O1893">
        <v>1</v>
      </c>
      <c r="P1893" t="s">
        <v>14</v>
      </c>
      <c r="Q1893">
        <v>6</v>
      </c>
      <c r="R1893" s="8">
        <f>(Tabela2[[#This Row],[FAF_atividade_fisica_frequente_em_horas]]+ 0.1)</f>
        <v>1.5862890000000001</v>
      </c>
      <c r="S1893" s="1">
        <f>(Tabela2[[#This Row],[TUE_tempo_uso_aparelhos_em_horas]]/Tabela2[[#This Row],[FAF_Var]])</f>
        <v>0.5909969747000704</v>
      </c>
      <c r="T1893">
        <f>(Tabela2[[#This Row],[CAEC_lanche_entre_refeicoes]]*Tabela2[[#This Row],[FAVC_consumo_frequente_de_alimentos_mt_caloricos]])</f>
        <v>1</v>
      </c>
      <c r="U1893" s="1">
        <f>IF(OR(Tabela2[[#This Row],[MTRANS]]="Walking",Tabela2[[#This Row],[MTRANS]]="Bike"),Tabela2[[#This Row],[FAF_atividade_fisica_frequente_em_horas]]+1,M1893)</f>
        <v>1.486289</v>
      </c>
      <c r="V1893">
        <f>(Tabela2[[#This Row],[SMOKE]]+Tabela2[[#This Row],[CALC_bebe_alcool_frequentemente]])</f>
        <v>1</v>
      </c>
      <c r="W1893" s="8">
        <f>(Tabela2[[#This Row],[Weight]]/(Tabela2[[#This Row],[Height]] ^2))</f>
        <v>45.210135499690246</v>
      </c>
    </row>
    <row r="1894" spans="1:23" x14ac:dyDescent="0.25">
      <c r="A1894" t="s">
        <v>13</v>
      </c>
      <c r="B1894" s="7">
        <v>20.951084000000002</v>
      </c>
      <c r="C1894" s="4">
        <v>1.7085809999999999</v>
      </c>
      <c r="D1894" s="7">
        <v>131.27485100000001</v>
      </c>
      <c r="E1894">
        <v>1</v>
      </c>
      <c r="F1894">
        <v>1</v>
      </c>
      <c r="G1894" s="2">
        <v>3</v>
      </c>
      <c r="H1894" s="2">
        <v>3</v>
      </c>
      <c r="I1894">
        <v>1</v>
      </c>
      <c r="J1894">
        <v>0</v>
      </c>
      <c r="K1894" s="2">
        <v>1.796956</v>
      </c>
      <c r="L1894">
        <v>0</v>
      </c>
      <c r="M1894" s="7">
        <v>1.684582</v>
      </c>
      <c r="N1894" s="7">
        <v>0.88738799999999995</v>
      </c>
      <c r="O1894">
        <v>1</v>
      </c>
      <c r="P1894" t="s">
        <v>14</v>
      </c>
      <c r="Q1894">
        <v>6</v>
      </c>
      <c r="R1894" s="8">
        <f>(Tabela2[[#This Row],[FAF_atividade_fisica_frequente_em_horas]]+ 0.1)</f>
        <v>1.7845820000000001</v>
      </c>
      <c r="S1894" s="1">
        <f>(Tabela2[[#This Row],[TUE_tempo_uso_aparelhos_em_horas]]/Tabela2[[#This Row],[FAF_Var]])</f>
        <v>0.49725257791460403</v>
      </c>
      <c r="T1894">
        <f>(Tabela2[[#This Row],[CAEC_lanche_entre_refeicoes]]*Tabela2[[#This Row],[FAVC_consumo_frequente_de_alimentos_mt_caloricos]])</f>
        <v>1</v>
      </c>
      <c r="U1894" s="1">
        <f>IF(OR(Tabela2[[#This Row],[MTRANS]]="Walking",Tabela2[[#This Row],[MTRANS]]="Bike"),Tabela2[[#This Row],[FAF_atividade_fisica_frequente_em_horas]]+1,M1894)</f>
        <v>1.684582</v>
      </c>
      <c r="V1894">
        <f>(Tabela2[[#This Row],[SMOKE]]+Tabela2[[#This Row],[CALC_bebe_alcool_frequentemente]])</f>
        <v>1</v>
      </c>
      <c r="W1894" s="8">
        <f>(Tabela2[[#This Row],[Weight]]/(Tabela2[[#This Row],[Height]] ^2))</f>
        <v>44.968705818107772</v>
      </c>
    </row>
    <row r="1895" spans="1:23" x14ac:dyDescent="0.25">
      <c r="A1895" t="s">
        <v>13</v>
      </c>
      <c r="B1895" s="7">
        <v>22.980221</v>
      </c>
      <c r="C1895" s="4">
        <v>1.7249829999999999</v>
      </c>
      <c r="D1895" s="7">
        <v>132.94066000000001</v>
      </c>
      <c r="E1895">
        <v>1</v>
      </c>
      <c r="F1895">
        <v>1</v>
      </c>
      <c r="G1895" s="2">
        <v>3</v>
      </c>
      <c r="H1895" s="2">
        <v>3</v>
      </c>
      <c r="I1895">
        <v>1</v>
      </c>
      <c r="J1895">
        <v>0</v>
      </c>
      <c r="K1895" s="2">
        <v>2.085553</v>
      </c>
      <c r="L1895">
        <v>0</v>
      </c>
      <c r="M1895" s="7">
        <v>1.2716510000000001</v>
      </c>
      <c r="N1895" s="7">
        <v>0.58793200000000001</v>
      </c>
      <c r="O1895">
        <v>1</v>
      </c>
      <c r="P1895" t="s">
        <v>14</v>
      </c>
      <c r="Q1895">
        <v>6</v>
      </c>
      <c r="R1895" s="8">
        <f>(Tabela2[[#This Row],[FAF_atividade_fisica_frequente_em_horas]]+ 0.1)</f>
        <v>1.3716510000000002</v>
      </c>
      <c r="S1895" s="1">
        <f>(Tabela2[[#This Row],[TUE_tempo_uso_aparelhos_em_horas]]/Tabela2[[#This Row],[FAF_Var]])</f>
        <v>0.42863089809288218</v>
      </c>
      <c r="T1895">
        <f>(Tabela2[[#This Row],[CAEC_lanche_entre_refeicoes]]*Tabela2[[#This Row],[FAVC_consumo_frequente_de_alimentos_mt_caloricos]])</f>
        <v>1</v>
      </c>
      <c r="U1895" s="1">
        <f>IF(OR(Tabela2[[#This Row],[MTRANS]]="Walking",Tabela2[[#This Row],[MTRANS]]="Bike"),Tabela2[[#This Row],[FAF_atividade_fisica_frequente_em_horas]]+1,M1895)</f>
        <v>1.2716510000000001</v>
      </c>
      <c r="V1895">
        <f>(Tabela2[[#This Row],[SMOKE]]+Tabela2[[#This Row],[CALC_bebe_alcool_frequentemente]])</f>
        <v>1</v>
      </c>
      <c r="W1895" s="8">
        <f>(Tabela2[[#This Row],[Weight]]/(Tabela2[[#This Row],[Height]] ^2))</f>
        <v>44.677430898856699</v>
      </c>
    </row>
    <row r="1896" spans="1:23" x14ac:dyDescent="0.25">
      <c r="A1896" t="s">
        <v>13</v>
      </c>
      <c r="B1896" s="7">
        <v>23.426036</v>
      </c>
      <c r="C1896" s="4">
        <v>1.7399910000000001</v>
      </c>
      <c r="D1896" s="7">
        <v>133.485478</v>
      </c>
      <c r="E1896">
        <v>1</v>
      </c>
      <c r="F1896">
        <v>1</v>
      </c>
      <c r="G1896" s="2">
        <v>3</v>
      </c>
      <c r="H1896" s="2">
        <v>3</v>
      </c>
      <c r="I1896">
        <v>1</v>
      </c>
      <c r="J1896">
        <v>0</v>
      </c>
      <c r="K1896" s="2">
        <v>2.8377970000000001</v>
      </c>
      <c r="L1896">
        <v>0</v>
      </c>
      <c r="M1896" s="7">
        <v>1.3438749999999999</v>
      </c>
      <c r="N1896" s="7">
        <v>0.80315599999999998</v>
      </c>
      <c r="O1896">
        <v>1</v>
      </c>
      <c r="P1896" t="s">
        <v>14</v>
      </c>
      <c r="Q1896">
        <v>6</v>
      </c>
      <c r="R1896" s="8">
        <f>(Tabela2[[#This Row],[FAF_atividade_fisica_frequente_em_horas]]+ 0.1)</f>
        <v>1.443875</v>
      </c>
      <c r="S1896" s="1">
        <f>(Tabela2[[#This Row],[TUE_tempo_uso_aparelhos_em_horas]]/Tabela2[[#This Row],[FAF_Var]])</f>
        <v>0.55625036793351224</v>
      </c>
      <c r="T1896">
        <f>(Tabela2[[#This Row],[CAEC_lanche_entre_refeicoes]]*Tabela2[[#This Row],[FAVC_consumo_frequente_de_alimentos_mt_caloricos]])</f>
        <v>1</v>
      </c>
      <c r="U1896" s="1">
        <f>IF(OR(Tabela2[[#This Row],[MTRANS]]="Walking",Tabela2[[#This Row],[MTRANS]]="Bike"),Tabela2[[#This Row],[FAF_atividade_fisica_frequente_em_horas]]+1,M1896)</f>
        <v>1.3438749999999999</v>
      </c>
      <c r="V1896">
        <f>(Tabela2[[#This Row],[SMOKE]]+Tabela2[[#This Row],[CALC_bebe_alcool_frequentemente]])</f>
        <v>1</v>
      </c>
      <c r="W1896" s="8">
        <f>(Tabela2[[#This Row],[Weight]]/(Tabela2[[#This Row],[Height]] ^2))</f>
        <v>44.089991707943248</v>
      </c>
    </row>
    <row r="1897" spans="1:23" x14ac:dyDescent="0.25">
      <c r="A1897" t="s">
        <v>13</v>
      </c>
      <c r="B1897" s="7">
        <v>25.999185000000001</v>
      </c>
      <c r="C1897" s="4">
        <v>1.568543</v>
      </c>
      <c r="D1897" s="7">
        <v>102.000122</v>
      </c>
      <c r="E1897">
        <v>1</v>
      </c>
      <c r="F1897">
        <v>1</v>
      </c>
      <c r="G1897" s="2">
        <v>3</v>
      </c>
      <c r="H1897" s="2">
        <v>3</v>
      </c>
      <c r="I1897">
        <v>1</v>
      </c>
      <c r="J1897">
        <v>0</v>
      </c>
      <c r="K1897" s="2">
        <v>1.0005440000000001</v>
      </c>
      <c r="L1897">
        <v>0</v>
      </c>
      <c r="M1897" s="7">
        <v>1.297E-3</v>
      </c>
      <c r="N1897" s="7">
        <v>1</v>
      </c>
      <c r="O1897">
        <v>1</v>
      </c>
      <c r="P1897" t="s">
        <v>14</v>
      </c>
      <c r="Q1897">
        <v>6</v>
      </c>
      <c r="R1897" s="8">
        <f>(Tabela2[[#This Row],[FAF_atividade_fisica_frequente_em_horas]]+ 0.1)</f>
        <v>0.10129700000000001</v>
      </c>
      <c r="S1897" s="1">
        <f>(Tabela2[[#This Row],[TUE_tempo_uso_aparelhos_em_horas]]/Tabela2[[#This Row],[FAF_Var]])</f>
        <v>9.8719606701086899</v>
      </c>
      <c r="T1897">
        <f>(Tabela2[[#This Row],[CAEC_lanche_entre_refeicoes]]*Tabela2[[#This Row],[FAVC_consumo_frequente_de_alimentos_mt_caloricos]])</f>
        <v>1</v>
      </c>
      <c r="U1897" s="1">
        <f>IF(OR(Tabela2[[#This Row],[MTRANS]]="Walking",Tabela2[[#This Row],[MTRANS]]="Bike"),Tabela2[[#This Row],[FAF_atividade_fisica_frequente_em_horas]]+1,M1897)</f>
        <v>1.297E-3</v>
      </c>
      <c r="V1897">
        <f>(Tabela2[[#This Row],[SMOKE]]+Tabela2[[#This Row],[CALC_bebe_alcool_frequentemente]])</f>
        <v>1</v>
      </c>
      <c r="W1897" s="8">
        <f>(Tabela2[[#This Row],[Weight]]/(Tabela2[[#This Row],[Height]] ^2))</f>
        <v>41.457950946265747</v>
      </c>
    </row>
    <row r="1898" spans="1:23" x14ac:dyDescent="0.25">
      <c r="A1898" t="s">
        <v>13</v>
      </c>
      <c r="B1898" s="7">
        <v>25.934757000000001</v>
      </c>
      <c r="C1898" s="4">
        <v>1.579893</v>
      </c>
      <c r="D1898" s="7">
        <v>102.134646</v>
      </c>
      <c r="E1898">
        <v>1</v>
      </c>
      <c r="F1898">
        <v>1</v>
      </c>
      <c r="G1898" s="2">
        <v>3</v>
      </c>
      <c r="H1898" s="2">
        <v>3</v>
      </c>
      <c r="I1898">
        <v>1</v>
      </c>
      <c r="J1898">
        <v>0</v>
      </c>
      <c r="K1898" s="2">
        <v>1.0058640000000001</v>
      </c>
      <c r="L1898">
        <v>0</v>
      </c>
      <c r="M1898" s="7">
        <v>2.0060000000000001E-2</v>
      </c>
      <c r="N1898" s="7">
        <v>0.69583799999999996</v>
      </c>
      <c r="O1898">
        <v>1</v>
      </c>
      <c r="P1898" t="s">
        <v>14</v>
      </c>
      <c r="Q1898">
        <v>6</v>
      </c>
      <c r="R1898" s="8">
        <f>(Tabela2[[#This Row],[FAF_atividade_fisica_frequente_em_horas]]+ 0.1)</f>
        <v>0.12006</v>
      </c>
      <c r="S1898" s="1">
        <f>(Tabela2[[#This Row],[TUE_tempo_uso_aparelhos_em_horas]]/Tabela2[[#This Row],[FAF_Var]])</f>
        <v>5.7957521239380307</v>
      </c>
      <c r="T1898">
        <f>(Tabela2[[#This Row],[CAEC_lanche_entre_refeicoes]]*Tabela2[[#This Row],[FAVC_consumo_frequente_de_alimentos_mt_caloricos]])</f>
        <v>1</v>
      </c>
      <c r="U1898" s="1">
        <f>IF(OR(Tabela2[[#This Row],[MTRANS]]="Walking",Tabela2[[#This Row],[MTRANS]]="Bike"),Tabela2[[#This Row],[FAF_atividade_fisica_frequente_em_horas]]+1,M1898)</f>
        <v>2.0060000000000001E-2</v>
      </c>
      <c r="V1898">
        <f>(Tabela2[[#This Row],[SMOKE]]+Tabela2[[#This Row],[CALC_bebe_alcool_frequentemente]])</f>
        <v>1</v>
      </c>
      <c r="W1898" s="8">
        <f>(Tabela2[[#This Row],[Weight]]/(Tabela2[[#This Row],[Height]] ^2))</f>
        <v>40.918314706014506</v>
      </c>
    </row>
    <row r="1899" spans="1:23" x14ac:dyDescent="0.25">
      <c r="A1899" t="s">
        <v>13</v>
      </c>
      <c r="B1899" s="7">
        <v>20.327722999999999</v>
      </c>
      <c r="C1899" s="4">
        <v>1.7827139999999999</v>
      </c>
      <c r="D1899" s="7">
        <v>154.61844600000001</v>
      </c>
      <c r="E1899">
        <v>1</v>
      </c>
      <c r="F1899">
        <v>1</v>
      </c>
      <c r="G1899" s="2">
        <v>3</v>
      </c>
      <c r="H1899" s="2">
        <v>3</v>
      </c>
      <c r="I1899">
        <v>1</v>
      </c>
      <c r="J1899">
        <v>0</v>
      </c>
      <c r="K1899" s="2">
        <v>2.3195589999999999</v>
      </c>
      <c r="L1899">
        <v>0</v>
      </c>
      <c r="M1899" s="7">
        <v>1.9707300000000001</v>
      </c>
      <c r="N1899" s="7">
        <v>0.76837500000000003</v>
      </c>
      <c r="O1899">
        <v>1</v>
      </c>
      <c r="P1899" t="s">
        <v>14</v>
      </c>
      <c r="Q1899">
        <v>6</v>
      </c>
      <c r="R1899" s="8">
        <f>(Tabela2[[#This Row],[FAF_atividade_fisica_frequente_em_horas]]+ 0.1)</f>
        <v>2.0707300000000002</v>
      </c>
      <c r="S1899" s="1">
        <f>(Tabela2[[#This Row],[TUE_tempo_uso_aparelhos_em_horas]]/Tabela2[[#This Row],[FAF_Var]])</f>
        <v>0.3710647935752126</v>
      </c>
      <c r="T1899">
        <f>(Tabela2[[#This Row],[CAEC_lanche_entre_refeicoes]]*Tabela2[[#This Row],[FAVC_consumo_frequente_de_alimentos_mt_caloricos]])</f>
        <v>1</v>
      </c>
      <c r="U1899" s="1">
        <f>IF(OR(Tabela2[[#This Row],[MTRANS]]="Walking",Tabela2[[#This Row],[MTRANS]]="Bike"),Tabela2[[#This Row],[FAF_atividade_fisica_frequente_em_horas]]+1,M1899)</f>
        <v>1.9707300000000001</v>
      </c>
      <c r="V1899">
        <f>(Tabela2[[#This Row],[SMOKE]]+Tabela2[[#This Row],[CALC_bebe_alcool_frequentemente]])</f>
        <v>1</v>
      </c>
      <c r="W1899" s="8">
        <f>(Tabela2[[#This Row],[Weight]]/(Tabela2[[#This Row],[Height]] ^2))</f>
        <v>48.651692580518642</v>
      </c>
    </row>
    <row r="1900" spans="1:23" x14ac:dyDescent="0.25">
      <c r="A1900" t="s">
        <v>13</v>
      </c>
      <c r="B1900" s="7">
        <v>19.472190000000001</v>
      </c>
      <c r="C1900" s="4">
        <v>1.7938240000000001</v>
      </c>
      <c r="D1900" s="7">
        <v>160.935351</v>
      </c>
      <c r="E1900">
        <v>1</v>
      </c>
      <c r="F1900">
        <v>1</v>
      </c>
      <c r="G1900" s="2">
        <v>3</v>
      </c>
      <c r="H1900" s="2">
        <v>3</v>
      </c>
      <c r="I1900">
        <v>1</v>
      </c>
      <c r="J1900">
        <v>0</v>
      </c>
      <c r="K1900" s="2">
        <v>2.0692569999999999</v>
      </c>
      <c r="L1900">
        <v>0</v>
      </c>
      <c r="M1900" s="7">
        <v>1.9866459999999999</v>
      </c>
      <c r="N1900" s="7">
        <v>0.94709100000000002</v>
      </c>
      <c r="O1900">
        <v>1</v>
      </c>
      <c r="P1900" t="s">
        <v>14</v>
      </c>
      <c r="Q1900">
        <v>6</v>
      </c>
      <c r="R1900" s="8">
        <f>(Tabela2[[#This Row],[FAF_atividade_fisica_frequente_em_horas]]+ 0.1)</f>
        <v>2.086646</v>
      </c>
      <c r="S1900" s="1">
        <f>(Tabela2[[#This Row],[TUE_tempo_uso_aparelhos_em_horas]]/Tabela2[[#This Row],[FAF_Var]])</f>
        <v>0.45388197135498787</v>
      </c>
      <c r="T1900">
        <f>(Tabela2[[#This Row],[CAEC_lanche_entre_refeicoes]]*Tabela2[[#This Row],[FAVC_consumo_frequente_de_alimentos_mt_caloricos]])</f>
        <v>1</v>
      </c>
      <c r="U1900" s="1">
        <f>IF(OR(Tabela2[[#This Row],[MTRANS]]="Walking",Tabela2[[#This Row],[MTRANS]]="Bike"),Tabela2[[#This Row],[FAF_atividade_fisica_frequente_em_horas]]+1,M1900)</f>
        <v>1.9866459999999999</v>
      </c>
      <c r="V1900">
        <f>(Tabela2[[#This Row],[SMOKE]]+Tabela2[[#This Row],[CALC_bebe_alcool_frequentemente]])</f>
        <v>1</v>
      </c>
      <c r="W1900" s="8">
        <f>(Tabela2[[#This Row],[Weight]]/(Tabela2[[#This Row],[Height]] ^2))</f>
        <v>50.014023179654735</v>
      </c>
    </row>
    <row r="1901" spans="1:23" x14ac:dyDescent="0.25">
      <c r="A1901" t="s">
        <v>13</v>
      </c>
      <c r="B1901" s="7">
        <v>26</v>
      </c>
      <c r="C1901" s="4">
        <v>1.6595569999999999</v>
      </c>
      <c r="D1901" s="7">
        <v>111.99909599999999</v>
      </c>
      <c r="E1901">
        <v>1</v>
      </c>
      <c r="F1901">
        <v>1</v>
      </c>
      <c r="G1901" s="2">
        <v>3</v>
      </c>
      <c r="H1901" s="2">
        <v>3</v>
      </c>
      <c r="I1901">
        <v>1</v>
      </c>
      <c r="J1901">
        <v>0</v>
      </c>
      <c r="K1901" s="2">
        <v>2.9565480000000002</v>
      </c>
      <c r="L1901">
        <v>0</v>
      </c>
      <c r="M1901" s="7">
        <v>0</v>
      </c>
      <c r="N1901" s="7">
        <v>1.0056000000000001E-2</v>
      </c>
      <c r="O1901">
        <v>1</v>
      </c>
      <c r="P1901" t="s">
        <v>14</v>
      </c>
      <c r="Q1901">
        <v>6</v>
      </c>
      <c r="R1901" s="8">
        <f>(Tabela2[[#This Row],[FAF_atividade_fisica_frequente_em_horas]]+ 0.1)</f>
        <v>0.1</v>
      </c>
      <c r="S1901" s="1">
        <f>(Tabela2[[#This Row],[TUE_tempo_uso_aparelhos_em_horas]]/Tabela2[[#This Row],[FAF_Var]])</f>
        <v>0.10056</v>
      </c>
      <c r="T1901">
        <f>(Tabela2[[#This Row],[CAEC_lanche_entre_refeicoes]]*Tabela2[[#This Row],[FAVC_consumo_frequente_de_alimentos_mt_caloricos]])</f>
        <v>1</v>
      </c>
      <c r="U1901" s="1">
        <f>IF(OR(Tabela2[[#This Row],[MTRANS]]="Walking",Tabela2[[#This Row],[MTRANS]]="Bike"),Tabela2[[#This Row],[FAF_atividade_fisica_frequente_em_horas]]+1,M1901)</f>
        <v>0</v>
      </c>
      <c r="V1901">
        <f>(Tabela2[[#This Row],[SMOKE]]+Tabela2[[#This Row],[CALC_bebe_alcool_frequentemente]])</f>
        <v>1</v>
      </c>
      <c r="W1901" s="8">
        <f>(Tabela2[[#This Row],[Weight]]/(Tabela2[[#This Row],[Height]] ^2))</f>
        <v>40.665879579188449</v>
      </c>
    </row>
    <row r="1902" spans="1:23" x14ac:dyDescent="0.25">
      <c r="A1902" t="s">
        <v>13</v>
      </c>
      <c r="B1902" s="7">
        <v>26</v>
      </c>
      <c r="C1902" s="4">
        <v>1.6578200000000001</v>
      </c>
      <c r="D1902" s="7">
        <v>111.95611</v>
      </c>
      <c r="E1902">
        <v>1</v>
      </c>
      <c r="F1902">
        <v>1</v>
      </c>
      <c r="G1902" s="2">
        <v>3</v>
      </c>
      <c r="H1902" s="2">
        <v>3</v>
      </c>
      <c r="I1902">
        <v>1</v>
      </c>
      <c r="J1902">
        <v>0</v>
      </c>
      <c r="K1902" s="2">
        <v>2.7775569999999998</v>
      </c>
      <c r="L1902">
        <v>0</v>
      </c>
      <c r="M1902" s="7">
        <v>0</v>
      </c>
      <c r="N1902" s="7">
        <v>5.1858000000000001E-2</v>
      </c>
      <c r="O1902">
        <v>1</v>
      </c>
      <c r="P1902" t="s">
        <v>14</v>
      </c>
      <c r="Q1902">
        <v>6</v>
      </c>
      <c r="R1902" s="8">
        <f>(Tabela2[[#This Row],[FAF_atividade_fisica_frequente_em_horas]]+ 0.1)</f>
        <v>0.1</v>
      </c>
      <c r="S1902" s="1">
        <f>(Tabela2[[#This Row],[TUE_tempo_uso_aparelhos_em_horas]]/Tabela2[[#This Row],[FAF_Var]])</f>
        <v>0.51857999999999993</v>
      </c>
      <c r="T1902">
        <f>(Tabela2[[#This Row],[CAEC_lanche_entre_refeicoes]]*Tabela2[[#This Row],[FAVC_consumo_frequente_de_alimentos_mt_caloricos]])</f>
        <v>1</v>
      </c>
      <c r="U1902" s="1">
        <f>IF(OR(Tabela2[[#This Row],[MTRANS]]="Walking",Tabela2[[#This Row],[MTRANS]]="Bike"),Tabela2[[#This Row],[FAF_atividade_fisica_frequente_em_horas]]+1,M1902)</f>
        <v>0</v>
      </c>
      <c r="V1902">
        <f>(Tabela2[[#This Row],[SMOKE]]+Tabela2[[#This Row],[CALC_bebe_alcool_frequentemente]])</f>
        <v>1</v>
      </c>
      <c r="W1902" s="8">
        <f>(Tabela2[[#This Row],[Weight]]/(Tabela2[[#This Row],[Height]] ^2))</f>
        <v>40.735499950301325</v>
      </c>
    </row>
    <row r="1903" spans="1:23" x14ac:dyDescent="0.25">
      <c r="A1903" t="s">
        <v>13</v>
      </c>
      <c r="B1903" s="7">
        <v>25.816445000000002</v>
      </c>
      <c r="C1903" s="4">
        <v>1.6840820000000001</v>
      </c>
      <c r="D1903" s="7">
        <v>104.592372</v>
      </c>
      <c r="E1903">
        <v>1</v>
      </c>
      <c r="F1903">
        <v>1</v>
      </c>
      <c r="G1903" s="2">
        <v>3</v>
      </c>
      <c r="H1903" s="2">
        <v>3</v>
      </c>
      <c r="I1903">
        <v>1</v>
      </c>
      <c r="J1903">
        <v>0</v>
      </c>
      <c r="K1903" s="2">
        <v>1.295436</v>
      </c>
      <c r="L1903">
        <v>0</v>
      </c>
      <c r="M1903" s="7">
        <v>0.28206300000000001</v>
      </c>
      <c r="N1903" s="7">
        <v>0.92935599999999996</v>
      </c>
      <c r="O1903">
        <v>1</v>
      </c>
      <c r="P1903" t="s">
        <v>14</v>
      </c>
      <c r="Q1903">
        <v>6</v>
      </c>
      <c r="R1903" s="8">
        <f>(Tabela2[[#This Row],[FAF_atividade_fisica_frequente_em_horas]]+ 0.1)</f>
        <v>0.38206300000000004</v>
      </c>
      <c r="S1903" s="1">
        <f>(Tabela2[[#This Row],[TUE_tempo_uso_aparelhos_em_horas]]/Tabela2[[#This Row],[FAF_Var]])</f>
        <v>2.4324679437684358</v>
      </c>
      <c r="T1903">
        <f>(Tabela2[[#This Row],[CAEC_lanche_entre_refeicoes]]*Tabela2[[#This Row],[FAVC_consumo_frequente_de_alimentos_mt_caloricos]])</f>
        <v>1</v>
      </c>
      <c r="U1903" s="1">
        <f>IF(OR(Tabela2[[#This Row],[MTRANS]]="Walking",Tabela2[[#This Row],[MTRANS]]="Bike"),Tabela2[[#This Row],[FAF_atividade_fisica_frequente_em_horas]]+1,M1903)</f>
        <v>0.28206300000000001</v>
      </c>
      <c r="V1903">
        <f>(Tabela2[[#This Row],[SMOKE]]+Tabela2[[#This Row],[CALC_bebe_alcool_frequentemente]])</f>
        <v>1</v>
      </c>
      <c r="W1903" s="8">
        <f>(Tabela2[[#This Row],[Weight]]/(Tabela2[[#This Row],[Height]] ^2))</f>
        <v>36.878525139664994</v>
      </c>
    </row>
    <row r="1904" spans="1:23" x14ac:dyDescent="0.25">
      <c r="A1904" t="s">
        <v>13</v>
      </c>
      <c r="B1904" s="7">
        <v>25.498964999999998</v>
      </c>
      <c r="C1904" s="4">
        <v>1.6839500000000001</v>
      </c>
      <c r="D1904" s="7">
        <v>104.846817</v>
      </c>
      <c r="E1904">
        <v>1</v>
      </c>
      <c r="F1904">
        <v>1</v>
      </c>
      <c r="G1904" s="2">
        <v>3</v>
      </c>
      <c r="H1904" s="2">
        <v>3</v>
      </c>
      <c r="I1904">
        <v>1</v>
      </c>
      <c r="J1904">
        <v>0</v>
      </c>
      <c r="K1904" s="2">
        <v>1.2413780000000001</v>
      </c>
      <c r="L1904">
        <v>0</v>
      </c>
      <c r="M1904" s="7">
        <v>0.25942700000000002</v>
      </c>
      <c r="N1904" s="7">
        <v>0.85236199999999995</v>
      </c>
      <c r="O1904">
        <v>1</v>
      </c>
      <c r="P1904" t="s">
        <v>14</v>
      </c>
      <c r="Q1904">
        <v>6</v>
      </c>
      <c r="R1904" s="8">
        <f>(Tabela2[[#This Row],[FAF_atividade_fisica_frequente_em_horas]]+ 0.1)</f>
        <v>0.35942700000000005</v>
      </c>
      <c r="S1904" s="1">
        <f>(Tabela2[[#This Row],[TUE_tempo_uso_aparelhos_em_horas]]/Tabela2[[#This Row],[FAF_Var]])</f>
        <v>2.3714467750057726</v>
      </c>
      <c r="T1904">
        <f>(Tabela2[[#This Row],[CAEC_lanche_entre_refeicoes]]*Tabela2[[#This Row],[FAVC_consumo_frequente_de_alimentos_mt_caloricos]])</f>
        <v>1</v>
      </c>
      <c r="U1904" s="1">
        <f>IF(OR(Tabela2[[#This Row],[MTRANS]]="Walking",Tabela2[[#This Row],[MTRANS]]="Bike"),Tabela2[[#This Row],[FAF_atividade_fisica_frequente_em_horas]]+1,M1904)</f>
        <v>0.25942700000000002</v>
      </c>
      <c r="V1904">
        <f>(Tabela2[[#This Row],[SMOKE]]+Tabela2[[#This Row],[CALC_bebe_alcool_frequentemente]])</f>
        <v>1</v>
      </c>
      <c r="W1904" s="8">
        <f>(Tabela2[[#This Row],[Weight]]/(Tabela2[[#This Row],[Height]] ^2))</f>
        <v>36.974036529117278</v>
      </c>
    </row>
    <row r="1905" spans="1:23" x14ac:dyDescent="0.25">
      <c r="A1905" t="s">
        <v>13</v>
      </c>
      <c r="B1905" s="7">
        <v>19.137495000000001</v>
      </c>
      <c r="C1905" s="4">
        <v>1.716521</v>
      </c>
      <c r="D1905" s="7">
        <v>127.642324</v>
      </c>
      <c r="E1905">
        <v>1</v>
      </c>
      <c r="F1905">
        <v>1</v>
      </c>
      <c r="G1905" s="2">
        <v>3</v>
      </c>
      <c r="H1905" s="2">
        <v>3</v>
      </c>
      <c r="I1905">
        <v>1</v>
      </c>
      <c r="J1905">
        <v>0</v>
      </c>
      <c r="K1905" s="2">
        <v>1.3138339999999999</v>
      </c>
      <c r="L1905">
        <v>0</v>
      </c>
      <c r="M1905" s="7">
        <v>0.91233399999999998</v>
      </c>
      <c r="N1905" s="7">
        <v>0.70749399999999996</v>
      </c>
      <c r="O1905">
        <v>1</v>
      </c>
      <c r="P1905" t="s">
        <v>14</v>
      </c>
      <c r="Q1905">
        <v>6</v>
      </c>
      <c r="R1905" s="8">
        <f>(Tabela2[[#This Row],[FAF_atividade_fisica_frequente_em_horas]]+ 0.1)</f>
        <v>1.0123340000000001</v>
      </c>
      <c r="S1905" s="1">
        <f>(Tabela2[[#This Row],[TUE_tempo_uso_aparelhos_em_horas]]/Tabela2[[#This Row],[FAF_Var]])</f>
        <v>0.69887408701080855</v>
      </c>
      <c r="T1905">
        <f>(Tabela2[[#This Row],[CAEC_lanche_entre_refeicoes]]*Tabela2[[#This Row],[FAVC_consumo_frequente_de_alimentos_mt_caloricos]])</f>
        <v>1</v>
      </c>
      <c r="U1905" s="1">
        <f>IF(OR(Tabela2[[#This Row],[MTRANS]]="Walking",Tabela2[[#This Row],[MTRANS]]="Bike"),Tabela2[[#This Row],[FAF_atividade_fisica_frequente_em_horas]]+1,M1905)</f>
        <v>0.91233399999999998</v>
      </c>
      <c r="V1905">
        <f>(Tabela2[[#This Row],[SMOKE]]+Tabela2[[#This Row],[CALC_bebe_alcool_frequentemente]])</f>
        <v>1</v>
      </c>
      <c r="W1905" s="8">
        <f>(Tabela2[[#This Row],[Weight]]/(Tabela2[[#This Row],[Height]] ^2))</f>
        <v>43.320799282749441</v>
      </c>
    </row>
    <row r="1906" spans="1:23" x14ac:dyDescent="0.25">
      <c r="A1906" t="s">
        <v>13</v>
      </c>
      <c r="B1906" s="7">
        <v>20.190733000000002</v>
      </c>
      <c r="C1906" s="4">
        <v>1.6807620000000001</v>
      </c>
      <c r="D1906" s="7">
        <v>125.418548</v>
      </c>
      <c r="E1906">
        <v>1</v>
      </c>
      <c r="F1906">
        <v>1</v>
      </c>
      <c r="G1906" s="2">
        <v>3</v>
      </c>
      <c r="H1906" s="2">
        <v>3</v>
      </c>
      <c r="I1906">
        <v>1</v>
      </c>
      <c r="J1906">
        <v>0</v>
      </c>
      <c r="K1906" s="2">
        <v>1.124366</v>
      </c>
      <c r="L1906">
        <v>0</v>
      </c>
      <c r="M1906" s="7">
        <v>0.87706700000000004</v>
      </c>
      <c r="N1906" s="7">
        <v>0.552006</v>
      </c>
      <c r="O1906">
        <v>1</v>
      </c>
      <c r="P1906" t="s">
        <v>14</v>
      </c>
      <c r="Q1906">
        <v>6</v>
      </c>
      <c r="R1906" s="8">
        <f>(Tabela2[[#This Row],[FAF_atividade_fisica_frequente_em_horas]]+ 0.1)</f>
        <v>0.97706700000000002</v>
      </c>
      <c r="S1906" s="1">
        <f>(Tabela2[[#This Row],[TUE_tempo_uso_aparelhos_em_horas]]/Tabela2[[#This Row],[FAF_Var]])</f>
        <v>0.56496227996647108</v>
      </c>
      <c r="T1906">
        <f>(Tabela2[[#This Row],[CAEC_lanche_entre_refeicoes]]*Tabela2[[#This Row],[FAVC_consumo_frequente_de_alimentos_mt_caloricos]])</f>
        <v>1</v>
      </c>
      <c r="U1906" s="1">
        <f>IF(OR(Tabela2[[#This Row],[MTRANS]]="Walking",Tabela2[[#This Row],[MTRANS]]="Bike"),Tabela2[[#This Row],[FAF_atividade_fisica_frequente_em_horas]]+1,M1906)</f>
        <v>0.87706700000000004</v>
      </c>
      <c r="V1906">
        <f>(Tabela2[[#This Row],[SMOKE]]+Tabela2[[#This Row],[CALC_bebe_alcool_frequentemente]])</f>
        <v>1</v>
      </c>
      <c r="W1906" s="8">
        <f>(Tabela2[[#This Row],[Weight]]/(Tabela2[[#This Row],[Height]] ^2))</f>
        <v>44.396560664400205</v>
      </c>
    </row>
    <row r="1907" spans="1:23" x14ac:dyDescent="0.25">
      <c r="A1907" t="s">
        <v>13</v>
      </c>
      <c r="B1907" s="7">
        <v>26</v>
      </c>
      <c r="C1907" s="4">
        <v>1.6233029999999999</v>
      </c>
      <c r="D1907" s="7">
        <v>110.81746</v>
      </c>
      <c r="E1907">
        <v>1</v>
      </c>
      <c r="F1907">
        <v>1</v>
      </c>
      <c r="G1907" s="2">
        <v>3</v>
      </c>
      <c r="H1907" s="2">
        <v>3</v>
      </c>
      <c r="I1907">
        <v>1</v>
      </c>
      <c r="J1907">
        <v>0</v>
      </c>
      <c r="K1907" s="2">
        <v>2.6737540000000002</v>
      </c>
      <c r="L1907">
        <v>0</v>
      </c>
      <c r="M1907" s="7">
        <v>0</v>
      </c>
      <c r="N1907" s="7">
        <v>0.33928999999999998</v>
      </c>
      <c r="O1907">
        <v>1</v>
      </c>
      <c r="P1907" t="s">
        <v>14</v>
      </c>
      <c r="Q1907">
        <v>6</v>
      </c>
      <c r="R1907" s="8">
        <f>(Tabela2[[#This Row],[FAF_atividade_fisica_frequente_em_horas]]+ 0.1)</f>
        <v>0.1</v>
      </c>
      <c r="S1907" s="1">
        <f>(Tabela2[[#This Row],[TUE_tempo_uso_aparelhos_em_horas]]/Tabela2[[#This Row],[FAF_Var]])</f>
        <v>3.3928999999999996</v>
      </c>
      <c r="T1907">
        <f>(Tabela2[[#This Row],[CAEC_lanche_entre_refeicoes]]*Tabela2[[#This Row],[FAVC_consumo_frequente_de_alimentos_mt_caloricos]])</f>
        <v>1</v>
      </c>
      <c r="U1907" s="1">
        <f>IF(OR(Tabela2[[#This Row],[MTRANS]]="Walking",Tabela2[[#This Row],[MTRANS]]="Bike"),Tabela2[[#This Row],[FAF_atividade_fisica_frequente_em_horas]]+1,M1907)</f>
        <v>0</v>
      </c>
      <c r="V1907">
        <f>(Tabela2[[#This Row],[SMOKE]]+Tabela2[[#This Row],[CALC_bebe_alcool_frequentemente]])</f>
        <v>1</v>
      </c>
      <c r="W1907" s="8">
        <f>(Tabela2[[#This Row],[Weight]]/(Tabela2[[#This Row],[Height]] ^2))</f>
        <v>42.054164496199292</v>
      </c>
    </row>
    <row r="1908" spans="1:23" x14ac:dyDescent="0.25">
      <c r="A1908" t="s">
        <v>13</v>
      </c>
      <c r="B1908" s="7">
        <v>26</v>
      </c>
      <c r="C1908" s="4">
        <v>1.631856</v>
      </c>
      <c r="D1908" s="7">
        <v>110.804337</v>
      </c>
      <c r="E1908">
        <v>1</v>
      </c>
      <c r="F1908">
        <v>1</v>
      </c>
      <c r="G1908" s="2">
        <v>3</v>
      </c>
      <c r="H1908" s="2">
        <v>3</v>
      </c>
      <c r="I1908">
        <v>1</v>
      </c>
      <c r="J1908">
        <v>0</v>
      </c>
      <c r="K1908" s="2">
        <v>2.70485</v>
      </c>
      <c r="L1908">
        <v>0</v>
      </c>
      <c r="M1908" s="7">
        <v>0</v>
      </c>
      <c r="N1908" s="7">
        <v>0.243338</v>
      </c>
      <c r="O1908">
        <v>1</v>
      </c>
      <c r="P1908" t="s">
        <v>14</v>
      </c>
      <c r="Q1908">
        <v>6</v>
      </c>
      <c r="R1908" s="8">
        <f>(Tabela2[[#This Row],[FAF_atividade_fisica_frequente_em_horas]]+ 0.1)</f>
        <v>0.1</v>
      </c>
      <c r="S1908" s="1">
        <f>(Tabela2[[#This Row],[TUE_tempo_uso_aparelhos_em_horas]]/Tabela2[[#This Row],[FAF_Var]])</f>
        <v>2.4333799999999997</v>
      </c>
      <c r="T1908">
        <f>(Tabela2[[#This Row],[CAEC_lanche_entre_refeicoes]]*Tabela2[[#This Row],[FAVC_consumo_frequente_de_alimentos_mt_caloricos]])</f>
        <v>1</v>
      </c>
      <c r="U1908" s="1">
        <f>IF(OR(Tabela2[[#This Row],[MTRANS]]="Walking",Tabela2[[#This Row],[MTRANS]]="Bike"),Tabela2[[#This Row],[FAF_atividade_fisica_frequente_em_horas]]+1,M1908)</f>
        <v>0</v>
      </c>
      <c r="V1908">
        <f>(Tabela2[[#This Row],[SMOKE]]+Tabela2[[#This Row],[CALC_bebe_alcool_frequentemente]])</f>
        <v>1</v>
      </c>
      <c r="W1908" s="8">
        <f>(Tabela2[[#This Row],[Weight]]/(Tabela2[[#This Row],[Height]] ^2))</f>
        <v>41.609557207123046</v>
      </c>
    </row>
    <row r="1909" spans="1:23" x14ac:dyDescent="0.25">
      <c r="A1909" t="s">
        <v>13</v>
      </c>
      <c r="B1909" s="7">
        <v>21.840654000000001</v>
      </c>
      <c r="C1909" s="4">
        <v>1.747479</v>
      </c>
      <c r="D1909" s="7">
        <v>136.516648</v>
      </c>
      <c r="E1909">
        <v>1</v>
      </c>
      <c r="F1909">
        <v>1</v>
      </c>
      <c r="G1909" s="2">
        <v>3</v>
      </c>
      <c r="H1909" s="2">
        <v>3</v>
      </c>
      <c r="I1909">
        <v>1</v>
      </c>
      <c r="J1909">
        <v>0</v>
      </c>
      <c r="K1909" s="2">
        <v>1.607531</v>
      </c>
      <c r="L1909">
        <v>0</v>
      </c>
      <c r="M1909" s="7">
        <v>1.963379</v>
      </c>
      <c r="N1909" s="7">
        <v>0.85839200000000004</v>
      </c>
      <c r="O1909">
        <v>1</v>
      </c>
      <c r="P1909" t="s">
        <v>14</v>
      </c>
      <c r="Q1909">
        <v>6</v>
      </c>
      <c r="R1909" s="8">
        <f>(Tabela2[[#This Row],[FAF_atividade_fisica_frequente_em_horas]]+ 0.1)</f>
        <v>2.0633789999999999</v>
      </c>
      <c r="S1909" s="1">
        <f>(Tabela2[[#This Row],[TUE_tempo_uso_aparelhos_em_horas]]/Tabela2[[#This Row],[FAF_Var]])</f>
        <v>0.41601276353011257</v>
      </c>
      <c r="T1909">
        <f>(Tabela2[[#This Row],[CAEC_lanche_entre_refeicoes]]*Tabela2[[#This Row],[FAVC_consumo_frequente_de_alimentos_mt_caloricos]])</f>
        <v>1</v>
      </c>
      <c r="U1909" s="1">
        <f>IF(OR(Tabela2[[#This Row],[MTRANS]]="Walking",Tabela2[[#This Row],[MTRANS]]="Bike"),Tabela2[[#This Row],[FAF_atividade_fisica_frequente_em_horas]]+1,M1909)</f>
        <v>1.963379</v>
      </c>
      <c r="V1909">
        <f>(Tabela2[[#This Row],[SMOKE]]+Tabela2[[#This Row],[CALC_bebe_alcool_frequentemente]])</f>
        <v>1</v>
      </c>
      <c r="W1909" s="8">
        <f>(Tabela2[[#This Row],[Weight]]/(Tabela2[[#This Row],[Height]] ^2))</f>
        <v>44.705575026154719</v>
      </c>
    </row>
    <row r="1910" spans="1:23" x14ac:dyDescent="0.25">
      <c r="A1910" t="s">
        <v>13</v>
      </c>
      <c r="B1910" s="7">
        <v>20.871666999999999</v>
      </c>
      <c r="C1910" s="4">
        <v>1.7824530000000001</v>
      </c>
      <c r="D1910" s="7">
        <v>137.85261800000001</v>
      </c>
      <c r="E1910">
        <v>1</v>
      </c>
      <c r="F1910">
        <v>1</v>
      </c>
      <c r="G1910" s="2">
        <v>3</v>
      </c>
      <c r="H1910" s="2">
        <v>3</v>
      </c>
      <c r="I1910">
        <v>1</v>
      </c>
      <c r="J1910">
        <v>0</v>
      </c>
      <c r="K1910" s="2">
        <v>2.7489089999999998</v>
      </c>
      <c r="L1910">
        <v>0</v>
      </c>
      <c r="M1910" s="7">
        <v>1.989171</v>
      </c>
      <c r="N1910" s="7">
        <v>0.83251500000000001</v>
      </c>
      <c r="O1910">
        <v>1</v>
      </c>
      <c r="P1910" t="s">
        <v>14</v>
      </c>
      <c r="Q1910">
        <v>6</v>
      </c>
      <c r="R1910" s="8">
        <f>(Tabela2[[#This Row],[FAF_atividade_fisica_frequente_em_horas]]+ 0.1)</f>
        <v>2.0891709999999999</v>
      </c>
      <c r="S1910" s="1">
        <f>(Tabela2[[#This Row],[TUE_tempo_uso_aparelhos_em_horas]]/Tabela2[[#This Row],[FAF_Var]])</f>
        <v>0.39849059746665066</v>
      </c>
      <c r="T1910">
        <f>(Tabela2[[#This Row],[CAEC_lanche_entre_refeicoes]]*Tabela2[[#This Row],[FAVC_consumo_frequente_de_alimentos_mt_caloricos]])</f>
        <v>1</v>
      </c>
      <c r="U1910" s="1">
        <f>IF(OR(Tabela2[[#This Row],[MTRANS]]="Walking",Tabela2[[#This Row],[MTRANS]]="Bike"),Tabela2[[#This Row],[FAF_atividade_fisica_frequente_em_horas]]+1,M1910)</f>
        <v>1.989171</v>
      </c>
      <c r="V1910">
        <f>(Tabela2[[#This Row],[SMOKE]]+Tabela2[[#This Row],[CALC_bebe_alcool_frequentemente]])</f>
        <v>1</v>
      </c>
      <c r="W1910" s="8">
        <f>(Tabela2[[#This Row],[Weight]]/(Tabela2[[#This Row],[Height]] ^2))</f>
        <v>43.388920389625568</v>
      </c>
    </row>
    <row r="1911" spans="1:23" x14ac:dyDescent="0.25">
      <c r="A1911" t="s">
        <v>13</v>
      </c>
      <c r="B1911" s="7">
        <v>21.501721</v>
      </c>
      <c r="C1911" s="4">
        <v>1.809871</v>
      </c>
      <c r="D1911" s="7">
        <v>152.39473899999999</v>
      </c>
      <c r="E1911">
        <v>1</v>
      </c>
      <c r="F1911">
        <v>1</v>
      </c>
      <c r="G1911" s="2">
        <v>3</v>
      </c>
      <c r="H1911" s="2">
        <v>3</v>
      </c>
      <c r="I1911">
        <v>1</v>
      </c>
      <c r="J1911">
        <v>0</v>
      </c>
      <c r="K1911" s="2">
        <v>2.351207</v>
      </c>
      <c r="L1911">
        <v>0</v>
      </c>
      <c r="M1911" s="7">
        <v>0.24683099999999999</v>
      </c>
      <c r="N1911" s="7">
        <v>0.91335999999999995</v>
      </c>
      <c r="O1911">
        <v>1</v>
      </c>
      <c r="P1911" t="s">
        <v>14</v>
      </c>
      <c r="Q1911">
        <v>6</v>
      </c>
      <c r="R1911" s="8">
        <f>(Tabela2[[#This Row],[FAF_atividade_fisica_frequente_em_horas]]+ 0.1)</f>
        <v>0.346831</v>
      </c>
      <c r="S1911" s="1">
        <f>(Tabela2[[#This Row],[TUE_tempo_uso_aparelhos_em_horas]]/Tabela2[[#This Row],[FAF_Var]])</f>
        <v>2.6334439539718191</v>
      </c>
      <c r="T1911">
        <f>(Tabela2[[#This Row],[CAEC_lanche_entre_refeicoes]]*Tabela2[[#This Row],[FAVC_consumo_frequente_de_alimentos_mt_caloricos]])</f>
        <v>1</v>
      </c>
      <c r="U1911" s="1">
        <f>IF(OR(Tabela2[[#This Row],[MTRANS]]="Walking",Tabela2[[#This Row],[MTRANS]]="Bike"),Tabela2[[#This Row],[FAF_atividade_fisica_frequente_em_horas]]+1,M1911)</f>
        <v>0.24683099999999999</v>
      </c>
      <c r="V1911">
        <f>(Tabela2[[#This Row],[SMOKE]]+Tabela2[[#This Row],[CALC_bebe_alcool_frequentemente]])</f>
        <v>1</v>
      </c>
      <c r="W1911" s="8">
        <f>(Tabela2[[#This Row],[Weight]]/(Tabela2[[#This Row],[Height]] ^2))</f>
        <v>46.523751987882399</v>
      </c>
    </row>
    <row r="1912" spans="1:23" x14ac:dyDescent="0.25">
      <c r="A1912" t="s">
        <v>13</v>
      </c>
      <c r="B1912" s="7">
        <v>21.521294000000001</v>
      </c>
      <c r="C1912" s="4">
        <v>1.803677</v>
      </c>
      <c r="D1912" s="7">
        <v>160.63940500000001</v>
      </c>
      <c r="E1912">
        <v>1</v>
      </c>
      <c r="F1912">
        <v>1</v>
      </c>
      <c r="G1912" s="2">
        <v>3</v>
      </c>
      <c r="H1912" s="2">
        <v>3</v>
      </c>
      <c r="I1912">
        <v>1</v>
      </c>
      <c r="J1912">
        <v>0</v>
      </c>
      <c r="K1912" s="2">
        <v>2.4040490000000001</v>
      </c>
      <c r="L1912">
        <v>0</v>
      </c>
      <c r="M1912" s="7">
        <v>0.42790499999999998</v>
      </c>
      <c r="N1912" s="7">
        <v>0.63989399999999996</v>
      </c>
      <c r="O1912">
        <v>1</v>
      </c>
      <c r="P1912" t="s">
        <v>14</v>
      </c>
      <c r="Q1912">
        <v>6</v>
      </c>
      <c r="R1912" s="8">
        <f>(Tabela2[[#This Row],[FAF_atividade_fisica_frequente_em_horas]]+ 0.1)</f>
        <v>0.52790499999999996</v>
      </c>
      <c r="S1912" s="1">
        <f>(Tabela2[[#This Row],[TUE_tempo_uso_aparelhos_em_horas]]/Tabela2[[#This Row],[FAF_Var]])</f>
        <v>1.2121385476553548</v>
      </c>
      <c r="T1912">
        <f>(Tabela2[[#This Row],[CAEC_lanche_entre_refeicoes]]*Tabela2[[#This Row],[FAVC_consumo_frequente_de_alimentos_mt_caloricos]])</f>
        <v>1</v>
      </c>
      <c r="U1912" s="1">
        <f>IF(OR(Tabela2[[#This Row],[MTRANS]]="Walking",Tabela2[[#This Row],[MTRANS]]="Bike"),Tabela2[[#This Row],[FAF_atividade_fisica_frequente_em_horas]]+1,M1912)</f>
        <v>0.42790499999999998</v>
      </c>
      <c r="V1912">
        <f>(Tabela2[[#This Row],[SMOKE]]+Tabela2[[#This Row],[CALC_bebe_alcool_frequentemente]])</f>
        <v>1</v>
      </c>
      <c r="W1912" s="8">
        <f>(Tabela2[[#This Row],[Weight]]/(Tabela2[[#This Row],[Height]] ^2))</f>
        <v>49.378120166451424</v>
      </c>
    </row>
    <row r="1913" spans="1:23" x14ac:dyDescent="0.25">
      <c r="A1913" t="s">
        <v>13</v>
      </c>
      <c r="B1913" s="7">
        <v>18.314592999999999</v>
      </c>
      <c r="C1913" s="4">
        <v>1.7456020000000001</v>
      </c>
      <c r="D1913" s="7">
        <v>133.554686</v>
      </c>
      <c r="E1913">
        <v>1</v>
      </c>
      <c r="F1913">
        <v>1</v>
      </c>
      <c r="G1913" s="2">
        <v>3</v>
      </c>
      <c r="H1913" s="2">
        <v>3</v>
      </c>
      <c r="I1913">
        <v>1</v>
      </c>
      <c r="J1913">
        <v>0</v>
      </c>
      <c r="K1913" s="2">
        <v>2.9237920000000002</v>
      </c>
      <c r="L1913">
        <v>0</v>
      </c>
      <c r="M1913" s="7">
        <v>1.5365549999999999</v>
      </c>
      <c r="N1913" s="7">
        <v>0.62534999999999996</v>
      </c>
      <c r="O1913">
        <v>1</v>
      </c>
      <c r="P1913" t="s">
        <v>14</v>
      </c>
      <c r="Q1913">
        <v>6</v>
      </c>
      <c r="R1913" s="8">
        <f>(Tabela2[[#This Row],[FAF_atividade_fisica_frequente_em_horas]]+ 0.1)</f>
        <v>1.636555</v>
      </c>
      <c r="S1913" s="1">
        <f>(Tabela2[[#This Row],[TUE_tempo_uso_aparelhos_em_horas]]/Tabela2[[#This Row],[FAF_Var]])</f>
        <v>0.38211364726513924</v>
      </c>
      <c r="T1913">
        <f>(Tabela2[[#This Row],[CAEC_lanche_entre_refeicoes]]*Tabela2[[#This Row],[FAVC_consumo_frequente_de_alimentos_mt_caloricos]])</f>
        <v>1</v>
      </c>
      <c r="U1913" s="1">
        <f>IF(OR(Tabela2[[#This Row],[MTRANS]]="Walking",Tabela2[[#This Row],[MTRANS]]="Bike"),Tabela2[[#This Row],[FAF_atividade_fisica_frequente_em_horas]]+1,M1913)</f>
        <v>1.5365549999999999</v>
      </c>
      <c r="V1913">
        <f>(Tabela2[[#This Row],[SMOKE]]+Tabela2[[#This Row],[CALC_bebe_alcool_frequentemente]])</f>
        <v>1</v>
      </c>
      <c r="W1913" s="8">
        <f>(Tabela2[[#This Row],[Weight]]/(Tabela2[[#This Row],[Height]] ^2))</f>
        <v>43.829717245866924</v>
      </c>
    </row>
    <row r="1914" spans="1:23" x14ac:dyDescent="0.25">
      <c r="A1914" t="s">
        <v>13</v>
      </c>
      <c r="B1914" s="7">
        <v>19.529745999999999</v>
      </c>
      <c r="C1914" s="4">
        <v>1.7510380000000001</v>
      </c>
      <c r="D1914" s="7">
        <v>133.84303299999999</v>
      </c>
      <c r="E1914">
        <v>1</v>
      </c>
      <c r="F1914">
        <v>1</v>
      </c>
      <c r="G1914" s="2">
        <v>3</v>
      </c>
      <c r="H1914" s="2">
        <v>3</v>
      </c>
      <c r="I1914">
        <v>1</v>
      </c>
      <c r="J1914">
        <v>0</v>
      </c>
      <c r="K1914" s="2">
        <v>2.9550749999999999</v>
      </c>
      <c r="L1914">
        <v>0</v>
      </c>
      <c r="M1914" s="7">
        <v>1.4604600000000001</v>
      </c>
      <c r="N1914" s="7">
        <v>0.65555799999999997</v>
      </c>
      <c r="O1914">
        <v>1</v>
      </c>
      <c r="P1914" t="s">
        <v>14</v>
      </c>
      <c r="Q1914">
        <v>6</v>
      </c>
      <c r="R1914" s="8">
        <f>(Tabela2[[#This Row],[FAF_atividade_fisica_frequente_em_horas]]+ 0.1)</f>
        <v>1.5604600000000002</v>
      </c>
      <c r="S1914" s="1">
        <f>(Tabela2[[#This Row],[TUE_tempo_uso_aparelhos_em_horas]]/Tabela2[[#This Row],[FAF_Var]])</f>
        <v>0.42010560988426482</v>
      </c>
      <c r="T1914">
        <f>(Tabela2[[#This Row],[CAEC_lanche_entre_refeicoes]]*Tabela2[[#This Row],[FAVC_consumo_frequente_de_alimentos_mt_caloricos]])</f>
        <v>1</v>
      </c>
      <c r="U1914" s="1">
        <f>IF(OR(Tabela2[[#This Row],[MTRANS]]="Walking",Tabela2[[#This Row],[MTRANS]]="Bike"),Tabela2[[#This Row],[FAF_atividade_fisica_frequente_em_horas]]+1,M1914)</f>
        <v>1.4604600000000001</v>
      </c>
      <c r="V1914">
        <f>(Tabela2[[#This Row],[SMOKE]]+Tabela2[[#This Row],[CALC_bebe_alcool_frequentemente]])</f>
        <v>1</v>
      </c>
      <c r="W1914" s="8">
        <f>(Tabela2[[#This Row],[Weight]]/(Tabela2[[#This Row],[Height]] ^2))</f>
        <v>43.652048351249732</v>
      </c>
    </row>
    <row r="1915" spans="1:23" x14ac:dyDescent="0.25">
      <c r="A1915" t="s">
        <v>13</v>
      </c>
      <c r="B1915" s="7">
        <v>26</v>
      </c>
      <c r="C1915" s="4">
        <v>1.6315470000000001</v>
      </c>
      <c r="D1915" s="7">
        <v>111.58862499999999</v>
      </c>
      <c r="E1915">
        <v>1</v>
      </c>
      <c r="F1915">
        <v>1</v>
      </c>
      <c r="G1915" s="2">
        <v>3</v>
      </c>
      <c r="H1915" s="2">
        <v>3</v>
      </c>
      <c r="I1915">
        <v>1</v>
      </c>
      <c r="J1915">
        <v>0</v>
      </c>
      <c r="K1915" s="2">
        <v>2.5540069999999999</v>
      </c>
      <c r="L1915">
        <v>0</v>
      </c>
      <c r="M1915" s="7">
        <v>0</v>
      </c>
      <c r="N1915" s="7">
        <v>0.252635</v>
      </c>
      <c r="O1915">
        <v>1</v>
      </c>
      <c r="P1915" t="s">
        <v>14</v>
      </c>
      <c r="Q1915">
        <v>6</v>
      </c>
      <c r="R1915" s="8">
        <f>(Tabela2[[#This Row],[FAF_atividade_fisica_frequente_em_horas]]+ 0.1)</f>
        <v>0.1</v>
      </c>
      <c r="S1915" s="1">
        <f>(Tabela2[[#This Row],[TUE_tempo_uso_aparelhos_em_horas]]/Tabela2[[#This Row],[FAF_Var]])</f>
        <v>2.5263499999999999</v>
      </c>
      <c r="T1915">
        <f>(Tabela2[[#This Row],[CAEC_lanche_entre_refeicoes]]*Tabela2[[#This Row],[FAVC_consumo_frequente_de_alimentos_mt_caloricos]])</f>
        <v>1</v>
      </c>
      <c r="U1915" s="1">
        <f>IF(OR(Tabela2[[#This Row],[MTRANS]]="Walking",Tabela2[[#This Row],[MTRANS]]="Bike"),Tabela2[[#This Row],[FAF_atividade_fisica_frequente_em_horas]]+1,M1915)</f>
        <v>0</v>
      </c>
      <c r="V1915">
        <f>(Tabela2[[#This Row],[SMOKE]]+Tabela2[[#This Row],[CALC_bebe_alcool_frequentemente]])</f>
        <v>1</v>
      </c>
      <c r="W1915" s="8">
        <f>(Tabela2[[#This Row],[Weight]]/(Tabela2[[#This Row],[Height]] ^2))</f>
        <v>41.919949245498998</v>
      </c>
    </row>
    <row r="1916" spans="1:23" x14ac:dyDescent="0.25">
      <c r="A1916" t="s">
        <v>13</v>
      </c>
      <c r="B1916" s="7">
        <v>26</v>
      </c>
      <c r="C1916" s="4">
        <v>1.6359049999999999</v>
      </c>
      <c r="D1916" s="7">
        <v>111.57107600000001</v>
      </c>
      <c r="E1916">
        <v>1</v>
      </c>
      <c r="F1916">
        <v>1</v>
      </c>
      <c r="G1916" s="2">
        <v>3</v>
      </c>
      <c r="H1916" s="2">
        <v>3</v>
      </c>
      <c r="I1916">
        <v>1</v>
      </c>
      <c r="J1916">
        <v>0</v>
      </c>
      <c r="K1916" s="2">
        <v>2.5113989999999999</v>
      </c>
      <c r="L1916">
        <v>0</v>
      </c>
      <c r="M1916" s="7">
        <v>0</v>
      </c>
      <c r="N1916" s="7">
        <v>0.25847199999999998</v>
      </c>
      <c r="O1916">
        <v>1</v>
      </c>
      <c r="P1916" t="s">
        <v>14</v>
      </c>
      <c r="Q1916">
        <v>6</v>
      </c>
      <c r="R1916" s="8">
        <f>(Tabela2[[#This Row],[FAF_atividade_fisica_frequente_em_horas]]+ 0.1)</f>
        <v>0.1</v>
      </c>
      <c r="S1916" s="1">
        <f>(Tabela2[[#This Row],[TUE_tempo_uso_aparelhos_em_horas]]/Tabela2[[#This Row],[FAF_Var]])</f>
        <v>2.5847199999999995</v>
      </c>
      <c r="T1916">
        <f>(Tabela2[[#This Row],[CAEC_lanche_entre_refeicoes]]*Tabela2[[#This Row],[FAVC_consumo_frequente_de_alimentos_mt_caloricos]])</f>
        <v>1</v>
      </c>
      <c r="U1916" s="1">
        <f>IF(OR(Tabela2[[#This Row],[MTRANS]]="Walking",Tabela2[[#This Row],[MTRANS]]="Bike"),Tabela2[[#This Row],[FAF_atividade_fisica_frequente_em_horas]]+1,M1916)</f>
        <v>0</v>
      </c>
      <c r="V1916">
        <f>(Tabela2[[#This Row],[SMOKE]]+Tabela2[[#This Row],[CALC_bebe_alcool_frequentemente]])</f>
        <v>1</v>
      </c>
      <c r="W1916" s="8">
        <f>(Tabela2[[#This Row],[Weight]]/(Tabela2[[#This Row],[Height]] ^2))</f>
        <v>41.690342391609654</v>
      </c>
    </row>
    <row r="1917" spans="1:23" x14ac:dyDescent="0.25">
      <c r="A1917" t="s">
        <v>13</v>
      </c>
      <c r="B1917" s="7">
        <v>26</v>
      </c>
      <c r="C1917" s="4">
        <v>1.6169750000000001</v>
      </c>
      <c r="D1917" s="7">
        <v>104.84621799999999</v>
      </c>
      <c r="E1917">
        <v>1</v>
      </c>
      <c r="F1917">
        <v>1</v>
      </c>
      <c r="G1917" s="2">
        <v>3</v>
      </c>
      <c r="H1917" s="2">
        <v>3</v>
      </c>
      <c r="I1917">
        <v>1</v>
      </c>
      <c r="J1917">
        <v>0</v>
      </c>
      <c r="K1917" s="2">
        <v>2.6535630000000001</v>
      </c>
      <c r="L1917">
        <v>0</v>
      </c>
      <c r="M1917" s="7">
        <v>0</v>
      </c>
      <c r="N1917" s="7">
        <v>0.55415000000000003</v>
      </c>
      <c r="O1917">
        <v>1</v>
      </c>
      <c r="P1917" t="s">
        <v>14</v>
      </c>
      <c r="Q1917">
        <v>6</v>
      </c>
      <c r="R1917" s="8">
        <f>(Tabela2[[#This Row],[FAF_atividade_fisica_frequente_em_horas]]+ 0.1)</f>
        <v>0.1</v>
      </c>
      <c r="S1917" s="1">
        <f>(Tabela2[[#This Row],[TUE_tempo_uso_aparelhos_em_horas]]/Tabela2[[#This Row],[FAF_Var]])</f>
        <v>5.5415000000000001</v>
      </c>
      <c r="T1917">
        <f>(Tabela2[[#This Row],[CAEC_lanche_entre_refeicoes]]*Tabela2[[#This Row],[FAVC_consumo_frequente_de_alimentos_mt_caloricos]])</f>
        <v>1</v>
      </c>
      <c r="U1917" s="1">
        <f>IF(OR(Tabela2[[#This Row],[MTRANS]]="Walking",Tabela2[[#This Row],[MTRANS]]="Bike"),Tabela2[[#This Row],[FAF_atividade_fisica_frequente_em_horas]]+1,M1917)</f>
        <v>0</v>
      </c>
      <c r="V1917">
        <f>(Tabela2[[#This Row],[SMOKE]]+Tabela2[[#This Row],[CALC_bebe_alcool_frequentemente]])</f>
        <v>1</v>
      </c>
      <c r="W1917" s="8">
        <f>(Tabela2[[#This Row],[Weight]]/(Tabela2[[#This Row],[Height]] ^2))</f>
        <v>40.100164904227576</v>
      </c>
    </row>
    <row r="1918" spans="1:23" x14ac:dyDescent="0.25">
      <c r="A1918" t="s">
        <v>13</v>
      </c>
      <c r="B1918" s="7">
        <v>26</v>
      </c>
      <c r="C1918" s="4">
        <v>1.62788</v>
      </c>
      <c r="D1918" s="7">
        <v>104.92057</v>
      </c>
      <c r="E1918">
        <v>1</v>
      </c>
      <c r="F1918">
        <v>1</v>
      </c>
      <c r="G1918" s="2">
        <v>3</v>
      </c>
      <c r="H1918" s="2">
        <v>3</v>
      </c>
      <c r="I1918">
        <v>1</v>
      </c>
      <c r="J1918">
        <v>0</v>
      </c>
      <c r="K1918" s="2">
        <v>2.5881069999999999</v>
      </c>
      <c r="L1918">
        <v>0</v>
      </c>
      <c r="M1918" s="7">
        <v>0</v>
      </c>
      <c r="N1918" s="7">
        <v>0.46560699999999999</v>
      </c>
      <c r="O1918">
        <v>1</v>
      </c>
      <c r="P1918" t="s">
        <v>14</v>
      </c>
      <c r="Q1918">
        <v>6</v>
      </c>
      <c r="R1918" s="8">
        <f>(Tabela2[[#This Row],[FAF_atividade_fisica_frequente_em_horas]]+ 0.1)</f>
        <v>0.1</v>
      </c>
      <c r="S1918" s="1">
        <f>(Tabela2[[#This Row],[TUE_tempo_uso_aparelhos_em_horas]]/Tabela2[[#This Row],[FAF_Var]])</f>
        <v>4.6560699999999997</v>
      </c>
      <c r="T1918">
        <f>(Tabela2[[#This Row],[CAEC_lanche_entre_refeicoes]]*Tabela2[[#This Row],[FAVC_consumo_frequente_de_alimentos_mt_caloricos]])</f>
        <v>1</v>
      </c>
      <c r="U1918" s="1">
        <f>IF(OR(Tabela2[[#This Row],[MTRANS]]="Walking",Tabela2[[#This Row],[MTRANS]]="Bike"),Tabela2[[#This Row],[FAF_atividade_fisica_frequente_em_horas]]+1,M1918)</f>
        <v>0</v>
      </c>
      <c r="V1918">
        <f>(Tabela2[[#This Row],[SMOKE]]+Tabela2[[#This Row],[CALC_bebe_alcool_frequentemente]])</f>
        <v>1</v>
      </c>
      <c r="W1918" s="8">
        <f>(Tabela2[[#This Row],[Weight]]/(Tabela2[[#This Row],[Height]] ^2))</f>
        <v>39.592768110666348</v>
      </c>
    </row>
    <row r="1919" spans="1:23" x14ac:dyDescent="0.25">
      <c r="A1919" t="s">
        <v>13</v>
      </c>
      <c r="B1919" s="7">
        <v>21.768153000000002</v>
      </c>
      <c r="C1919" s="4">
        <v>1.76416</v>
      </c>
      <c r="D1919" s="7">
        <v>133.88862900000001</v>
      </c>
      <c r="E1919">
        <v>1</v>
      </c>
      <c r="F1919">
        <v>1</v>
      </c>
      <c r="G1919" s="2">
        <v>3</v>
      </c>
      <c r="H1919" s="2">
        <v>3</v>
      </c>
      <c r="I1919">
        <v>1</v>
      </c>
      <c r="J1919">
        <v>0</v>
      </c>
      <c r="K1919" s="2">
        <v>2.3250199999999999</v>
      </c>
      <c r="L1919">
        <v>0</v>
      </c>
      <c r="M1919" s="7">
        <v>1.441791</v>
      </c>
      <c r="N1919" s="7">
        <v>0.91846799999999995</v>
      </c>
      <c r="O1919">
        <v>1</v>
      </c>
      <c r="P1919" t="s">
        <v>14</v>
      </c>
      <c r="Q1919">
        <v>6</v>
      </c>
      <c r="R1919" s="8">
        <f>(Tabela2[[#This Row],[FAF_atividade_fisica_frequente_em_horas]]+ 0.1)</f>
        <v>1.5417910000000001</v>
      </c>
      <c r="S1919" s="1">
        <f>(Tabela2[[#This Row],[TUE_tempo_uso_aparelhos_em_horas]]/Tabela2[[#This Row],[FAF_Var]])</f>
        <v>0.59571498341863449</v>
      </c>
      <c r="T1919">
        <f>(Tabela2[[#This Row],[CAEC_lanche_entre_refeicoes]]*Tabela2[[#This Row],[FAVC_consumo_frequente_de_alimentos_mt_caloricos]])</f>
        <v>1</v>
      </c>
      <c r="U1919" s="1">
        <f>IF(OR(Tabela2[[#This Row],[MTRANS]]="Walking",Tabela2[[#This Row],[MTRANS]]="Bike"),Tabela2[[#This Row],[FAF_atividade_fisica_frequente_em_horas]]+1,M1919)</f>
        <v>1.441791</v>
      </c>
      <c r="V1919">
        <f>(Tabela2[[#This Row],[SMOKE]]+Tabela2[[#This Row],[CALC_bebe_alcool_frequentemente]])</f>
        <v>1</v>
      </c>
      <c r="W1919" s="8">
        <f>(Tabela2[[#This Row],[Weight]]/(Tabela2[[#This Row],[Height]] ^2))</f>
        <v>43.019737184303658</v>
      </c>
    </row>
    <row r="1920" spans="1:23" x14ac:dyDescent="0.25">
      <c r="A1920" t="s">
        <v>13</v>
      </c>
      <c r="B1920" s="7">
        <v>21.238416000000001</v>
      </c>
      <c r="C1920" s="4">
        <v>1.7638469999999999</v>
      </c>
      <c r="D1920" s="7">
        <v>133.937873</v>
      </c>
      <c r="E1920">
        <v>1</v>
      </c>
      <c r="F1920">
        <v>1</v>
      </c>
      <c r="G1920" s="2">
        <v>3</v>
      </c>
      <c r="H1920" s="2">
        <v>3</v>
      </c>
      <c r="I1920">
        <v>1</v>
      </c>
      <c r="J1920">
        <v>0</v>
      </c>
      <c r="K1920" s="2">
        <v>2.8367909999999998</v>
      </c>
      <c r="L1920">
        <v>0</v>
      </c>
      <c r="M1920" s="7">
        <v>1.4678199999999999</v>
      </c>
      <c r="N1920" s="7">
        <v>0.89052699999999996</v>
      </c>
      <c r="O1920">
        <v>1</v>
      </c>
      <c r="P1920" t="s">
        <v>14</v>
      </c>
      <c r="Q1920">
        <v>6</v>
      </c>
      <c r="R1920" s="8">
        <f>(Tabela2[[#This Row],[FAF_atividade_fisica_frequente_em_horas]]+ 0.1)</f>
        <v>1.56782</v>
      </c>
      <c r="S1920" s="1">
        <f>(Tabela2[[#This Row],[TUE_tempo_uso_aparelhos_em_horas]]/Tabela2[[#This Row],[FAF_Var]])</f>
        <v>0.56800334222040794</v>
      </c>
      <c r="T1920">
        <f>(Tabela2[[#This Row],[CAEC_lanche_entre_refeicoes]]*Tabela2[[#This Row],[FAVC_consumo_frequente_de_alimentos_mt_caloricos]])</f>
        <v>1</v>
      </c>
      <c r="U1920" s="1">
        <f>IF(OR(Tabela2[[#This Row],[MTRANS]]="Walking",Tabela2[[#This Row],[MTRANS]]="Bike"),Tabela2[[#This Row],[FAF_atividade_fisica_frequente_em_horas]]+1,M1920)</f>
        <v>1.4678199999999999</v>
      </c>
      <c r="V1920">
        <f>(Tabela2[[#This Row],[SMOKE]]+Tabela2[[#This Row],[CALC_bebe_alcool_frequentemente]])</f>
        <v>1</v>
      </c>
      <c r="W1920" s="8">
        <f>(Tabela2[[#This Row],[Weight]]/(Tabela2[[#This Row],[Height]] ^2))</f>
        <v>43.050834703641577</v>
      </c>
    </row>
    <row r="1921" spans="1:23" x14ac:dyDescent="0.25">
      <c r="A1921" t="s">
        <v>13</v>
      </c>
      <c r="B1921" s="7">
        <v>25.930375999999999</v>
      </c>
      <c r="C1921" s="4">
        <v>1.608808</v>
      </c>
      <c r="D1921" s="7">
        <v>102.08396399999999</v>
      </c>
      <c r="E1921">
        <v>1</v>
      </c>
      <c r="F1921">
        <v>1</v>
      </c>
      <c r="G1921" s="2">
        <v>3</v>
      </c>
      <c r="H1921" s="2">
        <v>3</v>
      </c>
      <c r="I1921">
        <v>1</v>
      </c>
      <c r="J1921">
        <v>0</v>
      </c>
      <c r="K1921" s="2">
        <v>1.019684</v>
      </c>
      <c r="L1921">
        <v>0</v>
      </c>
      <c r="M1921" s="7">
        <v>2.6033000000000001E-2</v>
      </c>
      <c r="N1921" s="7">
        <v>1</v>
      </c>
      <c r="O1921">
        <v>1</v>
      </c>
      <c r="P1921" t="s">
        <v>14</v>
      </c>
      <c r="Q1921">
        <v>6</v>
      </c>
      <c r="R1921" s="8">
        <f>(Tabela2[[#This Row],[FAF_atividade_fisica_frequente_em_horas]]+ 0.1)</f>
        <v>0.12603300000000001</v>
      </c>
      <c r="S1921" s="1">
        <f>(Tabela2[[#This Row],[TUE_tempo_uso_aparelhos_em_horas]]/Tabela2[[#This Row],[FAF_Var]])</f>
        <v>7.93442987154158</v>
      </c>
      <c r="T1921">
        <f>(Tabela2[[#This Row],[CAEC_lanche_entre_refeicoes]]*Tabela2[[#This Row],[FAVC_consumo_frequente_de_alimentos_mt_caloricos]])</f>
        <v>1</v>
      </c>
      <c r="U1921" s="1">
        <f>IF(OR(Tabela2[[#This Row],[MTRANS]]="Walking",Tabela2[[#This Row],[MTRANS]]="Bike"),Tabela2[[#This Row],[FAF_atividade_fisica_frequente_em_horas]]+1,M1921)</f>
        <v>2.6033000000000001E-2</v>
      </c>
      <c r="V1921">
        <f>(Tabela2[[#This Row],[SMOKE]]+Tabela2[[#This Row],[CALC_bebe_alcool_frequentemente]])</f>
        <v>1</v>
      </c>
      <c r="W1921" s="8">
        <f>(Tabela2[[#This Row],[Weight]]/(Tabela2[[#This Row],[Height]] ^2))</f>
        <v>39.441106590220421</v>
      </c>
    </row>
    <row r="1922" spans="1:23" x14ac:dyDescent="0.25">
      <c r="A1922" t="s">
        <v>13</v>
      </c>
      <c r="B1922" s="7">
        <v>25.919571000000001</v>
      </c>
      <c r="C1922" s="4">
        <v>1.6104879999999999</v>
      </c>
      <c r="D1922" s="7">
        <v>102.174953</v>
      </c>
      <c r="E1922">
        <v>1</v>
      </c>
      <c r="F1922">
        <v>1</v>
      </c>
      <c r="G1922" s="2">
        <v>3</v>
      </c>
      <c r="H1922" s="2">
        <v>3</v>
      </c>
      <c r="I1922">
        <v>1</v>
      </c>
      <c r="J1922">
        <v>0</v>
      </c>
      <c r="K1922" s="2">
        <v>1.032834</v>
      </c>
      <c r="L1922">
        <v>0</v>
      </c>
      <c r="M1922" s="7">
        <v>4.5249999999999999E-2</v>
      </c>
      <c r="N1922" s="7">
        <v>0.92274900000000004</v>
      </c>
      <c r="O1922">
        <v>1</v>
      </c>
      <c r="P1922" t="s">
        <v>14</v>
      </c>
      <c r="Q1922">
        <v>6</v>
      </c>
      <c r="R1922" s="8">
        <f>(Tabela2[[#This Row],[FAF_atividade_fisica_frequente_em_horas]]+ 0.1)</f>
        <v>0.14524999999999999</v>
      </c>
      <c r="S1922" s="1">
        <f>(Tabela2[[#This Row],[TUE_tempo_uso_aparelhos_em_horas]]/Tabela2[[#This Row],[FAF_Var]])</f>
        <v>6.3528330464716012</v>
      </c>
      <c r="T1922">
        <f>(Tabela2[[#This Row],[CAEC_lanche_entre_refeicoes]]*Tabela2[[#This Row],[FAVC_consumo_frequente_de_alimentos_mt_caloricos]])</f>
        <v>1</v>
      </c>
      <c r="U1922" s="1">
        <f>IF(OR(Tabela2[[#This Row],[MTRANS]]="Walking",Tabela2[[#This Row],[MTRANS]]="Bike"),Tabela2[[#This Row],[FAF_atividade_fisica_frequente_em_horas]]+1,M1922)</f>
        <v>4.5249999999999999E-2</v>
      </c>
      <c r="V1922">
        <f>(Tabela2[[#This Row],[SMOKE]]+Tabela2[[#This Row],[CALC_bebe_alcool_frequentemente]])</f>
        <v>1</v>
      </c>
      <c r="W1922" s="8">
        <f>(Tabela2[[#This Row],[Weight]]/(Tabela2[[#This Row],[Height]] ^2))</f>
        <v>39.393943733321969</v>
      </c>
    </row>
    <row r="1923" spans="1:23" x14ac:dyDescent="0.25">
      <c r="A1923" t="s">
        <v>13</v>
      </c>
      <c r="B1923" s="7">
        <v>25.918524000000001</v>
      </c>
      <c r="C1923" s="4">
        <v>1.6212310000000001</v>
      </c>
      <c r="D1923" s="7">
        <v>104.98679199999999</v>
      </c>
      <c r="E1923">
        <v>1</v>
      </c>
      <c r="F1923">
        <v>1</v>
      </c>
      <c r="G1923" s="2">
        <v>3</v>
      </c>
      <c r="H1923" s="2">
        <v>3</v>
      </c>
      <c r="I1923">
        <v>1</v>
      </c>
      <c r="J1923">
        <v>0</v>
      </c>
      <c r="K1923" s="2">
        <v>1.653049</v>
      </c>
      <c r="L1923">
        <v>0</v>
      </c>
      <c r="M1923" s="7">
        <v>0.139159</v>
      </c>
      <c r="N1923" s="7">
        <v>0.71133100000000005</v>
      </c>
      <c r="O1923">
        <v>1</v>
      </c>
      <c r="P1923" t="s">
        <v>14</v>
      </c>
      <c r="Q1923">
        <v>6</v>
      </c>
      <c r="R1923" s="8">
        <f>(Tabela2[[#This Row],[FAF_atividade_fisica_frequente_em_horas]]+ 0.1)</f>
        <v>0.23915900000000001</v>
      </c>
      <c r="S1923" s="1">
        <f>(Tabela2[[#This Row],[TUE_tempo_uso_aparelhos_em_horas]]/Tabela2[[#This Row],[FAF_Var]])</f>
        <v>2.9743016152434154</v>
      </c>
      <c r="T1923">
        <f>(Tabela2[[#This Row],[CAEC_lanche_entre_refeicoes]]*Tabela2[[#This Row],[FAVC_consumo_frequente_de_alimentos_mt_caloricos]])</f>
        <v>1</v>
      </c>
      <c r="U1923" s="1">
        <f>IF(OR(Tabela2[[#This Row],[MTRANS]]="Walking",Tabela2[[#This Row],[MTRANS]]="Bike"),Tabela2[[#This Row],[FAF_atividade_fisica_frequente_em_horas]]+1,M1923)</f>
        <v>0.139159</v>
      </c>
      <c r="V1923">
        <f>(Tabela2[[#This Row],[SMOKE]]+Tabela2[[#This Row],[CALC_bebe_alcool_frequentemente]])</f>
        <v>1</v>
      </c>
      <c r="W1923" s="8">
        <f>(Tabela2[[#This Row],[Weight]]/(Tabela2[[#This Row],[Height]] ^2))</f>
        <v>39.943385031533651</v>
      </c>
    </row>
    <row r="1924" spans="1:23" x14ac:dyDescent="0.25">
      <c r="A1924" t="s">
        <v>13</v>
      </c>
      <c r="B1924" s="7">
        <v>25.565662</v>
      </c>
      <c r="C1924" s="4">
        <v>1.6423920000000001</v>
      </c>
      <c r="D1924" s="7">
        <v>104.98808200000001</v>
      </c>
      <c r="E1924">
        <v>1</v>
      </c>
      <c r="F1924">
        <v>1</v>
      </c>
      <c r="G1924" s="2">
        <v>3</v>
      </c>
      <c r="H1924" s="2">
        <v>3</v>
      </c>
      <c r="I1924">
        <v>1</v>
      </c>
      <c r="J1924">
        <v>0</v>
      </c>
      <c r="K1924" s="2">
        <v>1.2040550000000001</v>
      </c>
      <c r="L1924">
        <v>0</v>
      </c>
      <c r="M1924" s="7">
        <v>9.4851000000000005E-2</v>
      </c>
      <c r="N1924" s="7">
        <v>0.60373600000000005</v>
      </c>
      <c r="O1924">
        <v>1</v>
      </c>
      <c r="P1924" t="s">
        <v>14</v>
      </c>
      <c r="Q1924">
        <v>6</v>
      </c>
      <c r="R1924" s="8">
        <f>(Tabela2[[#This Row],[FAF_atividade_fisica_frequente_em_horas]]+ 0.1)</f>
        <v>0.194851</v>
      </c>
      <c r="S1924" s="1">
        <f>(Tabela2[[#This Row],[TUE_tempo_uso_aparelhos_em_horas]]/Tabela2[[#This Row],[FAF_Var]])</f>
        <v>3.098449584554352</v>
      </c>
      <c r="T1924">
        <f>(Tabela2[[#This Row],[CAEC_lanche_entre_refeicoes]]*Tabela2[[#This Row],[FAVC_consumo_frequente_de_alimentos_mt_caloricos]])</f>
        <v>1</v>
      </c>
      <c r="U1924" s="1">
        <f>IF(OR(Tabela2[[#This Row],[MTRANS]]="Walking",Tabela2[[#This Row],[MTRANS]]="Bike"),Tabela2[[#This Row],[FAF_atividade_fisica_frequente_em_horas]]+1,M1924)</f>
        <v>9.4851000000000005E-2</v>
      </c>
      <c r="V1924">
        <f>(Tabela2[[#This Row],[SMOKE]]+Tabela2[[#This Row],[CALC_bebe_alcool_frequentemente]])</f>
        <v>1</v>
      </c>
      <c r="W1924" s="8">
        <f>(Tabela2[[#This Row],[Weight]]/(Tabela2[[#This Row],[Height]] ^2))</f>
        <v>38.921212379039751</v>
      </c>
    </row>
    <row r="1925" spans="1:23" x14ac:dyDescent="0.25">
      <c r="A1925" t="s">
        <v>13</v>
      </c>
      <c r="B1925" s="7">
        <v>18.744914000000001</v>
      </c>
      <c r="C1925" s="4">
        <v>1.8019829999999999</v>
      </c>
      <c r="D1925" s="7">
        <v>138.034526</v>
      </c>
      <c r="E1925">
        <v>1</v>
      </c>
      <c r="F1925">
        <v>1</v>
      </c>
      <c r="G1925" s="2">
        <v>3</v>
      </c>
      <c r="H1925" s="2">
        <v>3</v>
      </c>
      <c r="I1925">
        <v>1</v>
      </c>
      <c r="J1925">
        <v>0</v>
      </c>
      <c r="K1925" s="2">
        <v>2.6915909999999998</v>
      </c>
      <c r="L1925">
        <v>0</v>
      </c>
      <c r="M1925" s="7">
        <v>1.1683680000000001</v>
      </c>
      <c r="N1925" s="7">
        <v>0.73537200000000003</v>
      </c>
      <c r="O1925">
        <v>1</v>
      </c>
      <c r="P1925" t="s">
        <v>14</v>
      </c>
      <c r="Q1925">
        <v>6</v>
      </c>
      <c r="R1925" s="8">
        <f>(Tabela2[[#This Row],[FAF_atividade_fisica_frequente_em_horas]]+ 0.1)</f>
        <v>1.2683680000000002</v>
      </c>
      <c r="S1925" s="1">
        <f>(Tabela2[[#This Row],[TUE_tempo_uso_aparelhos_em_horas]]/Tabela2[[#This Row],[FAF_Var]])</f>
        <v>0.5797781085615531</v>
      </c>
      <c r="T1925">
        <f>(Tabela2[[#This Row],[CAEC_lanche_entre_refeicoes]]*Tabela2[[#This Row],[FAVC_consumo_frequente_de_alimentos_mt_caloricos]])</f>
        <v>1</v>
      </c>
      <c r="U1925" s="1">
        <f>IF(OR(Tabela2[[#This Row],[MTRANS]]="Walking",Tabela2[[#This Row],[MTRANS]]="Bike"),Tabela2[[#This Row],[FAF_atividade_fisica_frequente_em_horas]]+1,M1925)</f>
        <v>1.1683680000000001</v>
      </c>
      <c r="V1925">
        <f>(Tabela2[[#This Row],[SMOKE]]+Tabela2[[#This Row],[CALC_bebe_alcool_frequentemente]])</f>
        <v>1</v>
      </c>
      <c r="W1925" s="8">
        <f>(Tabela2[[#This Row],[Weight]]/(Tabela2[[#This Row],[Height]] ^2))</f>
        <v>42.509534498563816</v>
      </c>
    </row>
    <row r="1926" spans="1:23" x14ac:dyDescent="0.25">
      <c r="A1926" t="s">
        <v>13</v>
      </c>
      <c r="B1926" s="7">
        <v>21.704699000000002</v>
      </c>
      <c r="C1926" s="4">
        <v>1.787614</v>
      </c>
      <c r="D1926" s="7">
        <v>137.85825399999999</v>
      </c>
      <c r="E1926">
        <v>1</v>
      </c>
      <c r="F1926">
        <v>1</v>
      </c>
      <c r="G1926" s="2">
        <v>3</v>
      </c>
      <c r="H1926" s="2">
        <v>3</v>
      </c>
      <c r="I1926">
        <v>1</v>
      </c>
      <c r="J1926">
        <v>0</v>
      </c>
      <c r="K1926" s="2">
        <v>2.5314559999999999</v>
      </c>
      <c r="L1926">
        <v>0</v>
      </c>
      <c r="M1926" s="7">
        <v>1.9807380000000001</v>
      </c>
      <c r="N1926" s="7">
        <v>0.83577100000000004</v>
      </c>
      <c r="O1926">
        <v>1</v>
      </c>
      <c r="P1926" t="s">
        <v>14</v>
      </c>
      <c r="Q1926">
        <v>6</v>
      </c>
      <c r="R1926" s="8">
        <f>(Tabela2[[#This Row],[FAF_atividade_fisica_frequente_em_horas]]+ 0.1)</f>
        <v>2.0807380000000002</v>
      </c>
      <c r="S1926" s="1">
        <f>(Tabela2[[#This Row],[TUE_tempo_uso_aparelhos_em_horas]]/Tabela2[[#This Row],[FAF_Var]])</f>
        <v>0.40167046499847647</v>
      </c>
      <c r="T1926">
        <f>(Tabela2[[#This Row],[CAEC_lanche_entre_refeicoes]]*Tabela2[[#This Row],[FAVC_consumo_frequente_de_alimentos_mt_caloricos]])</f>
        <v>1</v>
      </c>
      <c r="U1926" s="1">
        <f>IF(OR(Tabela2[[#This Row],[MTRANS]]="Walking",Tabela2[[#This Row],[MTRANS]]="Bike"),Tabela2[[#This Row],[FAF_atividade_fisica_frequente_em_horas]]+1,M1926)</f>
        <v>1.9807380000000001</v>
      </c>
      <c r="V1926">
        <f>(Tabela2[[#This Row],[SMOKE]]+Tabela2[[#This Row],[CALC_bebe_alcool_frequentemente]])</f>
        <v>1</v>
      </c>
      <c r="W1926" s="8">
        <f>(Tabela2[[#This Row],[Weight]]/(Tabela2[[#This Row],[Height]] ^2))</f>
        <v>43.140510428659226</v>
      </c>
    </row>
    <row r="1927" spans="1:23" x14ac:dyDescent="0.25">
      <c r="A1927" t="s">
        <v>13</v>
      </c>
      <c r="B1927" s="7">
        <v>20.089969</v>
      </c>
      <c r="C1927" s="4">
        <v>1.8014779999999999</v>
      </c>
      <c r="D1927" s="7">
        <v>151.417292</v>
      </c>
      <c r="E1927">
        <v>1</v>
      </c>
      <c r="F1927">
        <v>1</v>
      </c>
      <c r="G1927" s="2">
        <v>3</v>
      </c>
      <c r="H1927" s="2">
        <v>3</v>
      </c>
      <c r="I1927">
        <v>1</v>
      </c>
      <c r="J1927">
        <v>0</v>
      </c>
      <c r="K1927" s="2">
        <v>2.2260810000000002</v>
      </c>
      <c r="L1927">
        <v>0</v>
      </c>
      <c r="M1927" s="7">
        <v>1.881761</v>
      </c>
      <c r="N1927" s="7">
        <v>0.93396400000000002</v>
      </c>
      <c r="O1927">
        <v>1</v>
      </c>
      <c r="P1927" t="s">
        <v>14</v>
      </c>
      <c r="Q1927">
        <v>6</v>
      </c>
      <c r="R1927" s="8">
        <f>(Tabela2[[#This Row],[FAF_atividade_fisica_frequente_em_horas]]+ 0.1)</f>
        <v>1.9817610000000001</v>
      </c>
      <c r="S1927" s="1">
        <f>(Tabela2[[#This Row],[TUE_tempo_uso_aparelhos_em_horas]]/Tabela2[[#This Row],[FAF_Var]])</f>
        <v>0.47127983646867605</v>
      </c>
      <c r="T1927">
        <f>(Tabela2[[#This Row],[CAEC_lanche_entre_refeicoes]]*Tabela2[[#This Row],[FAVC_consumo_frequente_de_alimentos_mt_caloricos]])</f>
        <v>1</v>
      </c>
      <c r="U1927" s="1">
        <f>IF(OR(Tabela2[[#This Row],[MTRANS]]="Walking",Tabela2[[#This Row],[MTRANS]]="Bike"),Tabela2[[#This Row],[FAF_atividade_fisica_frequente_em_horas]]+1,M1927)</f>
        <v>1.881761</v>
      </c>
      <c r="V1927">
        <f>(Tabela2[[#This Row],[SMOKE]]+Tabela2[[#This Row],[CALC_bebe_alcool_frequentemente]])</f>
        <v>1</v>
      </c>
      <c r="W1927" s="8">
        <f>(Tabela2[[#This Row],[Weight]]/(Tabela2[[#This Row],[Height]] ^2))</f>
        <v>46.657079348937309</v>
      </c>
    </row>
    <row r="1928" spans="1:23" x14ac:dyDescent="0.25">
      <c r="A1928" t="s">
        <v>13</v>
      </c>
      <c r="B1928" s="7">
        <v>18.120739</v>
      </c>
      <c r="C1928" s="4">
        <v>1.8075760000000001</v>
      </c>
      <c r="D1928" s="7">
        <v>152.56767099999999</v>
      </c>
      <c r="E1928">
        <v>1</v>
      </c>
      <c r="F1928">
        <v>1</v>
      </c>
      <c r="G1928" s="2">
        <v>3</v>
      </c>
      <c r="H1928" s="2">
        <v>3</v>
      </c>
      <c r="I1928">
        <v>1</v>
      </c>
      <c r="J1928">
        <v>0</v>
      </c>
      <c r="K1928" s="2">
        <v>2.1647180000000001</v>
      </c>
      <c r="L1928">
        <v>0</v>
      </c>
      <c r="M1928" s="7">
        <v>1.9996309999999999</v>
      </c>
      <c r="N1928" s="7">
        <v>0.94133599999999995</v>
      </c>
      <c r="O1928">
        <v>1</v>
      </c>
      <c r="P1928" t="s">
        <v>14</v>
      </c>
      <c r="Q1928">
        <v>6</v>
      </c>
      <c r="R1928" s="8">
        <f>(Tabela2[[#This Row],[FAF_atividade_fisica_frequente_em_horas]]+ 0.1)</f>
        <v>2.099631</v>
      </c>
      <c r="S1928" s="1">
        <f>(Tabela2[[#This Row],[TUE_tempo_uso_aparelhos_em_horas]]/Tabela2[[#This Row],[FAF_Var]])</f>
        <v>0.44833401678675916</v>
      </c>
      <c r="T1928">
        <f>(Tabela2[[#This Row],[CAEC_lanche_entre_refeicoes]]*Tabela2[[#This Row],[FAVC_consumo_frequente_de_alimentos_mt_caloricos]])</f>
        <v>1</v>
      </c>
      <c r="U1928" s="1">
        <f>IF(OR(Tabela2[[#This Row],[MTRANS]]="Walking",Tabela2[[#This Row],[MTRANS]]="Bike"),Tabela2[[#This Row],[FAF_atividade_fisica_frequente_em_horas]]+1,M1928)</f>
        <v>1.9996309999999999</v>
      </c>
      <c r="V1928">
        <f>(Tabela2[[#This Row],[SMOKE]]+Tabela2[[#This Row],[CALC_bebe_alcool_frequentemente]])</f>
        <v>1</v>
      </c>
      <c r="W1928" s="8">
        <f>(Tabela2[[#This Row],[Weight]]/(Tabela2[[#This Row],[Height]] ^2))</f>
        <v>46.694892925522147</v>
      </c>
    </row>
    <row r="1929" spans="1:23" x14ac:dyDescent="0.25">
      <c r="A1929" t="s">
        <v>13</v>
      </c>
      <c r="B1929" s="7">
        <v>26</v>
      </c>
      <c r="C1929" s="4">
        <v>1.6501250000000001</v>
      </c>
      <c r="D1929" s="7">
        <v>111.939671</v>
      </c>
      <c r="E1929">
        <v>1</v>
      </c>
      <c r="F1929">
        <v>1</v>
      </c>
      <c r="G1929" s="2">
        <v>3</v>
      </c>
      <c r="H1929" s="2">
        <v>3</v>
      </c>
      <c r="I1929">
        <v>1</v>
      </c>
      <c r="J1929">
        <v>0</v>
      </c>
      <c r="K1929" s="2">
        <v>2.7707320000000002</v>
      </c>
      <c r="L1929">
        <v>0</v>
      </c>
      <c r="M1929" s="7">
        <v>0</v>
      </c>
      <c r="N1929" s="7">
        <v>0.12523500000000001</v>
      </c>
      <c r="O1929">
        <v>1</v>
      </c>
      <c r="P1929" t="s">
        <v>14</v>
      </c>
      <c r="Q1929">
        <v>6</v>
      </c>
      <c r="R1929" s="8">
        <f>(Tabela2[[#This Row],[FAF_atividade_fisica_frequente_em_horas]]+ 0.1)</f>
        <v>0.1</v>
      </c>
      <c r="S1929" s="1">
        <f>(Tabela2[[#This Row],[TUE_tempo_uso_aparelhos_em_horas]]/Tabela2[[#This Row],[FAF_Var]])</f>
        <v>1.2523500000000001</v>
      </c>
      <c r="T1929">
        <f>(Tabela2[[#This Row],[CAEC_lanche_entre_refeicoes]]*Tabela2[[#This Row],[FAVC_consumo_frequente_de_alimentos_mt_caloricos]])</f>
        <v>1</v>
      </c>
      <c r="U1929" s="1">
        <f>IF(OR(Tabela2[[#This Row],[MTRANS]]="Walking",Tabela2[[#This Row],[MTRANS]]="Bike"),Tabela2[[#This Row],[FAF_atividade_fisica_frequente_em_horas]]+1,M1929)</f>
        <v>0</v>
      </c>
      <c r="V1929">
        <f>(Tabela2[[#This Row],[SMOKE]]+Tabela2[[#This Row],[CALC_bebe_alcool_frequentemente]])</f>
        <v>1</v>
      </c>
      <c r="W1929" s="8">
        <f>(Tabela2[[#This Row],[Weight]]/(Tabela2[[#This Row],[Height]] ^2))</f>
        <v>41.110270843316492</v>
      </c>
    </row>
    <row r="1930" spans="1:23" x14ac:dyDescent="0.25">
      <c r="A1930" t="s">
        <v>13</v>
      </c>
      <c r="B1930" s="7">
        <v>26</v>
      </c>
      <c r="C1930" s="4">
        <v>1.652674</v>
      </c>
      <c r="D1930" s="7">
        <v>111.919155</v>
      </c>
      <c r="E1930">
        <v>1</v>
      </c>
      <c r="F1930">
        <v>1</v>
      </c>
      <c r="G1930" s="2">
        <v>3</v>
      </c>
      <c r="H1930" s="2">
        <v>3</v>
      </c>
      <c r="I1930">
        <v>1</v>
      </c>
      <c r="J1930">
        <v>0</v>
      </c>
      <c r="K1930" s="2">
        <v>2.8145169999999999</v>
      </c>
      <c r="L1930">
        <v>0</v>
      </c>
      <c r="M1930" s="7">
        <v>0</v>
      </c>
      <c r="N1930" s="7">
        <v>0.10159799999999999</v>
      </c>
      <c r="O1930">
        <v>1</v>
      </c>
      <c r="P1930" t="s">
        <v>14</v>
      </c>
      <c r="Q1930">
        <v>6</v>
      </c>
      <c r="R1930" s="8">
        <f>(Tabela2[[#This Row],[FAF_atividade_fisica_frequente_em_horas]]+ 0.1)</f>
        <v>0.1</v>
      </c>
      <c r="S1930" s="1">
        <f>(Tabela2[[#This Row],[TUE_tempo_uso_aparelhos_em_horas]]/Tabela2[[#This Row],[FAF_Var]])</f>
        <v>1.0159799999999999</v>
      </c>
      <c r="T1930">
        <f>(Tabela2[[#This Row],[CAEC_lanche_entre_refeicoes]]*Tabela2[[#This Row],[FAVC_consumo_frequente_de_alimentos_mt_caloricos]])</f>
        <v>1</v>
      </c>
      <c r="U1930" s="1">
        <f>IF(OR(Tabela2[[#This Row],[MTRANS]]="Walking",Tabela2[[#This Row],[MTRANS]]="Bike"),Tabela2[[#This Row],[FAF_atividade_fisica_frequente_em_horas]]+1,M1930)</f>
        <v>0</v>
      </c>
      <c r="V1930">
        <f>(Tabela2[[#This Row],[SMOKE]]+Tabela2[[#This Row],[CALC_bebe_alcool_frequentemente]])</f>
        <v>1</v>
      </c>
      <c r="W1930" s="8">
        <f>(Tabela2[[#This Row],[Weight]]/(Tabela2[[#This Row],[Height]] ^2))</f>
        <v>40.97604451715118</v>
      </c>
    </row>
    <row r="1931" spans="1:23" x14ac:dyDescent="0.25">
      <c r="A1931" t="s">
        <v>13</v>
      </c>
      <c r="B1931" s="7">
        <v>25.986184999999999</v>
      </c>
      <c r="C1931" s="4">
        <v>1.663632</v>
      </c>
      <c r="D1931" s="7">
        <v>105.12210899999999</v>
      </c>
      <c r="E1931">
        <v>1</v>
      </c>
      <c r="F1931">
        <v>1</v>
      </c>
      <c r="G1931" s="2">
        <v>3</v>
      </c>
      <c r="H1931" s="2">
        <v>3</v>
      </c>
      <c r="I1931">
        <v>1</v>
      </c>
      <c r="J1931">
        <v>0</v>
      </c>
      <c r="K1931" s="2">
        <v>1.6264670000000001</v>
      </c>
      <c r="L1931">
        <v>0</v>
      </c>
      <c r="M1931" s="7">
        <v>1.0182999999999999E-2</v>
      </c>
      <c r="N1931" s="7">
        <v>0.41280600000000001</v>
      </c>
      <c r="O1931">
        <v>1</v>
      </c>
      <c r="P1931" t="s">
        <v>14</v>
      </c>
      <c r="Q1931">
        <v>6</v>
      </c>
      <c r="R1931" s="8">
        <f>(Tabela2[[#This Row],[FAF_atividade_fisica_frequente_em_horas]]+ 0.1)</f>
        <v>0.110183</v>
      </c>
      <c r="S1931" s="1">
        <f>(Tabela2[[#This Row],[TUE_tempo_uso_aparelhos_em_horas]]/Tabela2[[#This Row],[FAF_Var]])</f>
        <v>3.7465489231551148</v>
      </c>
      <c r="T1931">
        <f>(Tabela2[[#This Row],[CAEC_lanche_entre_refeicoes]]*Tabela2[[#This Row],[FAVC_consumo_frequente_de_alimentos_mt_caloricos]])</f>
        <v>1</v>
      </c>
      <c r="U1931" s="1">
        <f>IF(OR(Tabela2[[#This Row],[MTRANS]]="Walking",Tabela2[[#This Row],[MTRANS]]="Bike"),Tabela2[[#This Row],[FAF_atividade_fisica_frequente_em_horas]]+1,M1931)</f>
        <v>1.0182999999999999E-2</v>
      </c>
      <c r="V1931">
        <f>(Tabela2[[#This Row],[SMOKE]]+Tabela2[[#This Row],[CALC_bebe_alcool_frequentemente]])</f>
        <v>1</v>
      </c>
      <c r="W1931" s="8">
        <f>(Tabela2[[#This Row],[Weight]]/(Tabela2[[#This Row],[Height]] ^2))</f>
        <v>37.982149111505414</v>
      </c>
    </row>
    <row r="1932" spans="1:23" x14ac:dyDescent="0.25">
      <c r="A1932" t="s">
        <v>13</v>
      </c>
      <c r="B1932" s="7">
        <v>25.982112999999998</v>
      </c>
      <c r="C1932" s="4">
        <v>1.627818</v>
      </c>
      <c r="D1932" s="7">
        <v>105.428628</v>
      </c>
      <c r="E1932">
        <v>1</v>
      </c>
      <c r="F1932">
        <v>1</v>
      </c>
      <c r="G1932" s="2">
        <v>3</v>
      </c>
      <c r="H1932" s="2">
        <v>3</v>
      </c>
      <c r="I1932">
        <v>1</v>
      </c>
      <c r="J1932">
        <v>0</v>
      </c>
      <c r="K1932" s="2">
        <v>1.48075</v>
      </c>
      <c r="L1932">
        <v>0</v>
      </c>
      <c r="M1932" s="7">
        <v>9.8043000000000005E-2</v>
      </c>
      <c r="N1932" s="7">
        <v>0.66349199999999997</v>
      </c>
      <c r="O1932">
        <v>1</v>
      </c>
      <c r="P1932" t="s">
        <v>14</v>
      </c>
      <c r="Q1932">
        <v>6</v>
      </c>
      <c r="R1932" s="8">
        <f>(Tabela2[[#This Row],[FAF_atividade_fisica_frequente_em_horas]]+ 0.1)</f>
        <v>0.19804300000000002</v>
      </c>
      <c r="S1932" s="1">
        <f>(Tabela2[[#This Row],[TUE_tempo_uso_aparelhos_em_horas]]/Tabela2[[#This Row],[FAF_Var]])</f>
        <v>3.3502421191357428</v>
      </c>
      <c r="T1932">
        <f>(Tabela2[[#This Row],[CAEC_lanche_entre_refeicoes]]*Tabela2[[#This Row],[FAVC_consumo_frequente_de_alimentos_mt_caloricos]])</f>
        <v>1</v>
      </c>
      <c r="U1932" s="1">
        <f>IF(OR(Tabela2[[#This Row],[MTRANS]]="Walking",Tabela2[[#This Row],[MTRANS]]="Bike"),Tabela2[[#This Row],[FAF_atividade_fisica_frequente_em_horas]]+1,M1932)</f>
        <v>9.8043000000000005E-2</v>
      </c>
      <c r="V1932">
        <f>(Tabela2[[#This Row],[SMOKE]]+Tabela2[[#This Row],[CALC_bebe_alcool_frequentemente]])</f>
        <v>1</v>
      </c>
      <c r="W1932" s="8">
        <f>(Tabela2[[#This Row],[Weight]]/(Tabela2[[#This Row],[Height]] ^2))</f>
        <v>39.787519260488978</v>
      </c>
    </row>
    <row r="1933" spans="1:23" x14ac:dyDescent="0.25">
      <c r="A1933" t="s">
        <v>13</v>
      </c>
      <c r="B1933" s="7">
        <v>25.748626999999999</v>
      </c>
      <c r="C1933" s="4">
        <v>1.6687700000000001</v>
      </c>
      <c r="D1933" s="7">
        <v>104.77414400000001</v>
      </c>
      <c r="E1933">
        <v>1</v>
      </c>
      <c r="F1933">
        <v>1</v>
      </c>
      <c r="G1933" s="2">
        <v>3</v>
      </c>
      <c r="H1933" s="2">
        <v>3</v>
      </c>
      <c r="I1933">
        <v>1</v>
      </c>
      <c r="J1933">
        <v>0</v>
      </c>
      <c r="K1933" s="2">
        <v>1.526416</v>
      </c>
      <c r="L1933">
        <v>0</v>
      </c>
      <c r="M1933" s="7">
        <v>0.18015800000000001</v>
      </c>
      <c r="N1933" s="7">
        <v>0.74790900000000005</v>
      </c>
      <c r="O1933">
        <v>1</v>
      </c>
      <c r="P1933" t="s">
        <v>14</v>
      </c>
      <c r="Q1933">
        <v>6</v>
      </c>
      <c r="R1933" s="8">
        <f>(Tabela2[[#This Row],[FAF_atividade_fisica_frequente_em_horas]]+ 0.1)</f>
        <v>0.28015800000000002</v>
      </c>
      <c r="S1933" s="1">
        <f>(Tabela2[[#This Row],[TUE_tempo_uso_aparelhos_em_horas]]/Tabela2[[#This Row],[FAF_Var]])</f>
        <v>2.6695971558906044</v>
      </c>
      <c r="T1933">
        <f>(Tabela2[[#This Row],[CAEC_lanche_entre_refeicoes]]*Tabela2[[#This Row],[FAVC_consumo_frequente_de_alimentos_mt_caloricos]])</f>
        <v>1</v>
      </c>
      <c r="U1933" s="1">
        <f>IF(OR(Tabela2[[#This Row],[MTRANS]]="Walking",Tabela2[[#This Row],[MTRANS]]="Bike"),Tabela2[[#This Row],[FAF_atividade_fisica_frequente_em_horas]]+1,M1933)</f>
        <v>0.18015800000000001</v>
      </c>
      <c r="V1933">
        <f>(Tabela2[[#This Row],[SMOKE]]+Tabela2[[#This Row],[CALC_bebe_alcool_frequentemente]])</f>
        <v>1</v>
      </c>
      <c r="W1933" s="8">
        <f>(Tabela2[[#This Row],[Weight]]/(Tabela2[[#This Row],[Height]] ^2))</f>
        <v>37.623669776372509</v>
      </c>
    </row>
    <row r="1934" spans="1:23" x14ac:dyDescent="0.25">
      <c r="A1934" t="s">
        <v>13</v>
      </c>
      <c r="B1934" s="7">
        <v>25.959772000000001</v>
      </c>
      <c r="C1934" s="4">
        <v>1.6420980000000001</v>
      </c>
      <c r="D1934" s="7">
        <v>104.966758</v>
      </c>
      <c r="E1934">
        <v>1</v>
      </c>
      <c r="F1934">
        <v>1</v>
      </c>
      <c r="G1934" s="2">
        <v>3</v>
      </c>
      <c r="H1934" s="2">
        <v>3</v>
      </c>
      <c r="I1934">
        <v>1</v>
      </c>
      <c r="J1934">
        <v>0</v>
      </c>
      <c r="K1934" s="2">
        <v>1.482002</v>
      </c>
      <c r="L1934">
        <v>0</v>
      </c>
      <c r="M1934" s="7">
        <v>0.20410800000000001</v>
      </c>
      <c r="N1934" s="7">
        <v>0.65722100000000006</v>
      </c>
      <c r="O1934">
        <v>1</v>
      </c>
      <c r="P1934" t="s">
        <v>14</v>
      </c>
      <c r="Q1934">
        <v>6</v>
      </c>
      <c r="R1934" s="8">
        <f>(Tabela2[[#This Row],[FAF_atividade_fisica_frequente_em_horas]]+ 0.1)</f>
        <v>0.30410800000000004</v>
      </c>
      <c r="S1934" s="1">
        <f>(Tabela2[[#This Row],[TUE_tempo_uso_aparelhos_em_horas]]/Tabela2[[#This Row],[FAF_Var]])</f>
        <v>2.1611434095781759</v>
      </c>
      <c r="T1934">
        <f>(Tabela2[[#This Row],[CAEC_lanche_entre_refeicoes]]*Tabela2[[#This Row],[FAVC_consumo_frequente_de_alimentos_mt_caloricos]])</f>
        <v>1</v>
      </c>
      <c r="U1934" s="1">
        <f>IF(OR(Tabela2[[#This Row],[MTRANS]]="Walking",Tabela2[[#This Row],[MTRANS]]="Bike"),Tabela2[[#This Row],[FAF_atividade_fisica_frequente_em_horas]]+1,M1934)</f>
        <v>0.20410800000000001</v>
      </c>
      <c r="V1934">
        <f>(Tabela2[[#This Row],[SMOKE]]+Tabela2[[#This Row],[CALC_bebe_alcool_frequentemente]])</f>
        <v>1</v>
      </c>
      <c r="W1934" s="8">
        <f>(Tabela2[[#This Row],[Weight]]/(Tabela2[[#This Row],[Height]] ^2))</f>
        <v>38.927242405827243</v>
      </c>
    </row>
    <row r="1935" spans="1:23" x14ac:dyDescent="0.25">
      <c r="A1935" t="s">
        <v>13</v>
      </c>
      <c r="B1935" s="7">
        <v>25.653233</v>
      </c>
      <c r="C1935" s="4">
        <v>1.65757</v>
      </c>
      <c r="D1935" s="7">
        <v>109.93123300000001</v>
      </c>
      <c r="E1935">
        <v>1</v>
      </c>
      <c r="F1935">
        <v>1</v>
      </c>
      <c r="G1935" s="2">
        <v>3</v>
      </c>
      <c r="H1935" s="2">
        <v>3</v>
      </c>
      <c r="I1935">
        <v>1</v>
      </c>
      <c r="J1935">
        <v>0</v>
      </c>
      <c r="K1935" s="2">
        <v>1.6104719999999999</v>
      </c>
      <c r="L1935">
        <v>0</v>
      </c>
      <c r="M1935" s="7">
        <v>2.9728000000000001E-2</v>
      </c>
      <c r="N1935" s="7">
        <v>0.47234300000000001</v>
      </c>
      <c r="O1935">
        <v>1</v>
      </c>
      <c r="P1935" t="s">
        <v>14</v>
      </c>
      <c r="Q1935">
        <v>6</v>
      </c>
      <c r="R1935" s="8">
        <f>(Tabela2[[#This Row],[FAF_atividade_fisica_frequente_em_horas]]+ 0.1)</f>
        <v>0.12972800000000001</v>
      </c>
      <c r="S1935" s="1">
        <f>(Tabela2[[#This Row],[TUE_tempo_uso_aparelhos_em_horas]]/Tabela2[[#This Row],[FAF_Var]])</f>
        <v>3.6410258386778489</v>
      </c>
      <c r="T1935">
        <f>(Tabela2[[#This Row],[CAEC_lanche_entre_refeicoes]]*Tabela2[[#This Row],[FAVC_consumo_frequente_de_alimentos_mt_caloricos]])</f>
        <v>1</v>
      </c>
      <c r="U1935" s="1">
        <f>IF(OR(Tabela2[[#This Row],[MTRANS]]="Walking",Tabela2[[#This Row],[MTRANS]]="Bike"),Tabela2[[#This Row],[FAF_atividade_fisica_frequente_em_horas]]+1,M1935)</f>
        <v>2.9728000000000001E-2</v>
      </c>
      <c r="V1935">
        <f>(Tabela2[[#This Row],[SMOKE]]+Tabela2[[#This Row],[CALC_bebe_alcool_frequentemente]])</f>
        <v>1</v>
      </c>
      <c r="W1935" s="8">
        <f>(Tabela2[[#This Row],[Weight]]/(Tabela2[[#This Row],[Height]] ^2))</f>
        <v>40.01080996903557</v>
      </c>
    </row>
    <row r="1936" spans="1:23" x14ac:dyDescent="0.25">
      <c r="A1936" t="s">
        <v>13</v>
      </c>
      <c r="B1936" s="7">
        <v>25.783864999999999</v>
      </c>
      <c r="C1936" s="4">
        <v>1.643111</v>
      </c>
      <c r="D1936" s="7">
        <v>109.91001199999999</v>
      </c>
      <c r="E1936">
        <v>1</v>
      </c>
      <c r="F1936">
        <v>1</v>
      </c>
      <c r="G1936" s="2">
        <v>3</v>
      </c>
      <c r="H1936" s="2">
        <v>3</v>
      </c>
      <c r="I1936">
        <v>1</v>
      </c>
      <c r="J1936">
        <v>0</v>
      </c>
      <c r="K1936" s="2">
        <v>1.5309919999999999</v>
      </c>
      <c r="L1936">
        <v>0</v>
      </c>
      <c r="M1936" s="7">
        <v>1.5859999999999999E-2</v>
      </c>
      <c r="N1936" s="7">
        <v>0.44549499999999997</v>
      </c>
      <c r="O1936">
        <v>1</v>
      </c>
      <c r="P1936" t="s">
        <v>14</v>
      </c>
      <c r="Q1936">
        <v>6</v>
      </c>
      <c r="R1936" s="8">
        <f>(Tabela2[[#This Row],[FAF_atividade_fisica_frequente_em_horas]]+ 0.1)</f>
        <v>0.11586</v>
      </c>
      <c r="S1936" s="1">
        <f>(Tabela2[[#This Row],[TUE_tempo_uso_aparelhos_em_horas]]/Tabela2[[#This Row],[FAF_Var]])</f>
        <v>3.845114793716554</v>
      </c>
      <c r="T1936">
        <f>(Tabela2[[#This Row],[CAEC_lanche_entre_refeicoes]]*Tabela2[[#This Row],[FAVC_consumo_frequente_de_alimentos_mt_caloricos]])</f>
        <v>1</v>
      </c>
      <c r="U1936" s="1">
        <f>IF(OR(Tabela2[[#This Row],[MTRANS]]="Walking",Tabela2[[#This Row],[MTRANS]]="Bike"),Tabela2[[#This Row],[FAF_atividade_fisica_frequente_em_horas]]+1,M1936)</f>
        <v>1.5859999999999999E-2</v>
      </c>
      <c r="V1936">
        <f>(Tabela2[[#This Row],[SMOKE]]+Tabela2[[#This Row],[CALC_bebe_alcool_frequentemente]])</f>
        <v>1</v>
      </c>
      <c r="W1936" s="8">
        <f>(Tabela2[[#This Row],[Weight]]/(Tabela2[[#This Row],[Height]] ^2))</f>
        <v>40.710219977674477</v>
      </c>
    </row>
    <row r="1937" spans="1:23" x14ac:dyDescent="0.25">
      <c r="A1937" t="s">
        <v>13</v>
      </c>
      <c r="B1937" s="7">
        <v>21.412434000000001</v>
      </c>
      <c r="C1937" s="4">
        <v>1.675562</v>
      </c>
      <c r="D1937" s="7">
        <v>121.639178</v>
      </c>
      <c r="E1937">
        <v>1</v>
      </c>
      <c r="F1937">
        <v>1</v>
      </c>
      <c r="G1937" s="2">
        <v>3</v>
      </c>
      <c r="H1937" s="2">
        <v>3</v>
      </c>
      <c r="I1937">
        <v>1</v>
      </c>
      <c r="J1937">
        <v>0</v>
      </c>
      <c r="K1937" s="2">
        <v>1.4849380000000001</v>
      </c>
      <c r="L1937">
        <v>0</v>
      </c>
      <c r="M1937" s="7">
        <v>0.74224999999999997</v>
      </c>
      <c r="N1937" s="7">
        <v>0.60469200000000001</v>
      </c>
      <c r="O1937">
        <v>1</v>
      </c>
      <c r="P1937" t="s">
        <v>14</v>
      </c>
      <c r="Q1937">
        <v>6</v>
      </c>
      <c r="R1937" s="8">
        <f>(Tabela2[[#This Row],[FAF_atividade_fisica_frequente_em_horas]]+ 0.1)</f>
        <v>0.84224999999999994</v>
      </c>
      <c r="S1937" s="1">
        <f>(Tabela2[[#This Row],[TUE_tempo_uso_aparelhos_em_horas]]/Tabela2[[#This Row],[FAF_Var]])</f>
        <v>0.71794835262689227</v>
      </c>
      <c r="T1937">
        <f>(Tabela2[[#This Row],[CAEC_lanche_entre_refeicoes]]*Tabela2[[#This Row],[FAVC_consumo_frequente_de_alimentos_mt_caloricos]])</f>
        <v>1</v>
      </c>
      <c r="U1937" s="1">
        <f>IF(OR(Tabela2[[#This Row],[MTRANS]]="Walking",Tabela2[[#This Row],[MTRANS]]="Bike"),Tabela2[[#This Row],[FAF_atividade_fisica_frequente_em_horas]]+1,M1937)</f>
        <v>0.74224999999999997</v>
      </c>
      <c r="V1937">
        <f>(Tabela2[[#This Row],[SMOKE]]+Tabela2[[#This Row],[CALC_bebe_alcool_frequentemente]])</f>
        <v>1</v>
      </c>
      <c r="W1937" s="8">
        <f>(Tabela2[[#This Row],[Weight]]/(Tabela2[[#This Row],[Height]] ^2))</f>
        <v>43.326386715028683</v>
      </c>
    </row>
    <row r="1938" spans="1:23" x14ac:dyDescent="0.25">
      <c r="A1938" t="s">
        <v>13</v>
      </c>
      <c r="B1938" s="7">
        <v>22.777889999999999</v>
      </c>
      <c r="C1938" s="4">
        <v>1.6614150000000001</v>
      </c>
      <c r="D1938" s="7">
        <v>120.74821300000001</v>
      </c>
      <c r="E1938">
        <v>1</v>
      </c>
      <c r="F1938">
        <v>1</v>
      </c>
      <c r="G1938" s="2">
        <v>3</v>
      </c>
      <c r="H1938" s="2">
        <v>3</v>
      </c>
      <c r="I1938">
        <v>1</v>
      </c>
      <c r="J1938">
        <v>0</v>
      </c>
      <c r="K1938" s="2">
        <v>1.91039</v>
      </c>
      <c r="L1938">
        <v>0</v>
      </c>
      <c r="M1938" s="7">
        <v>0.21745500000000001</v>
      </c>
      <c r="N1938" s="7">
        <v>0.77581999999999995</v>
      </c>
      <c r="O1938">
        <v>1</v>
      </c>
      <c r="P1938" t="s">
        <v>14</v>
      </c>
      <c r="Q1938">
        <v>6</v>
      </c>
      <c r="R1938" s="8">
        <f>(Tabela2[[#This Row],[FAF_atividade_fisica_frequente_em_horas]]+ 0.1)</f>
        <v>0.31745500000000004</v>
      </c>
      <c r="S1938" s="1">
        <f>(Tabela2[[#This Row],[TUE_tempo_uso_aparelhos_em_horas]]/Tabela2[[#This Row],[FAF_Var]])</f>
        <v>2.4438739348884089</v>
      </c>
      <c r="T1938">
        <f>(Tabela2[[#This Row],[CAEC_lanche_entre_refeicoes]]*Tabela2[[#This Row],[FAVC_consumo_frequente_de_alimentos_mt_caloricos]])</f>
        <v>1</v>
      </c>
      <c r="U1938" s="1">
        <f>IF(OR(Tabela2[[#This Row],[MTRANS]]="Walking",Tabela2[[#This Row],[MTRANS]]="Bike"),Tabela2[[#This Row],[FAF_atividade_fisica_frequente_em_horas]]+1,M1938)</f>
        <v>0.21745500000000001</v>
      </c>
      <c r="V1938">
        <f>(Tabela2[[#This Row],[SMOKE]]+Tabela2[[#This Row],[CALC_bebe_alcool_frequentemente]])</f>
        <v>1</v>
      </c>
      <c r="W1938" s="8">
        <f>(Tabela2[[#This Row],[Weight]]/(Tabela2[[#This Row],[Height]] ^2))</f>
        <v>43.744600822949828</v>
      </c>
    </row>
    <row r="1939" spans="1:23" x14ac:dyDescent="0.25">
      <c r="A1939" t="s">
        <v>13</v>
      </c>
      <c r="B1939" s="7">
        <v>21.140165</v>
      </c>
      <c r="C1939" s="4">
        <v>1.713133</v>
      </c>
      <c r="D1939" s="7">
        <v>133.73588899999999</v>
      </c>
      <c r="E1939">
        <v>1</v>
      </c>
      <c r="F1939">
        <v>1</v>
      </c>
      <c r="G1939" s="2">
        <v>3</v>
      </c>
      <c r="H1939" s="2">
        <v>3</v>
      </c>
      <c r="I1939">
        <v>1</v>
      </c>
      <c r="J1939">
        <v>0</v>
      </c>
      <c r="K1939" s="2">
        <v>1.411365</v>
      </c>
      <c r="L1939">
        <v>0</v>
      </c>
      <c r="M1939" s="7">
        <v>1.5646180000000001</v>
      </c>
      <c r="N1939" s="7">
        <v>0.91068300000000002</v>
      </c>
      <c r="O1939">
        <v>1</v>
      </c>
      <c r="P1939" t="s">
        <v>14</v>
      </c>
      <c r="Q1939">
        <v>6</v>
      </c>
      <c r="R1939" s="8">
        <f>(Tabela2[[#This Row],[FAF_atividade_fisica_frequente_em_horas]]+ 0.1)</f>
        <v>1.6646180000000002</v>
      </c>
      <c r="S1939" s="1">
        <f>(Tabela2[[#This Row],[TUE_tempo_uso_aparelhos_em_horas]]/Tabela2[[#This Row],[FAF_Var]])</f>
        <v>0.54708227353062377</v>
      </c>
      <c r="T1939">
        <f>(Tabela2[[#This Row],[CAEC_lanche_entre_refeicoes]]*Tabela2[[#This Row],[FAVC_consumo_frequente_de_alimentos_mt_caloricos]])</f>
        <v>1</v>
      </c>
      <c r="U1939" s="1">
        <f>IF(OR(Tabela2[[#This Row],[MTRANS]]="Walking",Tabela2[[#This Row],[MTRANS]]="Bike"),Tabela2[[#This Row],[FAF_atividade_fisica_frequente_em_horas]]+1,M1939)</f>
        <v>1.5646180000000001</v>
      </c>
      <c r="V1939">
        <f>(Tabela2[[#This Row],[SMOKE]]+Tabela2[[#This Row],[CALC_bebe_alcool_frequentemente]])</f>
        <v>1</v>
      </c>
      <c r="W1939" s="8">
        <f>(Tabela2[[#This Row],[Weight]]/(Tabela2[[#This Row],[Height]] ^2))</f>
        <v>45.568612703790627</v>
      </c>
    </row>
    <row r="1940" spans="1:23" x14ac:dyDescent="0.25">
      <c r="A1940" t="s">
        <v>13</v>
      </c>
      <c r="B1940" s="7">
        <v>21.413498000000001</v>
      </c>
      <c r="C1940" s="4">
        <v>1.7199</v>
      </c>
      <c r="D1940" s="7">
        <v>133.886031</v>
      </c>
      <c r="E1940">
        <v>1</v>
      </c>
      <c r="F1940">
        <v>1</v>
      </c>
      <c r="G1940" s="2">
        <v>3</v>
      </c>
      <c r="H1940" s="2">
        <v>3</v>
      </c>
      <c r="I1940">
        <v>1</v>
      </c>
      <c r="J1940">
        <v>0</v>
      </c>
      <c r="K1940" s="2">
        <v>2.4175200000000001</v>
      </c>
      <c r="L1940">
        <v>0</v>
      </c>
      <c r="M1940" s="7">
        <v>1.556155</v>
      </c>
      <c r="N1940" s="7">
        <v>0.87393600000000005</v>
      </c>
      <c r="O1940">
        <v>1</v>
      </c>
      <c r="P1940" t="s">
        <v>14</v>
      </c>
      <c r="Q1940">
        <v>6</v>
      </c>
      <c r="R1940" s="8">
        <f>(Tabela2[[#This Row],[FAF_atividade_fisica_frequente_em_horas]]+ 0.1)</f>
        <v>1.656155</v>
      </c>
      <c r="S1940" s="1">
        <f>(Tabela2[[#This Row],[TUE_tempo_uso_aparelhos_em_horas]]/Tabela2[[#This Row],[FAF_Var]])</f>
        <v>0.52768973918504003</v>
      </c>
      <c r="T1940">
        <f>(Tabela2[[#This Row],[CAEC_lanche_entre_refeicoes]]*Tabela2[[#This Row],[FAVC_consumo_frequente_de_alimentos_mt_caloricos]])</f>
        <v>1</v>
      </c>
      <c r="U1940" s="1">
        <f>IF(OR(Tabela2[[#This Row],[MTRANS]]="Walking",Tabela2[[#This Row],[MTRANS]]="Bike"),Tabela2[[#This Row],[FAF_atividade_fisica_frequente_em_horas]]+1,M1940)</f>
        <v>1.556155</v>
      </c>
      <c r="V1940">
        <f>(Tabela2[[#This Row],[SMOKE]]+Tabela2[[#This Row],[CALC_bebe_alcool_frequentemente]])</f>
        <v>1</v>
      </c>
      <c r="W1940" s="8">
        <f>(Tabela2[[#This Row],[Weight]]/(Tabela2[[#This Row],[Height]] ^2))</f>
        <v>45.261492868081291</v>
      </c>
    </row>
    <row r="1941" spans="1:23" x14ac:dyDescent="0.25">
      <c r="A1941" t="s">
        <v>13</v>
      </c>
      <c r="B1941" s="7">
        <v>26</v>
      </c>
      <c r="C1941" s="4">
        <v>1.6227009999999999</v>
      </c>
      <c r="D1941" s="7">
        <v>109.982692</v>
      </c>
      <c r="E1941">
        <v>1</v>
      </c>
      <c r="F1941">
        <v>1</v>
      </c>
      <c r="G1941" s="2">
        <v>3</v>
      </c>
      <c r="H1941" s="2">
        <v>3</v>
      </c>
      <c r="I1941">
        <v>1</v>
      </c>
      <c r="J1941">
        <v>0</v>
      </c>
      <c r="K1941" s="2">
        <v>2.6882290000000002</v>
      </c>
      <c r="L1941">
        <v>0</v>
      </c>
      <c r="M1941" s="7">
        <v>0</v>
      </c>
      <c r="N1941" s="7">
        <v>0.45137699999999997</v>
      </c>
      <c r="O1941">
        <v>1</v>
      </c>
      <c r="P1941" t="s">
        <v>14</v>
      </c>
      <c r="Q1941">
        <v>6</v>
      </c>
      <c r="R1941" s="8">
        <f>(Tabela2[[#This Row],[FAF_atividade_fisica_frequente_em_horas]]+ 0.1)</f>
        <v>0.1</v>
      </c>
      <c r="S1941" s="1">
        <f>(Tabela2[[#This Row],[TUE_tempo_uso_aparelhos_em_horas]]/Tabela2[[#This Row],[FAF_Var]])</f>
        <v>4.5137699999999992</v>
      </c>
      <c r="T1941">
        <f>(Tabela2[[#This Row],[CAEC_lanche_entre_refeicoes]]*Tabela2[[#This Row],[FAVC_consumo_frequente_de_alimentos_mt_caloricos]])</f>
        <v>1</v>
      </c>
      <c r="U1941" s="1">
        <f>IF(OR(Tabela2[[#This Row],[MTRANS]]="Walking",Tabela2[[#This Row],[MTRANS]]="Bike"),Tabela2[[#This Row],[FAF_atividade_fisica_frequente_em_horas]]+1,M1941)</f>
        <v>0</v>
      </c>
      <c r="V1941">
        <f>(Tabela2[[#This Row],[SMOKE]]+Tabela2[[#This Row],[CALC_bebe_alcool_frequentemente]])</f>
        <v>1</v>
      </c>
      <c r="W1941" s="8">
        <f>(Tabela2[[#This Row],[Weight]]/(Tabela2[[#This Row],[Height]] ^2))</f>
        <v>41.768351780327158</v>
      </c>
    </row>
    <row r="1942" spans="1:23" x14ac:dyDescent="0.25">
      <c r="A1942" t="s">
        <v>13</v>
      </c>
      <c r="B1942" s="7">
        <v>26</v>
      </c>
      <c r="C1942" s="4">
        <v>1.622468</v>
      </c>
      <c r="D1942" s="7">
        <v>110.400847</v>
      </c>
      <c r="E1942">
        <v>1</v>
      </c>
      <c r="F1942">
        <v>1</v>
      </c>
      <c r="G1942" s="2">
        <v>3</v>
      </c>
      <c r="H1942" s="2">
        <v>3</v>
      </c>
      <c r="I1942">
        <v>1</v>
      </c>
      <c r="J1942">
        <v>0</v>
      </c>
      <c r="K1942" s="2">
        <v>2.6950940000000001</v>
      </c>
      <c r="L1942">
        <v>0</v>
      </c>
      <c r="M1942" s="7">
        <v>0</v>
      </c>
      <c r="N1942" s="7">
        <v>0.41347400000000001</v>
      </c>
      <c r="O1942">
        <v>1</v>
      </c>
      <c r="P1942" t="s">
        <v>14</v>
      </c>
      <c r="Q1942">
        <v>6</v>
      </c>
      <c r="R1942" s="8">
        <f>(Tabela2[[#This Row],[FAF_atividade_fisica_frequente_em_horas]]+ 0.1)</f>
        <v>0.1</v>
      </c>
      <c r="S1942" s="1">
        <f>(Tabela2[[#This Row],[TUE_tempo_uso_aparelhos_em_horas]]/Tabela2[[#This Row],[FAF_Var]])</f>
        <v>4.1347399999999999</v>
      </c>
      <c r="T1942">
        <f>(Tabela2[[#This Row],[CAEC_lanche_entre_refeicoes]]*Tabela2[[#This Row],[FAVC_consumo_frequente_de_alimentos_mt_caloricos]])</f>
        <v>1</v>
      </c>
      <c r="U1942" s="1">
        <f>IF(OR(Tabela2[[#This Row],[MTRANS]]="Walking",Tabela2[[#This Row],[MTRANS]]="Bike"),Tabela2[[#This Row],[FAF_atividade_fisica_frequente_em_horas]]+1,M1942)</f>
        <v>0</v>
      </c>
      <c r="V1942">
        <f>(Tabela2[[#This Row],[SMOKE]]+Tabela2[[#This Row],[CALC_bebe_alcool_frequentemente]])</f>
        <v>1</v>
      </c>
      <c r="W1942" s="8">
        <f>(Tabela2[[#This Row],[Weight]]/(Tabela2[[#This Row],[Height]] ^2))</f>
        <v>41.93919840586009</v>
      </c>
    </row>
    <row r="1943" spans="1:23" x14ac:dyDescent="0.25">
      <c r="A1943" t="s">
        <v>13</v>
      </c>
      <c r="B1943" s="7">
        <v>26</v>
      </c>
      <c r="C1943" s="4">
        <v>1.6188670000000001</v>
      </c>
      <c r="D1943" s="7">
        <v>110.77739099999999</v>
      </c>
      <c r="E1943">
        <v>1</v>
      </c>
      <c r="F1943">
        <v>1</v>
      </c>
      <c r="G1943" s="2">
        <v>3</v>
      </c>
      <c r="H1943" s="2">
        <v>3</v>
      </c>
      <c r="I1943">
        <v>1</v>
      </c>
      <c r="J1943">
        <v>0</v>
      </c>
      <c r="K1943" s="2">
        <v>2.618198</v>
      </c>
      <c r="L1943">
        <v>0</v>
      </c>
      <c r="M1943" s="7">
        <v>0</v>
      </c>
      <c r="N1943" s="7">
        <v>0.38069500000000001</v>
      </c>
      <c r="O1943">
        <v>1</v>
      </c>
      <c r="P1943" t="s">
        <v>14</v>
      </c>
      <c r="Q1943">
        <v>6</v>
      </c>
      <c r="R1943" s="8">
        <f>(Tabela2[[#This Row],[FAF_atividade_fisica_frequente_em_horas]]+ 0.1)</f>
        <v>0.1</v>
      </c>
      <c r="S1943" s="1">
        <f>(Tabela2[[#This Row],[TUE_tempo_uso_aparelhos_em_horas]]/Tabela2[[#This Row],[FAF_Var]])</f>
        <v>3.8069500000000001</v>
      </c>
      <c r="T1943">
        <f>(Tabela2[[#This Row],[CAEC_lanche_entre_refeicoes]]*Tabela2[[#This Row],[FAVC_consumo_frequente_de_alimentos_mt_caloricos]])</f>
        <v>1</v>
      </c>
      <c r="U1943" s="1">
        <f>IF(OR(Tabela2[[#This Row],[MTRANS]]="Walking",Tabela2[[#This Row],[MTRANS]]="Bike"),Tabela2[[#This Row],[FAF_atividade_fisica_frequente_em_horas]]+1,M1943)</f>
        <v>0</v>
      </c>
      <c r="V1943">
        <f>(Tabela2[[#This Row],[SMOKE]]+Tabela2[[#This Row],[CALC_bebe_alcool_frequentemente]])</f>
        <v>1</v>
      </c>
      <c r="W1943" s="8">
        <f>(Tabela2[[#This Row],[Weight]]/(Tabela2[[#This Row],[Height]] ^2))</f>
        <v>42.269663653634019</v>
      </c>
    </row>
    <row r="1944" spans="1:23" x14ac:dyDescent="0.25">
      <c r="A1944" t="s">
        <v>13</v>
      </c>
      <c r="B1944" s="7">
        <v>26</v>
      </c>
      <c r="C1944" s="4">
        <v>1.600905</v>
      </c>
      <c r="D1944" s="7">
        <v>110.074946</v>
      </c>
      <c r="E1944">
        <v>1</v>
      </c>
      <c r="F1944">
        <v>1</v>
      </c>
      <c r="G1944" s="2">
        <v>3</v>
      </c>
      <c r="H1944" s="2">
        <v>3</v>
      </c>
      <c r="I1944">
        <v>1</v>
      </c>
      <c r="J1944">
        <v>0</v>
      </c>
      <c r="K1944" s="2">
        <v>2.5551889999999999</v>
      </c>
      <c r="L1944">
        <v>0</v>
      </c>
      <c r="M1944" s="7">
        <v>0</v>
      </c>
      <c r="N1944" s="7">
        <v>0.46297300000000002</v>
      </c>
      <c r="O1944">
        <v>1</v>
      </c>
      <c r="P1944" t="s">
        <v>14</v>
      </c>
      <c r="Q1944">
        <v>6</v>
      </c>
      <c r="R1944" s="8">
        <f>(Tabela2[[#This Row],[FAF_atividade_fisica_frequente_em_horas]]+ 0.1)</f>
        <v>0.1</v>
      </c>
      <c r="S1944" s="1">
        <f>(Tabela2[[#This Row],[TUE_tempo_uso_aparelhos_em_horas]]/Tabela2[[#This Row],[FAF_Var]])</f>
        <v>4.6297300000000003</v>
      </c>
      <c r="T1944">
        <f>(Tabela2[[#This Row],[CAEC_lanche_entre_refeicoes]]*Tabela2[[#This Row],[FAVC_consumo_frequente_de_alimentos_mt_caloricos]])</f>
        <v>1</v>
      </c>
      <c r="U1944" s="1">
        <f>IF(OR(Tabela2[[#This Row],[MTRANS]]="Walking",Tabela2[[#This Row],[MTRANS]]="Bike"),Tabela2[[#This Row],[FAF_atividade_fisica_frequente_em_horas]]+1,M1944)</f>
        <v>0</v>
      </c>
      <c r="V1944">
        <f>(Tabela2[[#This Row],[SMOKE]]+Tabela2[[#This Row],[CALC_bebe_alcool_frequentemente]])</f>
        <v>1</v>
      </c>
      <c r="W1944" s="8">
        <f>(Tabela2[[#This Row],[Weight]]/(Tabela2[[#This Row],[Height]] ^2))</f>
        <v>42.94942550276982</v>
      </c>
    </row>
    <row r="1945" spans="1:23" x14ac:dyDescent="0.25">
      <c r="A1945" t="s">
        <v>13</v>
      </c>
      <c r="B1945" s="7">
        <v>21.391370999999999</v>
      </c>
      <c r="C1945" s="4">
        <v>1.7306360000000001</v>
      </c>
      <c r="D1945" s="7">
        <v>131.902591</v>
      </c>
      <c r="E1945">
        <v>1</v>
      </c>
      <c r="F1945">
        <v>1</v>
      </c>
      <c r="G1945" s="2">
        <v>3</v>
      </c>
      <c r="H1945" s="2">
        <v>3</v>
      </c>
      <c r="I1945">
        <v>1</v>
      </c>
      <c r="J1945">
        <v>0</v>
      </c>
      <c r="K1945" s="2">
        <v>1.419136</v>
      </c>
      <c r="L1945">
        <v>0</v>
      </c>
      <c r="M1945" s="7">
        <v>1.7008890000000001</v>
      </c>
      <c r="N1945" s="7">
        <v>0.93088800000000005</v>
      </c>
      <c r="O1945">
        <v>1</v>
      </c>
      <c r="P1945" t="s">
        <v>14</v>
      </c>
      <c r="Q1945">
        <v>6</v>
      </c>
      <c r="R1945" s="8">
        <f>(Tabela2[[#This Row],[FAF_atividade_fisica_frequente_em_horas]]+ 0.1)</f>
        <v>1.8008890000000002</v>
      </c>
      <c r="S1945" s="1">
        <f>(Tabela2[[#This Row],[TUE_tempo_uso_aparelhos_em_horas]]/Tabela2[[#This Row],[FAF_Var]])</f>
        <v>0.51690470650884091</v>
      </c>
      <c r="T1945">
        <f>(Tabela2[[#This Row],[CAEC_lanche_entre_refeicoes]]*Tabela2[[#This Row],[FAVC_consumo_frequente_de_alimentos_mt_caloricos]])</f>
        <v>1</v>
      </c>
      <c r="U1945" s="1">
        <f>IF(OR(Tabela2[[#This Row],[MTRANS]]="Walking",Tabela2[[#This Row],[MTRANS]]="Bike"),Tabela2[[#This Row],[FAF_atividade_fisica_frequente_em_horas]]+1,M1945)</f>
        <v>1.7008890000000001</v>
      </c>
      <c r="V1945">
        <f>(Tabela2[[#This Row],[SMOKE]]+Tabela2[[#This Row],[CALC_bebe_alcool_frequentemente]])</f>
        <v>1</v>
      </c>
      <c r="W1945" s="8">
        <f>(Tabela2[[#This Row],[Weight]]/(Tabela2[[#This Row],[Height]] ^2))</f>
        <v>44.039447271920558</v>
      </c>
    </row>
    <row r="1946" spans="1:23" x14ac:dyDescent="0.25">
      <c r="A1946" t="s">
        <v>13</v>
      </c>
      <c r="B1946" s="7">
        <v>21.051981999999999</v>
      </c>
      <c r="C1946" s="4">
        <v>1.729719</v>
      </c>
      <c r="D1946" s="7">
        <v>131.87755799999999</v>
      </c>
      <c r="E1946">
        <v>1</v>
      </c>
      <c r="F1946">
        <v>1</v>
      </c>
      <c r="G1946" s="2">
        <v>3</v>
      </c>
      <c r="H1946" s="2">
        <v>3</v>
      </c>
      <c r="I1946">
        <v>1</v>
      </c>
      <c r="J1946">
        <v>0</v>
      </c>
      <c r="K1946" s="2">
        <v>1.4224829999999999</v>
      </c>
      <c r="L1946">
        <v>0</v>
      </c>
      <c r="M1946" s="7">
        <v>1.708971</v>
      </c>
      <c r="N1946" s="7">
        <v>0.67300899999999997</v>
      </c>
      <c r="O1946">
        <v>1</v>
      </c>
      <c r="P1946" t="s">
        <v>14</v>
      </c>
      <c r="Q1946">
        <v>6</v>
      </c>
      <c r="R1946" s="8">
        <f>(Tabela2[[#This Row],[FAF_atividade_fisica_frequente_em_horas]]+ 0.1)</f>
        <v>1.8089710000000001</v>
      </c>
      <c r="S1946" s="1">
        <f>(Tabela2[[#This Row],[TUE_tempo_uso_aparelhos_em_horas]]/Tabela2[[#This Row],[FAF_Var]])</f>
        <v>0.37203968443938568</v>
      </c>
      <c r="T1946">
        <f>(Tabela2[[#This Row],[CAEC_lanche_entre_refeicoes]]*Tabela2[[#This Row],[FAVC_consumo_frequente_de_alimentos_mt_caloricos]])</f>
        <v>1</v>
      </c>
      <c r="U1946" s="1">
        <f>IF(OR(Tabela2[[#This Row],[MTRANS]]="Walking",Tabela2[[#This Row],[MTRANS]]="Bike"),Tabela2[[#This Row],[FAF_atividade_fisica_frequente_em_horas]]+1,M1946)</f>
        <v>1.708971</v>
      </c>
      <c r="V1946">
        <f>(Tabela2[[#This Row],[SMOKE]]+Tabela2[[#This Row],[CALC_bebe_alcool_frequentemente]])</f>
        <v>1</v>
      </c>
      <c r="W1946" s="8">
        <f>(Tabela2[[#This Row],[Weight]]/(Tabela2[[#This Row],[Height]] ^2))</f>
        <v>44.077787292942389</v>
      </c>
    </row>
    <row r="1947" spans="1:23" x14ac:dyDescent="0.25">
      <c r="A1947" t="s">
        <v>13</v>
      </c>
      <c r="B1947" s="7">
        <v>23.455303000000001</v>
      </c>
      <c r="C1947" s="4">
        <v>1.6776720000000001</v>
      </c>
      <c r="D1947" s="7">
        <v>114.470482</v>
      </c>
      <c r="E1947">
        <v>1</v>
      </c>
      <c r="F1947">
        <v>1</v>
      </c>
      <c r="G1947" s="2">
        <v>3</v>
      </c>
      <c r="H1947" s="2">
        <v>3</v>
      </c>
      <c r="I1947">
        <v>1</v>
      </c>
      <c r="J1947">
        <v>0</v>
      </c>
      <c r="K1947" s="2">
        <v>2.426094</v>
      </c>
      <c r="L1947">
        <v>0</v>
      </c>
      <c r="M1947" s="7">
        <v>0.294763</v>
      </c>
      <c r="N1947" s="7">
        <v>0.73722600000000005</v>
      </c>
      <c r="O1947">
        <v>1</v>
      </c>
      <c r="P1947" t="s">
        <v>14</v>
      </c>
      <c r="Q1947">
        <v>6</v>
      </c>
      <c r="R1947" s="8">
        <f>(Tabela2[[#This Row],[FAF_atividade_fisica_frequente_em_horas]]+ 0.1)</f>
        <v>0.39476299999999998</v>
      </c>
      <c r="S1947" s="1">
        <f>(Tabela2[[#This Row],[TUE_tempo_uso_aparelhos_em_horas]]/Tabela2[[#This Row],[FAF_Var]])</f>
        <v>1.8675154459764469</v>
      </c>
      <c r="T1947">
        <f>(Tabela2[[#This Row],[CAEC_lanche_entre_refeicoes]]*Tabela2[[#This Row],[FAVC_consumo_frequente_de_alimentos_mt_caloricos]])</f>
        <v>1</v>
      </c>
      <c r="U1947" s="1">
        <f>IF(OR(Tabela2[[#This Row],[MTRANS]]="Walking",Tabela2[[#This Row],[MTRANS]]="Bike"),Tabela2[[#This Row],[FAF_atividade_fisica_frequente_em_horas]]+1,M1947)</f>
        <v>0.294763</v>
      </c>
      <c r="V1947">
        <f>(Tabela2[[#This Row],[SMOKE]]+Tabela2[[#This Row],[CALC_bebe_alcool_frequentemente]])</f>
        <v>1</v>
      </c>
      <c r="W1947" s="8">
        <f>(Tabela2[[#This Row],[Weight]]/(Tabela2[[#This Row],[Height]] ^2))</f>
        <v>40.670489443357155</v>
      </c>
    </row>
    <row r="1948" spans="1:23" x14ac:dyDescent="0.25">
      <c r="A1948" t="s">
        <v>13</v>
      </c>
      <c r="B1948" s="7">
        <v>23.694839999999999</v>
      </c>
      <c r="C1948" s="4">
        <v>1.637524</v>
      </c>
      <c r="D1948" s="7">
        <v>113.90506000000001</v>
      </c>
      <c r="E1948">
        <v>1</v>
      </c>
      <c r="F1948">
        <v>1</v>
      </c>
      <c r="G1948" s="2">
        <v>3</v>
      </c>
      <c r="H1948" s="2">
        <v>3</v>
      </c>
      <c r="I1948">
        <v>1</v>
      </c>
      <c r="J1948">
        <v>0</v>
      </c>
      <c r="K1948" s="2">
        <v>2.4959609999999999</v>
      </c>
      <c r="L1948">
        <v>0</v>
      </c>
      <c r="M1948" s="7">
        <v>0.189831</v>
      </c>
      <c r="N1948" s="7">
        <v>0.65228900000000001</v>
      </c>
      <c r="O1948">
        <v>1</v>
      </c>
      <c r="P1948" t="s">
        <v>14</v>
      </c>
      <c r="Q1948">
        <v>6</v>
      </c>
      <c r="R1948" s="8">
        <f>(Tabela2[[#This Row],[FAF_atividade_fisica_frequente_em_horas]]+ 0.1)</f>
        <v>0.28983100000000001</v>
      </c>
      <c r="S1948" s="1">
        <f>(Tabela2[[#This Row],[TUE_tempo_uso_aparelhos_em_horas]]/Tabela2[[#This Row],[FAF_Var]])</f>
        <v>2.250583960997961</v>
      </c>
      <c r="T1948">
        <f>(Tabela2[[#This Row],[CAEC_lanche_entre_refeicoes]]*Tabela2[[#This Row],[FAVC_consumo_frequente_de_alimentos_mt_caloricos]])</f>
        <v>1</v>
      </c>
      <c r="U1948" s="1">
        <f>IF(OR(Tabela2[[#This Row],[MTRANS]]="Walking",Tabela2[[#This Row],[MTRANS]]="Bike"),Tabela2[[#This Row],[FAF_atividade_fisica_frequente_em_horas]]+1,M1948)</f>
        <v>0.189831</v>
      </c>
      <c r="V1948">
        <f>(Tabela2[[#This Row],[SMOKE]]+Tabela2[[#This Row],[CALC_bebe_alcool_frequentemente]])</f>
        <v>1</v>
      </c>
      <c r="W1948" s="8">
        <f>(Tabela2[[#This Row],[Weight]]/(Tabela2[[#This Row],[Height]] ^2))</f>
        <v>42.478352982502386</v>
      </c>
    </row>
    <row r="1949" spans="1:23" x14ac:dyDescent="0.25">
      <c r="A1949" t="s">
        <v>13</v>
      </c>
      <c r="B1949" s="7">
        <v>20.601222</v>
      </c>
      <c r="C1949" s="4">
        <v>1.7387170000000001</v>
      </c>
      <c r="D1949" s="7">
        <v>128.114161</v>
      </c>
      <c r="E1949">
        <v>1</v>
      </c>
      <c r="F1949">
        <v>1</v>
      </c>
      <c r="G1949" s="2">
        <v>3</v>
      </c>
      <c r="H1949" s="2">
        <v>3</v>
      </c>
      <c r="I1949">
        <v>1</v>
      </c>
      <c r="J1949">
        <v>0</v>
      </c>
      <c r="K1949" s="2">
        <v>1.7970410000000001</v>
      </c>
      <c r="L1949">
        <v>0</v>
      </c>
      <c r="M1949" s="7">
        <v>1.427413</v>
      </c>
      <c r="N1949" s="7">
        <v>0.96618099999999996</v>
      </c>
      <c r="O1949">
        <v>1</v>
      </c>
      <c r="P1949" t="s">
        <v>14</v>
      </c>
      <c r="Q1949">
        <v>6</v>
      </c>
      <c r="R1949" s="8">
        <f>(Tabela2[[#This Row],[FAF_atividade_fisica_frequente_em_horas]]+ 0.1)</f>
        <v>1.5274130000000001</v>
      </c>
      <c r="S1949" s="1">
        <f>(Tabela2[[#This Row],[TUE_tempo_uso_aparelhos_em_horas]]/Tabela2[[#This Row],[FAF_Var]])</f>
        <v>0.6325604142429061</v>
      </c>
      <c r="T1949">
        <f>(Tabela2[[#This Row],[CAEC_lanche_entre_refeicoes]]*Tabela2[[#This Row],[FAVC_consumo_frequente_de_alimentos_mt_caloricos]])</f>
        <v>1</v>
      </c>
      <c r="U1949" s="1">
        <f>IF(OR(Tabela2[[#This Row],[MTRANS]]="Walking",Tabela2[[#This Row],[MTRANS]]="Bike"),Tabela2[[#This Row],[FAF_atividade_fisica_frequente_em_horas]]+1,M1949)</f>
        <v>1.427413</v>
      </c>
      <c r="V1949">
        <f>(Tabela2[[#This Row],[SMOKE]]+Tabela2[[#This Row],[CALC_bebe_alcool_frequentemente]])</f>
        <v>1</v>
      </c>
      <c r="W1949" s="8">
        <f>(Tabela2[[#This Row],[Weight]]/(Tabela2[[#This Row],[Height]] ^2))</f>
        <v>42.37789065382718</v>
      </c>
    </row>
    <row r="1950" spans="1:23" x14ac:dyDescent="0.25">
      <c r="A1950" t="s">
        <v>13</v>
      </c>
      <c r="B1950" s="7">
        <v>20.811579999999999</v>
      </c>
      <c r="C1950" s="4">
        <v>1.741193</v>
      </c>
      <c r="D1950" s="7">
        <v>128.76384300000001</v>
      </c>
      <c r="E1950">
        <v>1</v>
      </c>
      <c r="F1950">
        <v>1</v>
      </c>
      <c r="G1950" s="2">
        <v>3</v>
      </c>
      <c r="H1950" s="2">
        <v>3</v>
      </c>
      <c r="I1950">
        <v>1</v>
      </c>
      <c r="J1950">
        <v>0</v>
      </c>
      <c r="K1950" s="2">
        <v>1.768111</v>
      </c>
      <c r="L1950">
        <v>0</v>
      </c>
      <c r="M1950" s="7">
        <v>0.61650300000000002</v>
      </c>
      <c r="N1950" s="7">
        <v>0.96815099999999998</v>
      </c>
      <c r="O1950">
        <v>1</v>
      </c>
      <c r="P1950" t="s">
        <v>14</v>
      </c>
      <c r="Q1950">
        <v>6</v>
      </c>
      <c r="R1950" s="8">
        <f>(Tabela2[[#This Row],[FAF_atividade_fisica_frequente_em_horas]]+ 0.1)</f>
        <v>0.716503</v>
      </c>
      <c r="S1950" s="1">
        <f>(Tabela2[[#This Row],[TUE_tempo_uso_aparelhos_em_horas]]/Tabela2[[#This Row],[FAF_Var]])</f>
        <v>1.3512169523365569</v>
      </c>
      <c r="T1950">
        <f>(Tabela2[[#This Row],[CAEC_lanche_entre_refeicoes]]*Tabela2[[#This Row],[FAVC_consumo_frequente_de_alimentos_mt_caloricos]])</f>
        <v>1</v>
      </c>
      <c r="U1950" s="1">
        <f>IF(OR(Tabela2[[#This Row],[MTRANS]]="Walking",Tabela2[[#This Row],[MTRANS]]="Bike"),Tabela2[[#This Row],[FAF_atividade_fisica_frequente_em_horas]]+1,M1950)</f>
        <v>0.61650300000000002</v>
      </c>
      <c r="V1950">
        <f>(Tabela2[[#This Row],[SMOKE]]+Tabela2[[#This Row],[CALC_bebe_alcool_frequentemente]])</f>
        <v>1</v>
      </c>
      <c r="W1950" s="8">
        <f>(Tabela2[[#This Row],[Weight]]/(Tabela2[[#This Row],[Height]] ^2))</f>
        <v>42.471744998258302</v>
      </c>
    </row>
    <row r="1951" spans="1:23" x14ac:dyDescent="0.25">
      <c r="A1951" t="s">
        <v>13</v>
      </c>
      <c r="B1951" s="7">
        <v>19.993565</v>
      </c>
      <c r="C1951" s="4">
        <v>1.7928329999999999</v>
      </c>
      <c r="D1951" s="7">
        <v>152.43563</v>
      </c>
      <c r="E1951">
        <v>1</v>
      </c>
      <c r="F1951">
        <v>1</v>
      </c>
      <c r="G1951" s="2">
        <v>3</v>
      </c>
      <c r="H1951" s="2">
        <v>3</v>
      </c>
      <c r="I1951">
        <v>1</v>
      </c>
      <c r="J1951">
        <v>0</v>
      </c>
      <c r="K1951" s="2">
        <v>2.3651879999999998</v>
      </c>
      <c r="L1951">
        <v>0</v>
      </c>
      <c r="M1951" s="7">
        <v>1.2561150000000001</v>
      </c>
      <c r="N1951" s="7">
        <v>0.76009099999999996</v>
      </c>
      <c r="O1951">
        <v>1</v>
      </c>
      <c r="P1951" t="s">
        <v>14</v>
      </c>
      <c r="Q1951">
        <v>6</v>
      </c>
      <c r="R1951" s="8">
        <f>(Tabela2[[#This Row],[FAF_atividade_fisica_frequente_em_horas]]+ 0.1)</f>
        <v>1.3561150000000002</v>
      </c>
      <c r="S1951" s="1">
        <f>(Tabela2[[#This Row],[TUE_tempo_uso_aparelhos_em_horas]]/Tabela2[[#This Row],[FAF_Var]])</f>
        <v>0.5604915512327493</v>
      </c>
      <c r="T1951">
        <f>(Tabela2[[#This Row],[CAEC_lanche_entre_refeicoes]]*Tabela2[[#This Row],[FAVC_consumo_frequente_de_alimentos_mt_caloricos]])</f>
        <v>1</v>
      </c>
      <c r="U1951" s="1">
        <f>IF(OR(Tabela2[[#This Row],[MTRANS]]="Walking",Tabela2[[#This Row],[MTRANS]]="Bike"),Tabela2[[#This Row],[FAF_atividade_fisica_frequente_em_horas]]+1,M1951)</f>
        <v>1.2561150000000001</v>
      </c>
      <c r="V1951">
        <f>(Tabela2[[#This Row],[SMOKE]]+Tabela2[[#This Row],[CALC_bebe_alcool_frequentemente]])</f>
        <v>1</v>
      </c>
      <c r="W1951" s="8">
        <f>(Tabela2[[#This Row],[Weight]]/(Tabela2[[#This Row],[Height]] ^2))</f>
        <v>47.42494271843313</v>
      </c>
    </row>
    <row r="1952" spans="1:23" x14ac:dyDescent="0.25">
      <c r="A1952" t="s">
        <v>13</v>
      </c>
      <c r="B1952" s="7">
        <v>20.074449000000001</v>
      </c>
      <c r="C1952" s="4">
        <v>1.810427</v>
      </c>
      <c r="D1952" s="7">
        <v>152.21713500000001</v>
      </c>
      <c r="E1952">
        <v>1</v>
      </c>
      <c r="F1952">
        <v>1</v>
      </c>
      <c r="G1952" s="2">
        <v>3</v>
      </c>
      <c r="H1952" s="2">
        <v>3</v>
      </c>
      <c r="I1952">
        <v>1</v>
      </c>
      <c r="J1952">
        <v>0</v>
      </c>
      <c r="K1952" s="2">
        <v>2.299156</v>
      </c>
      <c r="L1952">
        <v>0</v>
      </c>
      <c r="M1952" s="7">
        <v>1.6990559999999999</v>
      </c>
      <c r="N1952" s="7">
        <v>0.72972199999999998</v>
      </c>
      <c r="O1952">
        <v>1</v>
      </c>
      <c r="P1952" t="s">
        <v>14</v>
      </c>
      <c r="Q1952">
        <v>6</v>
      </c>
      <c r="R1952" s="8">
        <f>(Tabela2[[#This Row],[FAF_atividade_fisica_frequente_em_horas]]+ 0.1)</f>
        <v>1.799056</v>
      </c>
      <c r="S1952" s="1">
        <f>(Tabela2[[#This Row],[TUE_tempo_uso_aparelhos_em_horas]]/Tabela2[[#This Row],[FAF_Var]])</f>
        <v>0.40561383303243476</v>
      </c>
      <c r="T1952">
        <f>(Tabela2[[#This Row],[CAEC_lanche_entre_refeicoes]]*Tabela2[[#This Row],[FAVC_consumo_frequente_de_alimentos_mt_caloricos]])</f>
        <v>1</v>
      </c>
      <c r="U1952" s="1">
        <f>IF(OR(Tabela2[[#This Row],[MTRANS]]="Walking",Tabela2[[#This Row],[MTRANS]]="Bike"),Tabela2[[#This Row],[FAF_atividade_fisica_frequente_em_horas]]+1,M1952)</f>
        <v>1.6990559999999999</v>
      </c>
      <c r="V1952">
        <f>(Tabela2[[#This Row],[SMOKE]]+Tabela2[[#This Row],[CALC_bebe_alcool_frequentemente]])</f>
        <v>1</v>
      </c>
      <c r="W1952" s="8">
        <f>(Tabela2[[#This Row],[Weight]]/(Tabela2[[#This Row],[Height]] ^2))</f>
        <v>46.440994118070854</v>
      </c>
    </row>
    <row r="1953" spans="1:23" x14ac:dyDescent="0.25">
      <c r="A1953" t="s">
        <v>13</v>
      </c>
      <c r="B1953" s="7">
        <v>18.904036999999999</v>
      </c>
      <c r="C1953" s="4">
        <v>1.7435890000000001</v>
      </c>
      <c r="D1953" s="7">
        <v>133.28133299999999</v>
      </c>
      <c r="E1953">
        <v>1</v>
      </c>
      <c r="F1953">
        <v>1</v>
      </c>
      <c r="G1953" s="2">
        <v>3</v>
      </c>
      <c r="H1953" s="2">
        <v>3</v>
      </c>
      <c r="I1953">
        <v>1</v>
      </c>
      <c r="J1953">
        <v>0</v>
      </c>
      <c r="K1953" s="2">
        <v>2.6848190000000001</v>
      </c>
      <c r="L1953">
        <v>0</v>
      </c>
      <c r="M1953" s="7">
        <v>1.4652499999999999</v>
      </c>
      <c r="N1953" s="7">
        <v>0.80449099999999996</v>
      </c>
      <c r="O1953">
        <v>1</v>
      </c>
      <c r="P1953" t="s">
        <v>14</v>
      </c>
      <c r="Q1953">
        <v>6</v>
      </c>
      <c r="R1953" s="8">
        <f>(Tabela2[[#This Row],[FAF_atividade_fisica_frequente_em_horas]]+ 0.1)</f>
        <v>1.56525</v>
      </c>
      <c r="S1953" s="1">
        <f>(Tabela2[[#This Row],[TUE_tempo_uso_aparelhos_em_horas]]/Tabela2[[#This Row],[FAF_Var]])</f>
        <v>0.51396965340999834</v>
      </c>
      <c r="T1953">
        <f>(Tabela2[[#This Row],[CAEC_lanche_entre_refeicoes]]*Tabela2[[#This Row],[FAVC_consumo_frequente_de_alimentos_mt_caloricos]])</f>
        <v>1</v>
      </c>
      <c r="U1953" s="1">
        <f>IF(OR(Tabela2[[#This Row],[MTRANS]]="Walking",Tabela2[[#This Row],[MTRANS]]="Bike"),Tabela2[[#This Row],[FAF_atividade_fisica_frequente_em_horas]]+1,M1953)</f>
        <v>1.4652499999999999</v>
      </c>
      <c r="V1953">
        <f>(Tabela2[[#This Row],[SMOKE]]+Tabela2[[#This Row],[CALC_bebe_alcool_frequentemente]])</f>
        <v>1</v>
      </c>
      <c r="W1953" s="8">
        <f>(Tabela2[[#This Row],[Weight]]/(Tabela2[[#This Row],[Height]] ^2))</f>
        <v>43.841064100804481</v>
      </c>
    </row>
    <row r="1954" spans="1:23" x14ac:dyDescent="0.25">
      <c r="A1954" t="s">
        <v>13</v>
      </c>
      <c r="B1954" s="7">
        <v>19.783234</v>
      </c>
      <c r="C1954" s="4">
        <v>1.747962</v>
      </c>
      <c r="D1954" s="7">
        <v>133.93653499999999</v>
      </c>
      <c r="E1954">
        <v>1</v>
      </c>
      <c r="F1954">
        <v>1</v>
      </c>
      <c r="G1954" s="2">
        <v>3</v>
      </c>
      <c r="H1954" s="2">
        <v>3</v>
      </c>
      <c r="I1954">
        <v>1</v>
      </c>
      <c r="J1954">
        <v>0</v>
      </c>
      <c r="K1954" s="2">
        <v>2.8417400000000002</v>
      </c>
      <c r="L1954">
        <v>0</v>
      </c>
      <c r="M1954" s="7">
        <v>1.4292560000000001</v>
      </c>
      <c r="N1954" s="7">
        <v>0.77537800000000001</v>
      </c>
      <c r="O1954">
        <v>1</v>
      </c>
      <c r="P1954" t="s">
        <v>14</v>
      </c>
      <c r="Q1954">
        <v>6</v>
      </c>
      <c r="R1954" s="8">
        <f>(Tabela2[[#This Row],[FAF_atividade_fisica_frequente_em_horas]]+ 0.1)</f>
        <v>1.5292560000000002</v>
      </c>
      <c r="S1954" s="1">
        <f>(Tabela2[[#This Row],[TUE_tempo_uso_aparelhos_em_horas]]/Tabela2[[#This Row],[FAF_Var]])</f>
        <v>0.507029562087708</v>
      </c>
      <c r="T1954">
        <f>(Tabela2[[#This Row],[CAEC_lanche_entre_refeicoes]]*Tabela2[[#This Row],[FAVC_consumo_frequente_de_alimentos_mt_caloricos]])</f>
        <v>1</v>
      </c>
      <c r="U1954" s="1">
        <f>IF(OR(Tabela2[[#This Row],[MTRANS]]="Walking",Tabela2[[#This Row],[MTRANS]]="Bike"),Tabela2[[#This Row],[FAF_atividade_fisica_frequente_em_horas]]+1,M1954)</f>
        <v>1.4292560000000001</v>
      </c>
      <c r="V1954">
        <f>(Tabela2[[#This Row],[SMOKE]]+Tabela2[[#This Row],[CALC_bebe_alcool_frequentemente]])</f>
        <v>1</v>
      </c>
      <c r="W1954" s="8">
        <f>(Tabela2[[#This Row],[Weight]]/(Tabela2[[#This Row],[Height]] ^2))</f>
        <v>43.836420609334922</v>
      </c>
    </row>
    <row r="1955" spans="1:23" x14ac:dyDescent="0.25">
      <c r="A1955" t="s">
        <v>13</v>
      </c>
      <c r="B1955" s="7">
        <v>24.291205000000001</v>
      </c>
      <c r="C1955" s="4">
        <v>1.71146</v>
      </c>
      <c r="D1955" s="7">
        <v>113.372851</v>
      </c>
      <c r="E1955">
        <v>1</v>
      </c>
      <c r="F1955">
        <v>1</v>
      </c>
      <c r="G1955" s="2">
        <v>3</v>
      </c>
      <c r="H1955" s="2">
        <v>3</v>
      </c>
      <c r="I1955">
        <v>1</v>
      </c>
      <c r="J1955">
        <v>0</v>
      </c>
      <c r="K1955" s="2">
        <v>2.796894</v>
      </c>
      <c r="L1955">
        <v>0</v>
      </c>
      <c r="M1955" s="7">
        <v>0.382189</v>
      </c>
      <c r="N1955" s="7">
        <v>0.16778999999999999</v>
      </c>
      <c r="O1955">
        <v>1</v>
      </c>
      <c r="P1955" t="s">
        <v>14</v>
      </c>
      <c r="Q1955">
        <v>6</v>
      </c>
      <c r="R1955" s="8">
        <f>(Tabela2[[#This Row],[FAF_atividade_fisica_frequente_em_horas]]+ 0.1)</f>
        <v>0.48218899999999998</v>
      </c>
      <c r="S1955" s="1">
        <f>(Tabela2[[#This Row],[TUE_tempo_uso_aparelhos_em_horas]]/Tabela2[[#This Row],[FAF_Var]])</f>
        <v>0.34797558633647802</v>
      </c>
      <c r="T1955">
        <f>(Tabela2[[#This Row],[CAEC_lanche_entre_refeicoes]]*Tabela2[[#This Row],[FAVC_consumo_frequente_de_alimentos_mt_caloricos]])</f>
        <v>1</v>
      </c>
      <c r="U1955" s="1">
        <f>IF(OR(Tabela2[[#This Row],[MTRANS]]="Walking",Tabela2[[#This Row],[MTRANS]]="Bike"),Tabela2[[#This Row],[FAF_atividade_fisica_frequente_em_horas]]+1,M1955)</f>
        <v>0.382189</v>
      </c>
      <c r="V1955">
        <f>(Tabela2[[#This Row],[SMOKE]]+Tabela2[[#This Row],[CALC_bebe_alcool_frequentemente]])</f>
        <v>1</v>
      </c>
      <c r="W1955" s="8">
        <f>(Tabela2[[#This Row],[Weight]]/(Tabela2[[#This Row],[Height]] ^2))</f>
        <v>38.705756612595735</v>
      </c>
    </row>
    <row r="1956" spans="1:23" x14ac:dyDescent="0.25">
      <c r="A1956" t="s">
        <v>13</v>
      </c>
      <c r="B1956" s="7">
        <v>25.311534000000002</v>
      </c>
      <c r="C1956" s="4">
        <v>1.6854819999999999</v>
      </c>
      <c r="D1956" s="7">
        <v>113.451224</v>
      </c>
      <c r="E1956">
        <v>1</v>
      </c>
      <c r="F1956">
        <v>1</v>
      </c>
      <c r="G1956" s="2">
        <v>3</v>
      </c>
      <c r="H1956" s="2">
        <v>3</v>
      </c>
      <c r="I1956">
        <v>1</v>
      </c>
      <c r="J1956">
        <v>0</v>
      </c>
      <c r="K1956" s="2">
        <v>2.9877180000000001</v>
      </c>
      <c r="L1956">
        <v>0</v>
      </c>
      <c r="M1956" s="7">
        <v>0.38707399999999997</v>
      </c>
      <c r="N1956" s="7">
        <v>0.283804</v>
      </c>
      <c r="O1956">
        <v>1</v>
      </c>
      <c r="P1956" t="s">
        <v>14</v>
      </c>
      <c r="Q1956">
        <v>6</v>
      </c>
      <c r="R1956" s="8">
        <f>(Tabela2[[#This Row],[FAF_atividade_fisica_frequente_em_horas]]+ 0.1)</f>
        <v>0.48707400000000001</v>
      </c>
      <c r="S1956" s="1">
        <f>(Tabela2[[#This Row],[TUE_tempo_uso_aparelhos_em_horas]]/Tabela2[[#This Row],[FAF_Var]])</f>
        <v>0.58267121628335738</v>
      </c>
      <c r="T1956">
        <f>(Tabela2[[#This Row],[CAEC_lanche_entre_refeicoes]]*Tabela2[[#This Row],[FAVC_consumo_frequente_de_alimentos_mt_caloricos]])</f>
        <v>1</v>
      </c>
      <c r="U1956" s="1">
        <f>IF(OR(Tabela2[[#This Row],[MTRANS]]="Walking",Tabela2[[#This Row],[MTRANS]]="Bike"),Tabela2[[#This Row],[FAF_atividade_fisica_frequente_em_horas]]+1,M1956)</f>
        <v>0.38707399999999997</v>
      </c>
      <c r="V1956">
        <f>(Tabela2[[#This Row],[SMOKE]]+Tabela2[[#This Row],[CALC_bebe_alcool_frequentemente]])</f>
        <v>1</v>
      </c>
      <c r="W1956" s="8">
        <f>(Tabela2[[#This Row],[Weight]]/(Tabela2[[#This Row],[Height]] ^2))</f>
        <v>39.935667521877804</v>
      </c>
    </row>
    <row r="1957" spans="1:23" x14ac:dyDescent="0.25">
      <c r="A1957" t="s">
        <v>13</v>
      </c>
      <c r="B1957" s="7">
        <v>26</v>
      </c>
      <c r="C1957" s="4">
        <v>1.639251</v>
      </c>
      <c r="D1957" s="7">
        <v>111.927001</v>
      </c>
      <c r="E1957">
        <v>1</v>
      </c>
      <c r="F1957">
        <v>1</v>
      </c>
      <c r="G1957" s="2">
        <v>3</v>
      </c>
      <c r="H1957" s="2">
        <v>3</v>
      </c>
      <c r="I1957">
        <v>1</v>
      </c>
      <c r="J1957">
        <v>0</v>
      </c>
      <c r="K1957" s="2">
        <v>2.675567</v>
      </c>
      <c r="L1957">
        <v>0</v>
      </c>
      <c r="M1957" s="7">
        <v>0</v>
      </c>
      <c r="N1957" s="7">
        <v>8.1929000000000002E-2</v>
      </c>
      <c r="O1957">
        <v>1</v>
      </c>
      <c r="P1957" t="s">
        <v>14</v>
      </c>
      <c r="Q1957">
        <v>6</v>
      </c>
      <c r="R1957" s="8">
        <f>(Tabela2[[#This Row],[FAF_atividade_fisica_frequente_em_horas]]+ 0.1)</f>
        <v>0.1</v>
      </c>
      <c r="S1957" s="1">
        <f>(Tabela2[[#This Row],[TUE_tempo_uso_aparelhos_em_horas]]/Tabela2[[#This Row],[FAF_Var]])</f>
        <v>0.81928999999999996</v>
      </c>
      <c r="T1957">
        <f>(Tabela2[[#This Row],[CAEC_lanche_entre_refeicoes]]*Tabela2[[#This Row],[FAVC_consumo_frequente_de_alimentos_mt_caloricos]])</f>
        <v>1</v>
      </c>
      <c r="U1957" s="1">
        <f>IF(OR(Tabela2[[#This Row],[MTRANS]]="Walking",Tabela2[[#This Row],[MTRANS]]="Bike"),Tabela2[[#This Row],[FAF_atividade_fisica_frequente_em_horas]]+1,M1957)</f>
        <v>0</v>
      </c>
      <c r="V1957">
        <f>(Tabela2[[#This Row],[SMOKE]]+Tabela2[[#This Row],[CALC_bebe_alcool_frequentemente]])</f>
        <v>1</v>
      </c>
      <c r="W1957" s="8">
        <f>(Tabela2[[#This Row],[Weight]]/(Tabela2[[#This Row],[Height]] ^2))</f>
        <v>41.652776190166868</v>
      </c>
    </row>
    <row r="1958" spans="1:23" x14ac:dyDescent="0.25">
      <c r="A1958" t="s">
        <v>13</v>
      </c>
      <c r="B1958" s="7">
        <v>26</v>
      </c>
      <c r="C1958" s="4">
        <v>1.654784</v>
      </c>
      <c r="D1958" s="7">
        <v>111.93315200000001</v>
      </c>
      <c r="E1958">
        <v>1</v>
      </c>
      <c r="F1958">
        <v>1</v>
      </c>
      <c r="G1958" s="2">
        <v>3</v>
      </c>
      <c r="H1958" s="2">
        <v>3</v>
      </c>
      <c r="I1958">
        <v>1</v>
      </c>
      <c r="J1958">
        <v>0</v>
      </c>
      <c r="K1958" s="2">
        <v>2.7701250000000002</v>
      </c>
      <c r="L1958">
        <v>0</v>
      </c>
      <c r="M1958" s="7">
        <v>0</v>
      </c>
      <c r="N1958" s="7">
        <v>8.8235999999999995E-2</v>
      </c>
      <c r="O1958">
        <v>1</v>
      </c>
      <c r="P1958" t="s">
        <v>14</v>
      </c>
      <c r="Q1958">
        <v>6</v>
      </c>
      <c r="R1958" s="8">
        <f>(Tabela2[[#This Row],[FAF_atividade_fisica_frequente_em_horas]]+ 0.1)</f>
        <v>0.1</v>
      </c>
      <c r="S1958" s="1">
        <f>(Tabela2[[#This Row],[TUE_tempo_uso_aparelhos_em_horas]]/Tabela2[[#This Row],[FAF_Var]])</f>
        <v>0.88235999999999992</v>
      </c>
      <c r="T1958">
        <f>(Tabela2[[#This Row],[CAEC_lanche_entre_refeicoes]]*Tabela2[[#This Row],[FAVC_consumo_frequente_de_alimentos_mt_caloricos]])</f>
        <v>1</v>
      </c>
      <c r="U1958" s="1">
        <f>IF(OR(Tabela2[[#This Row],[MTRANS]]="Walking",Tabela2[[#This Row],[MTRANS]]="Bike"),Tabela2[[#This Row],[FAF_atividade_fisica_frequente_em_horas]]+1,M1958)</f>
        <v>0</v>
      </c>
      <c r="V1958">
        <f>(Tabela2[[#This Row],[SMOKE]]+Tabela2[[#This Row],[CALC_bebe_alcool_frequentemente]])</f>
        <v>1</v>
      </c>
      <c r="W1958" s="8">
        <f>(Tabela2[[#This Row],[Weight]]/(Tabela2[[#This Row],[Height]] ^2))</f>
        <v>40.876726323092129</v>
      </c>
    </row>
    <row r="1959" spans="1:23" x14ac:dyDescent="0.25">
      <c r="A1959" t="s">
        <v>13</v>
      </c>
      <c r="B1959" s="7">
        <v>26</v>
      </c>
      <c r="C1959" s="4">
        <v>1.6412089999999999</v>
      </c>
      <c r="D1959" s="7">
        <v>111.856492</v>
      </c>
      <c r="E1959">
        <v>1</v>
      </c>
      <c r="F1959">
        <v>1</v>
      </c>
      <c r="G1959" s="2">
        <v>3</v>
      </c>
      <c r="H1959" s="2">
        <v>3</v>
      </c>
      <c r="I1959">
        <v>1</v>
      </c>
      <c r="J1959">
        <v>0</v>
      </c>
      <c r="K1959" s="2">
        <v>2.621877</v>
      </c>
      <c r="L1959">
        <v>0</v>
      </c>
      <c r="M1959" s="7">
        <v>0</v>
      </c>
      <c r="N1959" s="7">
        <v>0.153669</v>
      </c>
      <c r="O1959">
        <v>1</v>
      </c>
      <c r="P1959" t="s">
        <v>14</v>
      </c>
      <c r="Q1959">
        <v>6</v>
      </c>
      <c r="R1959" s="8">
        <f>(Tabela2[[#This Row],[FAF_atividade_fisica_frequente_em_horas]]+ 0.1)</f>
        <v>0.1</v>
      </c>
      <c r="S1959" s="1">
        <f>(Tabela2[[#This Row],[TUE_tempo_uso_aparelhos_em_horas]]/Tabela2[[#This Row],[FAF_Var]])</f>
        <v>1.5366899999999999</v>
      </c>
      <c r="T1959">
        <f>(Tabela2[[#This Row],[CAEC_lanche_entre_refeicoes]]*Tabela2[[#This Row],[FAVC_consumo_frequente_de_alimentos_mt_caloricos]])</f>
        <v>1</v>
      </c>
      <c r="U1959" s="1">
        <f>IF(OR(Tabela2[[#This Row],[MTRANS]]="Walking",Tabela2[[#This Row],[MTRANS]]="Bike"),Tabela2[[#This Row],[FAF_atividade_fisica_frequente_em_horas]]+1,M1959)</f>
        <v>0</v>
      </c>
      <c r="V1959">
        <f>(Tabela2[[#This Row],[SMOKE]]+Tabela2[[#This Row],[CALC_bebe_alcool_frequentemente]])</f>
        <v>1</v>
      </c>
      <c r="W1959" s="8">
        <f>(Tabela2[[#This Row],[Weight]]/(Tabela2[[#This Row],[Height]] ^2))</f>
        <v>41.527273225703361</v>
      </c>
    </row>
    <row r="1960" spans="1:23" x14ac:dyDescent="0.25">
      <c r="A1960" t="s">
        <v>13</v>
      </c>
      <c r="B1960" s="7">
        <v>26</v>
      </c>
      <c r="C1960" s="4">
        <v>1.643167</v>
      </c>
      <c r="D1960" s="7">
        <v>111.894229</v>
      </c>
      <c r="E1960">
        <v>1</v>
      </c>
      <c r="F1960">
        <v>1</v>
      </c>
      <c r="G1960" s="2">
        <v>3</v>
      </c>
      <c r="H1960" s="2">
        <v>3</v>
      </c>
      <c r="I1960">
        <v>1</v>
      </c>
      <c r="J1960">
        <v>0</v>
      </c>
      <c r="K1960" s="2">
        <v>2.7200500000000001</v>
      </c>
      <c r="L1960">
        <v>0</v>
      </c>
      <c r="M1960" s="7">
        <v>0</v>
      </c>
      <c r="N1960" s="7">
        <v>0.127443</v>
      </c>
      <c r="O1960">
        <v>1</v>
      </c>
      <c r="P1960" t="s">
        <v>14</v>
      </c>
      <c r="Q1960">
        <v>6</v>
      </c>
      <c r="R1960" s="8">
        <f>(Tabela2[[#This Row],[FAF_atividade_fisica_frequente_em_horas]]+ 0.1)</f>
        <v>0.1</v>
      </c>
      <c r="S1960" s="1">
        <f>(Tabela2[[#This Row],[TUE_tempo_uso_aparelhos_em_horas]]/Tabela2[[#This Row],[FAF_Var]])</f>
        <v>1.27443</v>
      </c>
      <c r="T1960">
        <f>(Tabela2[[#This Row],[CAEC_lanche_entre_refeicoes]]*Tabela2[[#This Row],[FAVC_consumo_frequente_de_alimentos_mt_caloricos]])</f>
        <v>1</v>
      </c>
      <c r="U1960" s="1">
        <f>IF(OR(Tabela2[[#This Row],[MTRANS]]="Walking",Tabela2[[#This Row],[MTRANS]]="Bike"),Tabela2[[#This Row],[FAF_atividade_fisica_frequente_em_horas]]+1,M1960)</f>
        <v>0</v>
      </c>
      <c r="V1960">
        <f>(Tabela2[[#This Row],[SMOKE]]+Tabela2[[#This Row],[CALC_bebe_alcool_frequentemente]])</f>
        <v>1</v>
      </c>
      <c r="W1960" s="8">
        <f>(Tabela2[[#This Row],[Weight]]/(Tabela2[[#This Row],[Height]] ^2))</f>
        <v>41.4423409600643</v>
      </c>
    </row>
    <row r="1961" spans="1:23" x14ac:dyDescent="0.25">
      <c r="A1961" t="s">
        <v>13</v>
      </c>
      <c r="B1961" s="7">
        <v>25.966504</v>
      </c>
      <c r="C1961" s="4">
        <v>1.63073</v>
      </c>
      <c r="D1961" s="7">
        <v>104.790549</v>
      </c>
      <c r="E1961">
        <v>1</v>
      </c>
      <c r="F1961">
        <v>1</v>
      </c>
      <c r="G1961" s="2">
        <v>3</v>
      </c>
      <c r="H1961" s="2">
        <v>3</v>
      </c>
      <c r="I1961">
        <v>1</v>
      </c>
      <c r="J1961">
        <v>0</v>
      </c>
      <c r="K1961" s="2">
        <v>2.4360970000000002</v>
      </c>
      <c r="L1961">
        <v>0</v>
      </c>
      <c r="M1961" s="7">
        <v>0.12917799999999999</v>
      </c>
      <c r="N1961" s="7">
        <v>0.68373600000000001</v>
      </c>
      <c r="O1961">
        <v>1</v>
      </c>
      <c r="P1961" t="s">
        <v>14</v>
      </c>
      <c r="Q1961">
        <v>6</v>
      </c>
      <c r="R1961" s="8">
        <f>(Tabela2[[#This Row],[FAF_atividade_fisica_frequente_em_horas]]+ 0.1)</f>
        <v>0.22917799999999999</v>
      </c>
      <c r="S1961" s="1">
        <f>(Tabela2[[#This Row],[TUE_tempo_uso_aparelhos_em_horas]]/Tabela2[[#This Row],[FAF_Var]])</f>
        <v>2.9834277286650552</v>
      </c>
      <c r="T1961">
        <f>(Tabela2[[#This Row],[CAEC_lanche_entre_refeicoes]]*Tabela2[[#This Row],[FAVC_consumo_frequente_de_alimentos_mt_caloricos]])</f>
        <v>1</v>
      </c>
      <c r="U1961" s="1">
        <f>IF(OR(Tabela2[[#This Row],[MTRANS]]="Walking",Tabela2[[#This Row],[MTRANS]]="Bike"),Tabela2[[#This Row],[FAF_atividade_fisica_frequente_em_horas]]+1,M1961)</f>
        <v>0.12917799999999999</v>
      </c>
      <c r="V1961">
        <f>(Tabela2[[#This Row],[SMOKE]]+Tabela2[[#This Row],[CALC_bebe_alcool_frequentemente]])</f>
        <v>1</v>
      </c>
      <c r="W1961" s="8">
        <f>(Tabela2[[#This Row],[Weight]]/(Tabela2[[#This Row],[Height]] ^2))</f>
        <v>39.405604480112764</v>
      </c>
    </row>
    <row r="1962" spans="1:23" x14ac:dyDescent="0.25">
      <c r="A1962" t="s">
        <v>13</v>
      </c>
      <c r="B1962" s="7">
        <v>25.950897999999999</v>
      </c>
      <c r="C1962" s="4">
        <v>1.649867</v>
      </c>
      <c r="D1962" s="7">
        <v>104.79103499999999</v>
      </c>
      <c r="E1962">
        <v>1</v>
      </c>
      <c r="F1962">
        <v>1</v>
      </c>
      <c r="G1962" s="2">
        <v>3</v>
      </c>
      <c r="H1962" s="2">
        <v>3</v>
      </c>
      <c r="I1962">
        <v>1</v>
      </c>
      <c r="J1962">
        <v>0</v>
      </c>
      <c r="K1962" s="2">
        <v>2.5356290000000001</v>
      </c>
      <c r="L1962">
        <v>0</v>
      </c>
      <c r="M1962" s="7">
        <v>0.15271299999999999</v>
      </c>
      <c r="N1962" s="7">
        <v>0.7702</v>
      </c>
      <c r="O1962">
        <v>1</v>
      </c>
      <c r="P1962" t="s">
        <v>14</v>
      </c>
      <c r="Q1962">
        <v>6</v>
      </c>
      <c r="R1962" s="8">
        <f>(Tabela2[[#This Row],[FAF_atividade_fisica_frequente_em_horas]]+ 0.1)</f>
        <v>0.25271299999999997</v>
      </c>
      <c r="S1962" s="1">
        <f>(Tabela2[[#This Row],[TUE_tempo_uso_aparelhos_em_horas]]/Tabela2[[#This Row],[FAF_Var]])</f>
        <v>3.0477260766165575</v>
      </c>
      <c r="T1962">
        <f>(Tabela2[[#This Row],[CAEC_lanche_entre_refeicoes]]*Tabela2[[#This Row],[FAVC_consumo_frequente_de_alimentos_mt_caloricos]])</f>
        <v>1</v>
      </c>
      <c r="U1962" s="1">
        <f>IF(OR(Tabela2[[#This Row],[MTRANS]]="Walking",Tabela2[[#This Row],[MTRANS]]="Bike"),Tabela2[[#This Row],[FAF_atividade_fisica_frequente_em_horas]]+1,M1962)</f>
        <v>0.15271299999999999</v>
      </c>
      <c r="V1962">
        <f>(Tabela2[[#This Row],[SMOKE]]+Tabela2[[#This Row],[CALC_bebe_alcool_frequentemente]])</f>
        <v>1</v>
      </c>
      <c r="W1962" s="8">
        <f>(Tabela2[[#This Row],[Weight]]/(Tabela2[[#This Row],[Height]] ^2))</f>
        <v>38.496944215920628</v>
      </c>
    </row>
    <row r="1963" spans="1:23" x14ac:dyDescent="0.25">
      <c r="A1963" t="s">
        <v>13</v>
      </c>
      <c r="B1963" s="7">
        <v>26</v>
      </c>
      <c r="C1963" s="4">
        <v>1.6135740000000001</v>
      </c>
      <c r="D1963" s="7">
        <v>107.01225599999999</v>
      </c>
      <c r="E1963">
        <v>1</v>
      </c>
      <c r="F1963">
        <v>1</v>
      </c>
      <c r="G1963" s="2">
        <v>3</v>
      </c>
      <c r="H1963" s="2">
        <v>3</v>
      </c>
      <c r="I1963">
        <v>1</v>
      </c>
      <c r="J1963">
        <v>0</v>
      </c>
      <c r="K1963" s="2">
        <v>2.678779</v>
      </c>
      <c r="L1963">
        <v>0</v>
      </c>
      <c r="M1963" s="7">
        <v>0</v>
      </c>
      <c r="N1963" s="7">
        <v>0.50884799999999997</v>
      </c>
      <c r="O1963">
        <v>1</v>
      </c>
      <c r="P1963" t="s">
        <v>14</v>
      </c>
      <c r="Q1963">
        <v>6</v>
      </c>
      <c r="R1963" s="8">
        <f>(Tabela2[[#This Row],[FAF_atividade_fisica_frequente_em_horas]]+ 0.1)</f>
        <v>0.1</v>
      </c>
      <c r="S1963" s="1">
        <f>(Tabela2[[#This Row],[TUE_tempo_uso_aparelhos_em_horas]]/Tabela2[[#This Row],[FAF_Var]])</f>
        <v>5.0884799999999997</v>
      </c>
      <c r="T1963">
        <f>(Tabela2[[#This Row],[CAEC_lanche_entre_refeicoes]]*Tabela2[[#This Row],[FAVC_consumo_frequente_de_alimentos_mt_caloricos]])</f>
        <v>1</v>
      </c>
      <c r="U1963" s="1">
        <f>IF(OR(Tabela2[[#This Row],[MTRANS]]="Walking",Tabela2[[#This Row],[MTRANS]]="Bike"),Tabela2[[#This Row],[FAF_atividade_fisica_frequente_em_horas]]+1,M1963)</f>
        <v>0</v>
      </c>
      <c r="V1963">
        <f>(Tabela2[[#This Row],[SMOKE]]+Tabela2[[#This Row],[CALC_bebe_alcool_frequentemente]])</f>
        <v>1</v>
      </c>
      <c r="W1963" s="8">
        <f>(Tabela2[[#This Row],[Weight]]/(Tabela2[[#This Row],[Height]] ^2))</f>
        <v>41.101317665691717</v>
      </c>
    </row>
    <row r="1964" spans="1:23" x14ac:dyDescent="0.25">
      <c r="A1964" t="s">
        <v>13</v>
      </c>
      <c r="B1964" s="7">
        <v>26</v>
      </c>
      <c r="C1964" s="4">
        <v>1.627532</v>
      </c>
      <c r="D1964" s="7">
        <v>106.69053</v>
      </c>
      <c r="E1964">
        <v>1</v>
      </c>
      <c r="F1964">
        <v>1</v>
      </c>
      <c r="G1964" s="2">
        <v>3</v>
      </c>
      <c r="H1964" s="2">
        <v>3</v>
      </c>
      <c r="I1964">
        <v>1</v>
      </c>
      <c r="J1964">
        <v>0</v>
      </c>
      <c r="K1964" s="2">
        <v>2.5697130000000001</v>
      </c>
      <c r="L1964">
        <v>0</v>
      </c>
      <c r="M1964" s="7">
        <v>0</v>
      </c>
      <c r="N1964" s="7">
        <v>0.39697199999999999</v>
      </c>
      <c r="O1964">
        <v>1</v>
      </c>
      <c r="P1964" t="s">
        <v>14</v>
      </c>
      <c r="Q1964">
        <v>6</v>
      </c>
      <c r="R1964" s="8">
        <f>(Tabela2[[#This Row],[FAF_atividade_fisica_frequente_em_horas]]+ 0.1)</f>
        <v>0.1</v>
      </c>
      <c r="S1964" s="1">
        <f>(Tabela2[[#This Row],[TUE_tempo_uso_aparelhos_em_horas]]/Tabela2[[#This Row],[FAF_Var]])</f>
        <v>3.9697199999999997</v>
      </c>
      <c r="T1964">
        <f>(Tabela2[[#This Row],[CAEC_lanche_entre_refeicoes]]*Tabela2[[#This Row],[FAVC_consumo_frequente_de_alimentos_mt_caloricos]])</f>
        <v>1</v>
      </c>
      <c r="U1964" s="1">
        <f>IF(OR(Tabela2[[#This Row],[MTRANS]]="Walking",Tabela2[[#This Row],[MTRANS]]="Bike"),Tabela2[[#This Row],[FAF_atividade_fisica_frequente_em_horas]]+1,M1964)</f>
        <v>0</v>
      </c>
      <c r="V1964">
        <f>(Tabela2[[#This Row],[SMOKE]]+Tabela2[[#This Row],[CALC_bebe_alcool_frequentemente]])</f>
        <v>1</v>
      </c>
      <c r="W1964" s="8">
        <f>(Tabela2[[#This Row],[Weight]]/(Tabela2[[#This Row],[Height]] ^2))</f>
        <v>40.277898207084249</v>
      </c>
    </row>
    <row r="1965" spans="1:23" x14ac:dyDescent="0.25">
      <c r="A1965" t="s">
        <v>13</v>
      </c>
      <c r="B1965" s="7">
        <v>20.848607999999999</v>
      </c>
      <c r="C1965" s="4">
        <v>1.7266060000000001</v>
      </c>
      <c r="D1965" s="7">
        <v>131.76806999999999</v>
      </c>
      <c r="E1965">
        <v>1</v>
      </c>
      <c r="F1965">
        <v>1</v>
      </c>
      <c r="G1965" s="2">
        <v>3</v>
      </c>
      <c r="H1965" s="2">
        <v>3</v>
      </c>
      <c r="I1965">
        <v>1</v>
      </c>
      <c r="J1965">
        <v>0</v>
      </c>
      <c r="K1965" s="2">
        <v>1.759352</v>
      </c>
      <c r="L1965">
        <v>0</v>
      </c>
      <c r="M1965" s="7">
        <v>1.4699279999999999</v>
      </c>
      <c r="N1965" s="7">
        <v>0.95043800000000001</v>
      </c>
      <c r="O1965">
        <v>1</v>
      </c>
      <c r="P1965" t="s">
        <v>14</v>
      </c>
      <c r="Q1965">
        <v>6</v>
      </c>
      <c r="R1965" s="8">
        <f>(Tabela2[[#This Row],[FAF_atividade_fisica_frequente_em_horas]]+ 0.1)</f>
        <v>1.569928</v>
      </c>
      <c r="S1965" s="1">
        <f>(Tabela2[[#This Row],[TUE_tempo_uso_aparelhos_em_horas]]/Tabela2[[#This Row],[FAF_Var]])</f>
        <v>0.60540228596470669</v>
      </c>
      <c r="T1965">
        <f>(Tabela2[[#This Row],[CAEC_lanche_entre_refeicoes]]*Tabela2[[#This Row],[FAVC_consumo_frequente_de_alimentos_mt_caloricos]])</f>
        <v>1</v>
      </c>
      <c r="U1965" s="1">
        <f>IF(OR(Tabela2[[#This Row],[MTRANS]]="Walking",Tabela2[[#This Row],[MTRANS]]="Bike"),Tabela2[[#This Row],[FAF_atividade_fisica_frequente_em_horas]]+1,M1965)</f>
        <v>1.4699279999999999</v>
      </c>
      <c r="V1965">
        <f>(Tabela2[[#This Row],[SMOKE]]+Tabela2[[#This Row],[CALC_bebe_alcool_frequentemente]])</f>
        <v>1</v>
      </c>
      <c r="W1965" s="8">
        <f>(Tabela2[[#This Row],[Weight]]/(Tabela2[[#This Row],[Height]] ^2))</f>
        <v>44.200144929010477</v>
      </c>
    </row>
    <row r="1966" spans="1:23" x14ac:dyDescent="0.25">
      <c r="A1966" t="s">
        <v>13</v>
      </c>
      <c r="B1966" s="7">
        <v>20.801791000000001</v>
      </c>
      <c r="C1966" s="4">
        <v>1.721476</v>
      </c>
      <c r="D1966" s="7">
        <v>131.04227399999999</v>
      </c>
      <c r="E1966">
        <v>1</v>
      </c>
      <c r="F1966">
        <v>1</v>
      </c>
      <c r="G1966" s="2">
        <v>3</v>
      </c>
      <c r="H1966" s="2">
        <v>3</v>
      </c>
      <c r="I1966">
        <v>1</v>
      </c>
      <c r="J1966">
        <v>0</v>
      </c>
      <c r="K1966" s="2">
        <v>1.8371839999999999</v>
      </c>
      <c r="L1966">
        <v>0</v>
      </c>
      <c r="M1966" s="7">
        <v>1.5251650000000001</v>
      </c>
      <c r="N1966" s="7">
        <v>0.92644300000000002</v>
      </c>
      <c r="O1966">
        <v>1</v>
      </c>
      <c r="P1966" t="s">
        <v>14</v>
      </c>
      <c r="Q1966">
        <v>6</v>
      </c>
      <c r="R1966" s="8">
        <f>(Tabela2[[#This Row],[FAF_atividade_fisica_frequente_em_horas]]+ 0.1)</f>
        <v>1.6251650000000002</v>
      </c>
      <c r="S1966" s="1">
        <f>(Tabela2[[#This Row],[TUE_tempo_uso_aparelhos_em_horas]]/Tabela2[[#This Row],[FAF_Var]])</f>
        <v>0.57006088612540873</v>
      </c>
      <c r="T1966">
        <f>(Tabela2[[#This Row],[CAEC_lanche_entre_refeicoes]]*Tabela2[[#This Row],[FAVC_consumo_frequente_de_alimentos_mt_caloricos]])</f>
        <v>1</v>
      </c>
      <c r="U1966" s="1">
        <f>IF(OR(Tabela2[[#This Row],[MTRANS]]="Walking",Tabela2[[#This Row],[MTRANS]]="Bike"),Tabela2[[#This Row],[FAF_atividade_fisica_frequente_em_horas]]+1,M1966)</f>
        <v>1.5251650000000001</v>
      </c>
      <c r="V1966">
        <f>(Tabela2[[#This Row],[SMOKE]]+Tabela2[[#This Row],[CALC_bebe_alcool_frequentemente]])</f>
        <v>1</v>
      </c>
      <c r="W1966" s="8">
        <f>(Tabela2[[#This Row],[Weight]]/(Tabela2[[#This Row],[Height]] ^2))</f>
        <v>44.219056941909365</v>
      </c>
    </row>
    <row r="1967" spans="1:23" x14ac:dyDescent="0.25">
      <c r="A1967" t="s">
        <v>13</v>
      </c>
      <c r="B1967" s="7">
        <v>23.712641000000001</v>
      </c>
      <c r="C1967" s="4">
        <v>1.742901</v>
      </c>
      <c r="D1967" s="7">
        <v>132.80709999999999</v>
      </c>
      <c r="E1967">
        <v>1</v>
      </c>
      <c r="F1967">
        <v>1</v>
      </c>
      <c r="G1967" s="2">
        <v>3</v>
      </c>
      <c r="H1967" s="2">
        <v>3</v>
      </c>
      <c r="I1967">
        <v>1</v>
      </c>
      <c r="J1967">
        <v>0</v>
      </c>
      <c r="K1967" s="2">
        <v>2.856795</v>
      </c>
      <c r="L1967">
        <v>0</v>
      </c>
      <c r="M1967" s="7">
        <v>1.0464629999999999</v>
      </c>
      <c r="N1967" s="7">
        <v>0.58616299999999999</v>
      </c>
      <c r="O1967">
        <v>1</v>
      </c>
      <c r="P1967" t="s">
        <v>14</v>
      </c>
      <c r="Q1967">
        <v>6</v>
      </c>
      <c r="R1967" s="8">
        <f>(Tabela2[[#This Row],[FAF_atividade_fisica_frequente_em_horas]]+ 0.1)</f>
        <v>1.146463</v>
      </c>
      <c r="S1967" s="1">
        <f>(Tabela2[[#This Row],[TUE_tempo_uso_aparelhos_em_horas]]/Tabela2[[#This Row],[FAF_Var]])</f>
        <v>0.51127947434849619</v>
      </c>
      <c r="T1967">
        <f>(Tabela2[[#This Row],[CAEC_lanche_entre_refeicoes]]*Tabela2[[#This Row],[FAVC_consumo_frequente_de_alimentos_mt_caloricos]])</f>
        <v>1</v>
      </c>
      <c r="U1967" s="1">
        <f>IF(OR(Tabela2[[#This Row],[MTRANS]]="Walking",Tabela2[[#This Row],[MTRANS]]="Bike"),Tabela2[[#This Row],[FAF_atividade_fisica_frequente_em_horas]]+1,M1967)</f>
        <v>1.0464629999999999</v>
      </c>
      <c r="V1967">
        <f>(Tabela2[[#This Row],[SMOKE]]+Tabela2[[#This Row],[CALC_bebe_alcool_frequentemente]])</f>
        <v>1</v>
      </c>
      <c r="W1967" s="8">
        <f>(Tabela2[[#This Row],[Weight]]/(Tabela2[[#This Row],[Height]] ^2))</f>
        <v>43.719567329646068</v>
      </c>
    </row>
    <row r="1968" spans="1:23" x14ac:dyDescent="0.25">
      <c r="A1968" t="s">
        <v>13</v>
      </c>
      <c r="B1968" s="7">
        <v>24.063873999999998</v>
      </c>
      <c r="C1968" s="4">
        <v>1.7373130000000001</v>
      </c>
      <c r="D1968" s="7">
        <v>133.166595</v>
      </c>
      <c r="E1968">
        <v>1</v>
      </c>
      <c r="F1968">
        <v>1</v>
      </c>
      <c r="G1968" s="2">
        <v>3</v>
      </c>
      <c r="H1968" s="2">
        <v>3</v>
      </c>
      <c r="I1968">
        <v>1</v>
      </c>
      <c r="J1968">
        <v>0</v>
      </c>
      <c r="K1968" s="2">
        <v>2.8462589999999999</v>
      </c>
      <c r="L1968">
        <v>0</v>
      </c>
      <c r="M1968" s="7">
        <v>1.2957590000000001</v>
      </c>
      <c r="N1968" s="7">
        <v>0.72315399999999996</v>
      </c>
      <c r="O1968">
        <v>1</v>
      </c>
      <c r="P1968" t="s">
        <v>14</v>
      </c>
      <c r="Q1968">
        <v>6</v>
      </c>
      <c r="R1968" s="8">
        <f>(Tabela2[[#This Row],[FAF_atividade_fisica_frequente_em_horas]]+ 0.1)</f>
        <v>1.3957590000000002</v>
      </c>
      <c r="S1968" s="1">
        <f>(Tabela2[[#This Row],[TUE_tempo_uso_aparelhos_em_horas]]/Tabela2[[#This Row],[FAF_Var]])</f>
        <v>0.51810806879984284</v>
      </c>
      <c r="T1968">
        <f>(Tabela2[[#This Row],[CAEC_lanche_entre_refeicoes]]*Tabela2[[#This Row],[FAVC_consumo_frequente_de_alimentos_mt_caloricos]])</f>
        <v>1</v>
      </c>
      <c r="U1968" s="1">
        <f>IF(OR(Tabela2[[#This Row],[MTRANS]]="Walking",Tabela2[[#This Row],[MTRANS]]="Bike"),Tabela2[[#This Row],[FAF_atividade_fisica_frequente_em_horas]]+1,M1968)</f>
        <v>1.2957590000000001</v>
      </c>
      <c r="V1968">
        <f>(Tabela2[[#This Row],[SMOKE]]+Tabela2[[#This Row],[CALC_bebe_alcool_frequentemente]])</f>
        <v>1</v>
      </c>
      <c r="W1968" s="8">
        <f>(Tabela2[[#This Row],[Weight]]/(Tabela2[[#This Row],[Height]] ^2))</f>
        <v>44.120371070577519</v>
      </c>
    </row>
    <row r="1969" spans="1:23" x14ac:dyDescent="0.25">
      <c r="A1969" t="s">
        <v>13</v>
      </c>
      <c r="B1969" s="7">
        <v>25.957740000000001</v>
      </c>
      <c r="C1969" s="4">
        <v>1.6241399999999999</v>
      </c>
      <c r="D1969" s="7">
        <v>102.233445</v>
      </c>
      <c r="E1969">
        <v>1</v>
      </c>
      <c r="F1969">
        <v>1</v>
      </c>
      <c r="G1969" s="2">
        <v>3</v>
      </c>
      <c r="H1969" s="2">
        <v>3</v>
      </c>
      <c r="I1969">
        <v>1</v>
      </c>
      <c r="J1969">
        <v>0</v>
      </c>
      <c r="K1969" s="2">
        <v>1.0677160000000001</v>
      </c>
      <c r="L1969">
        <v>0</v>
      </c>
      <c r="M1969" s="7">
        <v>3.0540999999999999E-2</v>
      </c>
      <c r="N1969" s="7">
        <v>1</v>
      </c>
      <c r="O1969">
        <v>1</v>
      </c>
      <c r="P1969" t="s">
        <v>14</v>
      </c>
      <c r="Q1969">
        <v>6</v>
      </c>
      <c r="R1969" s="8">
        <f>(Tabela2[[#This Row],[FAF_atividade_fisica_frequente_em_horas]]+ 0.1)</f>
        <v>0.13054100000000002</v>
      </c>
      <c r="S1969" s="1">
        <f>(Tabela2[[#This Row],[TUE_tempo_uso_aparelhos_em_horas]]/Tabela2[[#This Row],[FAF_Var]])</f>
        <v>7.6604285243716523</v>
      </c>
      <c r="T1969">
        <f>(Tabela2[[#This Row],[CAEC_lanche_entre_refeicoes]]*Tabela2[[#This Row],[FAVC_consumo_frequente_de_alimentos_mt_caloricos]])</f>
        <v>1</v>
      </c>
      <c r="U1969" s="1">
        <f>IF(OR(Tabela2[[#This Row],[MTRANS]]="Walking",Tabela2[[#This Row],[MTRANS]]="Bike"),Tabela2[[#This Row],[FAF_atividade_fisica_frequente_em_horas]]+1,M1969)</f>
        <v>3.0540999999999999E-2</v>
      </c>
      <c r="V1969">
        <f>(Tabela2[[#This Row],[SMOKE]]+Tabela2[[#This Row],[CALC_bebe_alcool_frequentemente]])</f>
        <v>1</v>
      </c>
      <c r="W1969" s="8">
        <f>(Tabela2[[#This Row],[Weight]]/(Tabela2[[#This Row],[Height]] ^2))</f>
        <v>38.756635695094928</v>
      </c>
    </row>
    <row r="1970" spans="1:23" x14ac:dyDescent="0.25">
      <c r="A1970" t="s">
        <v>13</v>
      </c>
      <c r="B1970" s="7">
        <v>25.909352999999999</v>
      </c>
      <c r="C1970" s="4">
        <v>1.6440779999999999</v>
      </c>
      <c r="D1970" s="7">
        <v>102.277765</v>
      </c>
      <c r="E1970">
        <v>1</v>
      </c>
      <c r="F1970">
        <v>1</v>
      </c>
      <c r="G1970" s="2">
        <v>3</v>
      </c>
      <c r="H1970" s="2">
        <v>3</v>
      </c>
      <c r="I1970">
        <v>1</v>
      </c>
      <c r="J1970">
        <v>0</v>
      </c>
      <c r="K1970" s="2">
        <v>1.0292410000000001</v>
      </c>
      <c r="L1970">
        <v>0</v>
      </c>
      <c r="M1970" s="7">
        <v>7.5775999999999996E-2</v>
      </c>
      <c r="N1970" s="7">
        <v>1</v>
      </c>
      <c r="O1970">
        <v>1</v>
      </c>
      <c r="P1970" t="s">
        <v>14</v>
      </c>
      <c r="Q1970">
        <v>6</v>
      </c>
      <c r="R1970" s="8">
        <f>(Tabela2[[#This Row],[FAF_atividade_fisica_frequente_em_horas]]+ 0.1)</f>
        <v>0.17577599999999999</v>
      </c>
      <c r="S1970" s="1">
        <f>(Tabela2[[#This Row],[TUE_tempo_uso_aparelhos_em_horas]]/Tabela2[[#This Row],[FAF_Var]])</f>
        <v>5.6890588021117789</v>
      </c>
      <c r="T1970">
        <f>(Tabela2[[#This Row],[CAEC_lanche_entre_refeicoes]]*Tabela2[[#This Row],[FAVC_consumo_frequente_de_alimentos_mt_caloricos]])</f>
        <v>1</v>
      </c>
      <c r="U1970" s="1">
        <f>IF(OR(Tabela2[[#This Row],[MTRANS]]="Walking",Tabela2[[#This Row],[MTRANS]]="Bike"),Tabela2[[#This Row],[FAF_atividade_fisica_frequente_em_horas]]+1,M1970)</f>
        <v>7.5775999999999996E-2</v>
      </c>
      <c r="V1970">
        <f>(Tabela2[[#This Row],[SMOKE]]+Tabela2[[#This Row],[CALC_bebe_alcool_frequentemente]])</f>
        <v>1</v>
      </c>
      <c r="W1970" s="8">
        <f>(Tabela2[[#This Row],[Weight]]/(Tabela2[[#This Row],[Height]] ^2))</f>
        <v>37.838716212487846</v>
      </c>
    </row>
    <row r="1971" spans="1:23" x14ac:dyDescent="0.25">
      <c r="A1971" t="s">
        <v>13</v>
      </c>
      <c r="B1971" s="7">
        <v>25.954995</v>
      </c>
      <c r="C1971" s="4">
        <v>1.5925290000000001</v>
      </c>
      <c r="D1971" s="7">
        <v>102.874549</v>
      </c>
      <c r="E1971">
        <v>1</v>
      </c>
      <c r="F1971">
        <v>1</v>
      </c>
      <c r="G1971" s="2">
        <v>3</v>
      </c>
      <c r="H1971" s="2">
        <v>3</v>
      </c>
      <c r="I1971">
        <v>1</v>
      </c>
      <c r="J1971">
        <v>0</v>
      </c>
      <c r="K1971" s="2">
        <v>1.0744119999999999</v>
      </c>
      <c r="L1971">
        <v>0</v>
      </c>
      <c r="M1971" s="7">
        <v>6.2649999999999997E-3</v>
      </c>
      <c r="N1971" s="7">
        <v>0.84563299999999997</v>
      </c>
      <c r="O1971">
        <v>1</v>
      </c>
      <c r="P1971" t="s">
        <v>14</v>
      </c>
      <c r="Q1971">
        <v>6</v>
      </c>
      <c r="R1971" s="8">
        <f>(Tabela2[[#This Row],[FAF_atividade_fisica_frequente_em_horas]]+ 0.1)</f>
        <v>0.106265</v>
      </c>
      <c r="S1971" s="1">
        <f>(Tabela2[[#This Row],[TUE_tempo_uso_aparelhos_em_horas]]/Tabela2[[#This Row],[FAF_Var]])</f>
        <v>7.9577753728885332</v>
      </c>
      <c r="T1971">
        <f>(Tabela2[[#This Row],[CAEC_lanche_entre_refeicoes]]*Tabela2[[#This Row],[FAVC_consumo_frequente_de_alimentos_mt_caloricos]])</f>
        <v>1</v>
      </c>
      <c r="U1971" s="1">
        <f>IF(OR(Tabela2[[#This Row],[MTRANS]]="Walking",Tabela2[[#This Row],[MTRANS]]="Bike"),Tabela2[[#This Row],[FAF_atividade_fisica_frequente_em_horas]]+1,M1971)</f>
        <v>6.2649999999999997E-3</v>
      </c>
      <c r="V1971">
        <f>(Tabela2[[#This Row],[SMOKE]]+Tabela2[[#This Row],[CALC_bebe_alcool_frequentemente]])</f>
        <v>1</v>
      </c>
      <c r="W1971" s="8">
        <f>(Tabela2[[#This Row],[Weight]]/(Tabela2[[#This Row],[Height]] ^2))</f>
        <v>40.563296786882603</v>
      </c>
    </row>
    <row r="1972" spans="1:23" x14ac:dyDescent="0.25">
      <c r="A1972" t="s">
        <v>13</v>
      </c>
      <c r="B1972" s="7">
        <v>25.908829000000001</v>
      </c>
      <c r="C1972" s="4">
        <v>1.607734</v>
      </c>
      <c r="D1972" s="7">
        <v>102.305767</v>
      </c>
      <c r="E1972">
        <v>1</v>
      </c>
      <c r="F1972">
        <v>1</v>
      </c>
      <c r="G1972" s="2">
        <v>3</v>
      </c>
      <c r="H1972" s="2">
        <v>3</v>
      </c>
      <c r="I1972">
        <v>1</v>
      </c>
      <c r="J1972">
        <v>0</v>
      </c>
      <c r="K1972" s="2">
        <v>1.0305009999999999</v>
      </c>
      <c r="L1972">
        <v>0</v>
      </c>
      <c r="M1972" s="7">
        <v>6.5820000000000004E-2</v>
      </c>
      <c r="N1972" s="7">
        <v>0.99147300000000005</v>
      </c>
      <c r="O1972">
        <v>1</v>
      </c>
      <c r="P1972" t="s">
        <v>14</v>
      </c>
      <c r="Q1972">
        <v>6</v>
      </c>
      <c r="R1972" s="8">
        <f>(Tabela2[[#This Row],[FAF_atividade_fisica_frequente_em_horas]]+ 0.1)</f>
        <v>0.16582000000000002</v>
      </c>
      <c r="S1972" s="1">
        <f>(Tabela2[[#This Row],[TUE_tempo_uso_aparelhos_em_horas]]/Tabela2[[#This Row],[FAF_Var]])</f>
        <v>5.9792123989868529</v>
      </c>
      <c r="T1972">
        <f>(Tabela2[[#This Row],[CAEC_lanche_entre_refeicoes]]*Tabela2[[#This Row],[FAVC_consumo_frequente_de_alimentos_mt_caloricos]])</f>
        <v>1</v>
      </c>
      <c r="U1972" s="1">
        <f>IF(OR(Tabela2[[#This Row],[MTRANS]]="Walking",Tabela2[[#This Row],[MTRANS]]="Bike"),Tabela2[[#This Row],[FAF_atividade_fisica_frequente_em_horas]]+1,M1972)</f>
        <v>6.5820000000000004E-2</v>
      </c>
      <c r="V1972">
        <f>(Tabela2[[#This Row],[SMOKE]]+Tabela2[[#This Row],[CALC_bebe_alcool_frequentemente]])</f>
        <v>1</v>
      </c>
      <c r="W1972" s="8">
        <f>(Tabela2[[#This Row],[Weight]]/(Tabela2[[#This Row],[Height]] ^2))</f>
        <v>39.579629383762878</v>
      </c>
    </row>
    <row r="1973" spans="1:23" x14ac:dyDescent="0.25">
      <c r="A1973" t="s">
        <v>13</v>
      </c>
      <c r="B1973" s="7">
        <v>19.297004000000001</v>
      </c>
      <c r="C1973" s="4">
        <v>1.8172710000000001</v>
      </c>
      <c r="D1973" s="7">
        <v>141.91780199999999</v>
      </c>
      <c r="E1973">
        <v>1</v>
      </c>
      <c r="F1973">
        <v>1</v>
      </c>
      <c r="G1973" s="2">
        <v>3</v>
      </c>
      <c r="H1973" s="2">
        <v>3</v>
      </c>
      <c r="I1973">
        <v>1</v>
      </c>
      <c r="J1973">
        <v>0</v>
      </c>
      <c r="K1973" s="2">
        <v>2.699675</v>
      </c>
      <c r="L1973">
        <v>0</v>
      </c>
      <c r="M1973" s="7">
        <v>1.520818</v>
      </c>
      <c r="N1973" s="7">
        <v>0.76398999999999995</v>
      </c>
      <c r="O1973">
        <v>1</v>
      </c>
      <c r="P1973" t="s">
        <v>14</v>
      </c>
      <c r="Q1973">
        <v>6</v>
      </c>
      <c r="R1973" s="8">
        <f>(Tabela2[[#This Row],[FAF_atividade_fisica_frequente_em_horas]]+ 0.1)</f>
        <v>1.6208180000000001</v>
      </c>
      <c r="S1973" s="1">
        <f>(Tabela2[[#This Row],[TUE_tempo_uso_aparelhos_em_horas]]/Tabela2[[#This Row],[FAF_Var]])</f>
        <v>0.47136075734598204</v>
      </c>
      <c r="T1973">
        <f>(Tabela2[[#This Row],[CAEC_lanche_entre_refeicoes]]*Tabela2[[#This Row],[FAVC_consumo_frequente_de_alimentos_mt_caloricos]])</f>
        <v>1</v>
      </c>
      <c r="U1973" s="1">
        <f>IF(OR(Tabela2[[#This Row],[MTRANS]]="Walking",Tabela2[[#This Row],[MTRANS]]="Bike"),Tabela2[[#This Row],[FAF_atividade_fisica_frequente_em_horas]]+1,M1973)</f>
        <v>1.520818</v>
      </c>
      <c r="V1973">
        <f>(Tabela2[[#This Row],[SMOKE]]+Tabela2[[#This Row],[CALC_bebe_alcool_frequentemente]])</f>
        <v>1</v>
      </c>
      <c r="W1973" s="8">
        <f>(Tabela2[[#This Row],[Weight]]/(Tabela2[[#This Row],[Height]] ^2))</f>
        <v>42.973179149031317</v>
      </c>
    </row>
    <row r="1974" spans="1:23" x14ac:dyDescent="0.25">
      <c r="A1974" t="s">
        <v>13</v>
      </c>
      <c r="B1974" s="7">
        <v>18.301773000000001</v>
      </c>
      <c r="C1974" s="4">
        <v>1.808765</v>
      </c>
      <c r="D1974" s="7">
        <v>140.29201800000001</v>
      </c>
      <c r="E1974">
        <v>1</v>
      </c>
      <c r="F1974">
        <v>1</v>
      </c>
      <c r="G1974" s="2">
        <v>3</v>
      </c>
      <c r="H1974" s="2">
        <v>3</v>
      </c>
      <c r="I1974">
        <v>1</v>
      </c>
      <c r="J1974">
        <v>0</v>
      </c>
      <c r="K1974" s="2">
        <v>2.830247</v>
      </c>
      <c r="L1974">
        <v>0</v>
      </c>
      <c r="M1974" s="7">
        <v>1.7831379999999999</v>
      </c>
      <c r="N1974" s="7">
        <v>0.78906399999999999</v>
      </c>
      <c r="O1974">
        <v>1</v>
      </c>
      <c r="P1974" t="s">
        <v>14</v>
      </c>
      <c r="Q1974">
        <v>6</v>
      </c>
      <c r="R1974" s="8">
        <f>(Tabela2[[#This Row],[FAF_atividade_fisica_frequente_em_horas]]+ 0.1)</f>
        <v>1.883138</v>
      </c>
      <c r="S1974" s="1">
        <f>(Tabela2[[#This Row],[TUE_tempo_uso_aparelhos_em_horas]]/Tabela2[[#This Row],[FAF_Var]])</f>
        <v>0.41901549435038749</v>
      </c>
      <c r="T1974">
        <f>(Tabela2[[#This Row],[CAEC_lanche_entre_refeicoes]]*Tabela2[[#This Row],[FAVC_consumo_frequente_de_alimentos_mt_caloricos]])</f>
        <v>1</v>
      </c>
      <c r="U1974" s="1">
        <f>IF(OR(Tabela2[[#This Row],[MTRANS]]="Walking",Tabela2[[#This Row],[MTRANS]]="Bike"),Tabela2[[#This Row],[FAF_atividade_fisica_frequente_em_horas]]+1,M1974)</f>
        <v>1.7831379999999999</v>
      </c>
      <c r="V1974">
        <f>(Tabela2[[#This Row],[SMOKE]]+Tabela2[[#This Row],[CALC_bebe_alcool_frequentemente]])</f>
        <v>1</v>
      </c>
      <c r="W1974" s="8">
        <f>(Tabela2[[#This Row],[Weight]]/(Tabela2[[#This Row],[Height]] ^2))</f>
        <v>42.881371858437511</v>
      </c>
    </row>
    <row r="1975" spans="1:23" x14ac:dyDescent="0.25">
      <c r="A1975" t="s">
        <v>13</v>
      </c>
      <c r="B1975" s="7">
        <v>19.872667</v>
      </c>
      <c r="C1975" s="4">
        <v>1.817231</v>
      </c>
      <c r="D1975" s="7">
        <v>152.37191100000001</v>
      </c>
      <c r="E1975">
        <v>1</v>
      </c>
      <c r="F1975">
        <v>1</v>
      </c>
      <c r="G1975" s="2">
        <v>3</v>
      </c>
      <c r="H1975" s="2">
        <v>3</v>
      </c>
      <c r="I1975">
        <v>1</v>
      </c>
      <c r="J1975">
        <v>0</v>
      </c>
      <c r="K1975" s="2">
        <v>2.3055210000000002</v>
      </c>
      <c r="L1975">
        <v>0</v>
      </c>
      <c r="M1975" s="7">
        <v>1.956278</v>
      </c>
      <c r="N1975" s="7">
        <v>0.92376000000000003</v>
      </c>
      <c r="O1975">
        <v>1</v>
      </c>
      <c r="P1975" t="s">
        <v>14</v>
      </c>
      <c r="Q1975">
        <v>6</v>
      </c>
      <c r="R1975" s="8">
        <f>(Tabela2[[#This Row],[FAF_atividade_fisica_frequente_em_horas]]+ 0.1)</f>
        <v>2.0562779999999998</v>
      </c>
      <c r="S1975" s="1">
        <f>(Tabela2[[#This Row],[TUE_tempo_uso_aparelhos_em_horas]]/Tabela2[[#This Row],[FAF_Var]])</f>
        <v>0.44923886750721453</v>
      </c>
      <c r="T1975">
        <f>(Tabela2[[#This Row],[CAEC_lanche_entre_refeicoes]]*Tabela2[[#This Row],[FAVC_consumo_frequente_de_alimentos_mt_caloricos]])</f>
        <v>1</v>
      </c>
      <c r="U1975" s="1">
        <f>IF(OR(Tabela2[[#This Row],[MTRANS]]="Walking",Tabela2[[#This Row],[MTRANS]]="Bike"),Tabela2[[#This Row],[FAF_atividade_fisica_frequente_em_horas]]+1,M1975)</f>
        <v>1.956278</v>
      </c>
      <c r="V1975">
        <f>(Tabela2[[#This Row],[SMOKE]]+Tabela2[[#This Row],[CALC_bebe_alcool_frequentemente]])</f>
        <v>1</v>
      </c>
      <c r="W1975" s="8">
        <f>(Tabela2[[#This Row],[Weight]]/(Tabela2[[#This Row],[Height]] ^2))</f>
        <v>46.140749068530873</v>
      </c>
    </row>
    <row r="1976" spans="1:23" x14ac:dyDescent="0.25">
      <c r="A1976" t="s">
        <v>13</v>
      </c>
      <c r="B1976" s="7">
        <v>18.137820000000001</v>
      </c>
      <c r="C1976" s="4">
        <v>1.819728</v>
      </c>
      <c r="D1976" s="7">
        <v>151.27853200000001</v>
      </c>
      <c r="E1976">
        <v>1</v>
      </c>
      <c r="F1976">
        <v>1</v>
      </c>
      <c r="G1976" s="2">
        <v>3</v>
      </c>
      <c r="H1976" s="2">
        <v>3</v>
      </c>
      <c r="I1976">
        <v>1</v>
      </c>
      <c r="J1976">
        <v>0</v>
      </c>
      <c r="K1976" s="2">
        <v>2.155926</v>
      </c>
      <c r="L1976">
        <v>0</v>
      </c>
      <c r="M1976" s="7">
        <v>1.9998359999999999</v>
      </c>
      <c r="N1976" s="7">
        <v>0.94603000000000004</v>
      </c>
      <c r="O1976">
        <v>1</v>
      </c>
      <c r="P1976" t="s">
        <v>14</v>
      </c>
      <c r="Q1976">
        <v>6</v>
      </c>
      <c r="R1976" s="8">
        <f>(Tabela2[[#This Row],[FAF_atividade_fisica_frequente_em_horas]]+ 0.1)</f>
        <v>2.0998359999999998</v>
      </c>
      <c r="S1976" s="1">
        <f>(Tabela2[[#This Row],[TUE_tempo_uso_aparelhos_em_horas]]/Tabela2[[#This Row],[FAF_Var]])</f>
        <v>0.45052566009916972</v>
      </c>
      <c r="T1976">
        <f>(Tabela2[[#This Row],[CAEC_lanche_entre_refeicoes]]*Tabela2[[#This Row],[FAVC_consumo_frequente_de_alimentos_mt_caloricos]])</f>
        <v>1</v>
      </c>
      <c r="U1976" s="1">
        <f>IF(OR(Tabela2[[#This Row],[MTRANS]]="Walking",Tabela2[[#This Row],[MTRANS]]="Bike"),Tabela2[[#This Row],[FAF_atividade_fisica_frequente_em_horas]]+1,M1976)</f>
        <v>1.9998359999999999</v>
      </c>
      <c r="V1976">
        <f>(Tabela2[[#This Row],[SMOKE]]+Tabela2[[#This Row],[CALC_bebe_alcool_frequentemente]])</f>
        <v>1</v>
      </c>
      <c r="W1976" s="8">
        <f>(Tabela2[[#This Row],[Weight]]/(Tabela2[[#This Row],[Height]] ^2))</f>
        <v>45.684023505043193</v>
      </c>
    </row>
    <row r="1977" spans="1:23" x14ac:dyDescent="0.25">
      <c r="A1977" t="s">
        <v>13</v>
      </c>
      <c r="B1977" s="7">
        <v>26</v>
      </c>
      <c r="C1977" s="4">
        <v>1.6564650000000001</v>
      </c>
      <c r="D1977" s="7">
        <v>111.949972</v>
      </c>
      <c r="E1977">
        <v>1</v>
      </c>
      <c r="F1977">
        <v>1</v>
      </c>
      <c r="G1977" s="2">
        <v>3</v>
      </c>
      <c r="H1977" s="2">
        <v>3</v>
      </c>
      <c r="I1977">
        <v>1</v>
      </c>
      <c r="J1977">
        <v>0</v>
      </c>
      <c r="K1977" s="2">
        <v>2.784303</v>
      </c>
      <c r="L1977">
        <v>0</v>
      </c>
      <c r="M1977" s="7">
        <v>0</v>
      </c>
      <c r="N1977" s="7">
        <v>0.127775</v>
      </c>
      <c r="O1977">
        <v>1</v>
      </c>
      <c r="P1977" t="s">
        <v>14</v>
      </c>
      <c r="Q1977">
        <v>6</v>
      </c>
      <c r="R1977" s="8">
        <f>(Tabela2[[#This Row],[FAF_atividade_fisica_frequente_em_horas]]+ 0.1)</f>
        <v>0.1</v>
      </c>
      <c r="S1977" s="1">
        <f>(Tabela2[[#This Row],[TUE_tempo_uso_aparelhos_em_horas]]/Tabela2[[#This Row],[FAF_Var]])</f>
        <v>1.2777499999999999</v>
      </c>
      <c r="T1977">
        <f>(Tabela2[[#This Row],[CAEC_lanche_entre_refeicoes]]*Tabela2[[#This Row],[FAVC_consumo_frequente_de_alimentos_mt_caloricos]])</f>
        <v>1</v>
      </c>
      <c r="U1977" s="1">
        <f>IF(OR(Tabela2[[#This Row],[MTRANS]]="Walking",Tabela2[[#This Row],[MTRANS]]="Bike"),Tabela2[[#This Row],[FAF_atividade_fisica_frequente_em_horas]]+1,M1977)</f>
        <v>0</v>
      </c>
      <c r="V1977">
        <f>(Tabela2[[#This Row],[SMOKE]]+Tabela2[[#This Row],[CALC_bebe_alcool_frequentemente]])</f>
        <v>1</v>
      </c>
      <c r="W1977" s="8">
        <f>(Tabela2[[#This Row],[Weight]]/(Tabela2[[#This Row],[Height]] ^2))</f>
        <v>40.799934076481414</v>
      </c>
    </row>
    <row r="1978" spans="1:23" x14ac:dyDescent="0.25">
      <c r="A1978" t="s">
        <v>13</v>
      </c>
      <c r="B1978" s="7">
        <v>26</v>
      </c>
      <c r="C1978" s="4">
        <v>1.6481429999999999</v>
      </c>
      <c r="D1978" s="7">
        <v>111.950113</v>
      </c>
      <c r="E1978">
        <v>1</v>
      </c>
      <c r="F1978">
        <v>1</v>
      </c>
      <c r="G1978" s="2">
        <v>3</v>
      </c>
      <c r="H1978" s="2">
        <v>3</v>
      </c>
      <c r="I1978">
        <v>1</v>
      </c>
      <c r="J1978">
        <v>0</v>
      </c>
      <c r="K1978" s="2">
        <v>2.7864170000000001</v>
      </c>
      <c r="L1978">
        <v>0</v>
      </c>
      <c r="M1978" s="7">
        <v>0</v>
      </c>
      <c r="N1978" s="7">
        <v>7.9672999999999994E-2</v>
      </c>
      <c r="O1978">
        <v>1</v>
      </c>
      <c r="P1978" t="s">
        <v>14</v>
      </c>
      <c r="Q1978">
        <v>6</v>
      </c>
      <c r="R1978" s="8">
        <f>(Tabela2[[#This Row],[FAF_atividade_fisica_frequente_em_horas]]+ 0.1)</f>
        <v>0.1</v>
      </c>
      <c r="S1978" s="1">
        <f>(Tabela2[[#This Row],[TUE_tempo_uso_aparelhos_em_horas]]/Tabela2[[#This Row],[FAF_Var]])</f>
        <v>0.79672999999999994</v>
      </c>
      <c r="T1978">
        <f>(Tabela2[[#This Row],[CAEC_lanche_entre_refeicoes]]*Tabela2[[#This Row],[FAVC_consumo_frequente_de_alimentos_mt_caloricos]])</f>
        <v>1</v>
      </c>
      <c r="U1978" s="1">
        <f>IF(OR(Tabela2[[#This Row],[MTRANS]]="Walking",Tabela2[[#This Row],[MTRANS]]="Bike"),Tabela2[[#This Row],[FAF_atividade_fisica_frequente_em_horas]]+1,M1978)</f>
        <v>0</v>
      </c>
      <c r="V1978">
        <f>(Tabela2[[#This Row],[SMOKE]]+Tabela2[[#This Row],[CALC_bebe_alcool_frequentemente]])</f>
        <v>1</v>
      </c>
      <c r="W1978" s="8">
        <f>(Tabela2[[#This Row],[Weight]]/(Tabela2[[#This Row],[Height]] ^2))</f>
        <v>41.21304997997477</v>
      </c>
    </row>
    <row r="1979" spans="1:23" x14ac:dyDescent="0.25">
      <c r="A1979" t="s">
        <v>13</v>
      </c>
      <c r="B1979" s="7">
        <v>26</v>
      </c>
      <c r="C1979" s="4">
        <v>1.622703</v>
      </c>
      <c r="D1979" s="7">
        <v>111.21619200000001</v>
      </c>
      <c r="E1979">
        <v>1</v>
      </c>
      <c r="F1979">
        <v>1</v>
      </c>
      <c r="G1979" s="2">
        <v>3</v>
      </c>
      <c r="H1979" s="2">
        <v>3</v>
      </c>
      <c r="I1979">
        <v>1</v>
      </c>
      <c r="J1979">
        <v>0</v>
      </c>
      <c r="K1979" s="2">
        <v>2.707201</v>
      </c>
      <c r="L1979">
        <v>0</v>
      </c>
      <c r="M1979" s="7">
        <v>0</v>
      </c>
      <c r="N1979" s="7">
        <v>0.167272</v>
      </c>
      <c r="O1979">
        <v>1</v>
      </c>
      <c r="P1979" t="s">
        <v>14</v>
      </c>
      <c r="Q1979">
        <v>6</v>
      </c>
      <c r="R1979" s="8">
        <f>(Tabela2[[#This Row],[FAF_atividade_fisica_frequente_em_horas]]+ 0.1)</f>
        <v>0.1</v>
      </c>
      <c r="S1979" s="1">
        <f>(Tabela2[[#This Row],[TUE_tempo_uso_aparelhos_em_horas]]/Tabela2[[#This Row],[FAF_Var]])</f>
        <v>1.67272</v>
      </c>
      <c r="T1979">
        <f>(Tabela2[[#This Row],[CAEC_lanche_entre_refeicoes]]*Tabela2[[#This Row],[FAVC_consumo_frequente_de_alimentos_mt_caloricos]])</f>
        <v>1</v>
      </c>
      <c r="U1979" s="1">
        <f>IF(OR(Tabela2[[#This Row],[MTRANS]]="Walking",Tabela2[[#This Row],[MTRANS]]="Bike"),Tabela2[[#This Row],[FAF_atividade_fisica_frequente_em_horas]]+1,M1979)</f>
        <v>0</v>
      </c>
      <c r="V1979">
        <f>(Tabela2[[#This Row],[SMOKE]]+Tabela2[[#This Row],[CALC_bebe_alcool_frequentemente]])</f>
        <v>1</v>
      </c>
      <c r="W1979" s="8">
        <f>(Tabela2[[#This Row],[Weight]]/(Tabela2[[#This Row],[Height]] ^2))</f>
        <v>42.236696482377077</v>
      </c>
    </row>
    <row r="1980" spans="1:23" x14ac:dyDescent="0.25">
      <c r="A1980" t="s">
        <v>13</v>
      </c>
      <c r="B1980" s="7">
        <v>26</v>
      </c>
      <c r="C1980" s="4">
        <v>1.640606</v>
      </c>
      <c r="D1980" s="7">
        <v>111.03688099999999</v>
      </c>
      <c r="E1980">
        <v>1</v>
      </c>
      <c r="F1980">
        <v>1</v>
      </c>
      <c r="G1980" s="2">
        <v>3</v>
      </c>
      <c r="H1980" s="2">
        <v>3</v>
      </c>
      <c r="I1980">
        <v>1</v>
      </c>
      <c r="J1980">
        <v>0</v>
      </c>
      <c r="K1980" s="2">
        <v>2.7094279999999999</v>
      </c>
      <c r="L1980">
        <v>0</v>
      </c>
      <c r="M1980" s="7">
        <v>0</v>
      </c>
      <c r="N1980" s="7">
        <v>0.22848599999999999</v>
      </c>
      <c r="O1980">
        <v>1</v>
      </c>
      <c r="P1980" t="s">
        <v>14</v>
      </c>
      <c r="Q1980">
        <v>6</v>
      </c>
      <c r="R1980" s="8">
        <f>(Tabela2[[#This Row],[FAF_atividade_fisica_frequente_em_horas]]+ 0.1)</f>
        <v>0.1</v>
      </c>
      <c r="S1980" s="1">
        <f>(Tabela2[[#This Row],[TUE_tempo_uso_aparelhos_em_horas]]/Tabela2[[#This Row],[FAF_Var]])</f>
        <v>2.2848599999999997</v>
      </c>
      <c r="T1980">
        <f>(Tabela2[[#This Row],[CAEC_lanche_entre_refeicoes]]*Tabela2[[#This Row],[FAVC_consumo_frequente_de_alimentos_mt_caloricos]])</f>
        <v>1</v>
      </c>
      <c r="U1980" s="1">
        <f>IF(OR(Tabela2[[#This Row],[MTRANS]]="Walking",Tabela2[[#This Row],[MTRANS]]="Bike"),Tabela2[[#This Row],[FAF_atividade_fisica_frequente_em_horas]]+1,M1980)</f>
        <v>0</v>
      </c>
      <c r="V1980">
        <f>(Tabela2[[#This Row],[SMOKE]]+Tabela2[[#This Row],[CALC_bebe_alcool_frequentemente]])</f>
        <v>1</v>
      </c>
      <c r="W1980" s="8">
        <f>(Tabela2[[#This Row],[Weight]]/(Tabela2[[#This Row],[Height]] ^2))</f>
        <v>41.253296957543007</v>
      </c>
    </row>
    <row r="1981" spans="1:23" x14ac:dyDescent="0.25">
      <c r="A1981" t="s">
        <v>13</v>
      </c>
      <c r="B1981" s="7">
        <v>25.427240000000001</v>
      </c>
      <c r="C1981" s="4">
        <v>1.6835020000000001</v>
      </c>
      <c r="D1981" s="7">
        <v>104.759643</v>
      </c>
      <c r="E1981">
        <v>1</v>
      </c>
      <c r="F1981">
        <v>1</v>
      </c>
      <c r="G1981" s="2">
        <v>3</v>
      </c>
      <c r="H1981" s="2">
        <v>3</v>
      </c>
      <c r="I1981">
        <v>1</v>
      </c>
      <c r="J1981">
        <v>0</v>
      </c>
      <c r="K1981" s="2">
        <v>1.5251269999999999</v>
      </c>
      <c r="L1981">
        <v>0</v>
      </c>
      <c r="M1981" s="7">
        <v>0.22082499999999999</v>
      </c>
      <c r="N1981" s="7">
        <v>0.89610500000000004</v>
      </c>
      <c r="O1981">
        <v>1</v>
      </c>
      <c r="P1981" t="s">
        <v>14</v>
      </c>
      <c r="Q1981">
        <v>6</v>
      </c>
      <c r="R1981" s="8">
        <f>(Tabela2[[#This Row],[FAF_atividade_fisica_frequente_em_horas]]+ 0.1)</f>
        <v>0.32082500000000003</v>
      </c>
      <c r="S1981" s="1">
        <f>(Tabela2[[#This Row],[TUE_tempo_uso_aparelhos_em_horas]]/Tabela2[[#This Row],[FAF_Var]])</f>
        <v>2.7931270942102393</v>
      </c>
      <c r="T1981">
        <f>(Tabela2[[#This Row],[CAEC_lanche_entre_refeicoes]]*Tabela2[[#This Row],[FAVC_consumo_frequente_de_alimentos_mt_caloricos]])</f>
        <v>1</v>
      </c>
      <c r="U1981" s="1">
        <f>IF(OR(Tabela2[[#This Row],[MTRANS]]="Walking",Tabela2[[#This Row],[MTRANS]]="Bike"),Tabela2[[#This Row],[FAF_atividade_fisica_frequente_em_horas]]+1,M1981)</f>
        <v>0.22082499999999999</v>
      </c>
      <c r="V1981">
        <f>(Tabela2[[#This Row],[SMOKE]]+Tabela2[[#This Row],[CALC_bebe_alcool_frequentemente]])</f>
        <v>1</v>
      </c>
      <c r="W1981" s="8">
        <f>(Tabela2[[#This Row],[Weight]]/(Tabela2[[#This Row],[Height]] ^2))</f>
        <v>36.962959499473918</v>
      </c>
    </row>
    <row r="1982" spans="1:23" x14ac:dyDescent="0.25">
      <c r="A1982" t="s">
        <v>13</v>
      </c>
      <c r="B1982" s="7">
        <v>25.795186999999999</v>
      </c>
      <c r="C1982" s="4">
        <v>1.6690389999999999</v>
      </c>
      <c r="D1982" s="7">
        <v>104.593929</v>
      </c>
      <c r="E1982">
        <v>1</v>
      </c>
      <c r="F1982">
        <v>1</v>
      </c>
      <c r="G1982" s="2">
        <v>3</v>
      </c>
      <c r="H1982" s="2">
        <v>3</v>
      </c>
      <c r="I1982">
        <v>1</v>
      </c>
      <c r="J1982">
        <v>0</v>
      </c>
      <c r="K1982" s="2">
        <v>1.5549249999999999</v>
      </c>
      <c r="L1982">
        <v>0</v>
      </c>
      <c r="M1982" s="7">
        <v>0.20958599999999999</v>
      </c>
      <c r="N1982" s="7">
        <v>0.82306900000000005</v>
      </c>
      <c r="O1982">
        <v>1</v>
      </c>
      <c r="P1982" t="s">
        <v>14</v>
      </c>
      <c r="Q1982">
        <v>6</v>
      </c>
      <c r="R1982" s="8">
        <f>(Tabela2[[#This Row],[FAF_atividade_fisica_frequente_em_horas]]+ 0.1)</f>
        <v>0.30958600000000003</v>
      </c>
      <c r="S1982" s="1">
        <f>(Tabela2[[#This Row],[TUE_tempo_uso_aparelhos_em_horas]]/Tabela2[[#This Row],[FAF_Var]])</f>
        <v>2.6586118235320719</v>
      </c>
      <c r="T1982">
        <f>(Tabela2[[#This Row],[CAEC_lanche_entre_refeicoes]]*Tabela2[[#This Row],[FAVC_consumo_frequente_de_alimentos_mt_caloricos]])</f>
        <v>1</v>
      </c>
      <c r="U1982" s="1">
        <f>IF(OR(Tabela2[[#This Row],[MTRANS]]="Walking",Tabela2[[#This Row],[MTRANS]]="Bike"),Tabela2[[#This Row],[FAF_atividade_fisica_frequente_em_horas]]+1,M1982)</f>
        <v>0.20958599999999999</v>
      </c>
      <c r="V1982">
        <f>(Tabela2[[#This Row],[SMOKE]]+Tabela2[[#This Row],[CALC_bebe_alcool_frequentemente]])</f>
        <v>1</v>
      </c>
      <c r="W1982" s="8">
        <f>(Tabela2[[#This Row],[Weight]]/(Tabela2[[#This Row],[Height]] ^2))</f>
        <v>37.546849994979546</v>
      </c>
    </row>
    <row r="1983" spans="1:23" x14ac:dyDescent="0.25">
      <c r="A1983" t="s">
        <v>13</v>
      </c>
      <c r="B1983" s="7">
        <v>25.493586000000001</v>
      </c>
      <c r="C1983" s="4">
        <v>1.673665</v>
      </c>
      <c r="D1983" s="7">
        <v>104.704707</v>
      </c>
      <c r="E1983">
        <v>1</v>
      </c>
      <c r="F1983">
        <v>1</v>
      </c>
      <c r="G1983" s="2">
        <v>3</v>
      </c>
      <c r="H1983" s="2">
        <v>3</v>
      </c>
      <c r="I1983">
        <v>1</v>
      </c>
      <c r="J1983">
        <v>0</v>
      </c>
      <c r="K1983" s="2">
        <v>1.170515</v>
      </c>
      <c r="L1983">
        <v>0</v>
      </c>
      <c r="M1983" s="7">
        <v>0.26483099999999998</v>
      </c>
      <c r="N1983" s="7">
        <v>0.89684200000000003</v>
      </c>
      <c r="O1983">
        <v>1</v>
      </c>
      <c r="P1983" t="s">
        <v>14</v>
      </c>
      <c r="Q1983">
        <v>6</v>
      </c>
      <c r="R1983" s="8">
        <f>(Tabela2[[#This Row],[FAF_atividade_fisica_frequente_em_horas]]+ 0.1)</f>
        <v>0.36483100000000002</v>
      </c>
      <c r="S1983" s="1">
        <f>(Tabela2[[#This Row],[TUE_tempo_uso_aparelhos_em_horas]]/Tabela2[[#This Row],[FAF_Var]])</f>
        <v>2.4582395684577243</v>
      </c>
      <c r="T1983">
        <f>(Tabela2[[#This Row],[CAEC_lanche_entre_refeicoes]]*Tabela2[[#This Row],[FAVC_consumo_frequente_de_alimentos_mt_caloricos]])</f>
        <v>1</v>
      </c>
      <c r="U1983" s="1">
        <f>IF(OR(Tabela2[[#This Row],[MTRANS]]="Walking",Tabela2[[#This Row],[MTRANS]]="Bike"),Tabela2[[#This Row],[FAF_atividade_fisica_frequente_em_horas]]+1,M1983)</f>
        <v>0.26483099999999998</v>
      </c>
      <c r="V1983">
        <f>(Tabela2[[#This Row],[SMOKE]]+Tabela2[[#This Row],[CALC_bebe_alcool_frequentemente]])</f>
        <v>1</v>
      </c>
      <c r="W1983" s="8">
        <f>(Tabela2[[#This Row],[Weight]]/(Tabela2[[#This Row],[Height]] ^2))</f>
        <v>37.379125569638404</v>
      </c>
    </row>
    <row r="1984" spans="1:23" x14ac:dyDescent="0.25">
      <c r="A1984" t="s">
        <v>13</v>
      </c>
      <c r="B1984" s="7">
        <v>25.524336000000002</v>
      </c>
      <c r="C1984" s="4">
        <v>1.6689309999999999</v>
      </c>
      <c r="D1984" s="7">
        <v>104.76831799999999</v>
      </c>
      <c r="E1984">
        <v>1</v>
      </c>
      <c r="F1984">
        <v>1</v>
      </c>
      <c r="G1984" s="2">
        <v>3</v>
      </c>
      <c r="H1984" s="2">
        <v>3</v>
      </c>
      <c r="I1984">
        <v>1</v>
      </c>
      <c r="J1984">
        <v>0</v>
      </c>
      <c r="K1984" s="2">
        <v>1.4366159999999999</v>
      </c>
      <c r="L1984">
        <v>0</v>
      </c>
      <c r="M1984" s="7">
        <v>0.16708600000000001</v>
      </c>
      <c r="N1984" s="7">
        <v>0.76471699999999998</v>
      </c>
      <c r="O1984">
        <v>1</v>
      </c>
      <c r="P1984" t="s">
        <v>14</v>
      </c>
      <c r="Q1984">
        <v>6</v>
      </c>
      <c r="R1984" s="8">
        <f>(Tabela2[[#This Row],[FAF_atividade_fisica_frequente_em_horas]]+ 0.1)</f>
        <v>0.26708600000000005</v>
      </c>
      <c r="S1984" s="1">
        <f>(Tabela2[[#This Row],[TUE_tempo_uso_aparelhos_em_horas]]/Tabela2[[#This Row],[FAF_Var]])</f>
        <v>2.8631863894026637</v>
      </c>
      <c r="T1984">
        <f>(Tabela2[[#This Row],[CAEC_lanche_entre_refeicoes]]*Tabela2[[#This Row],[FAVC_consumo_frequente_de_alimentos_mt_caloricos]])</f>
        <v>1</v>
      </c>
      <c r="U1984" s="1">
        <f>IF(OR(Tabela2[[#This Row],[MTRANS]]="Walking",Tabela2[[#This Row],[MTRANS]]="Bike"),Tabela2[[#This Row],[FAF_atividade_fisica_frequente_em_horas]]+1,M1984)</f>
        <v>0.16708600000000001</v>
      </c>
      <c r="V1984">
        <f>(Tabela2[[#This Row],[SMOKE]]+Tabela2[[#This Row],[CALC_bebe_alcool_frequentemente]])</f>
        <v>1</v>
      </c>
      <c r="W1984" s="8">
        <f>(Tabela2[[#This Row],[Weight]]/(Tabela2[[#This Row],[Height]] ^2))</f>
        <v>37.61431942298028</v>
      </c>
    </row>
    <row r="1985" spans="1:23" x14ac:dyDescent="0.25">
      <c r="A1985" t="s">
        <v>13</v>
      </c>
      <c r="B1985" s="7">
        <v>20.908785000000002</v>
      </c>
      <c r="C1985" s="4">
        <v>1.700996</v>
      </c>
      <c r="D1985" s="7">
        <v>126.490236</v>
      </c>
      <c r="E1985">
        <v>1</v>
      </c>
      <c r="F1985">
        <v>1</v>
      </c>
      <c r="G1985" s="2">
        <v>3</v>
      </c>
      <c r="H1985" s="2">
        <v>3</v>
      </c>
      <c r="I1985">
        <v>1</v>
      </c>
      <c r="J1985">
        <v>0</v>
      </c>
      <c r="K1985" s="2">
        <v>1.2428319999999999</v>
      </c>
      <c r="L1985">
        <v>0</v>
      </c>
      <c r="M1985" s="7">
        <v>0.53092499999999998</v>
      </c>
      <c r="N1985" s="7">
        <v>0.57596899999999995</v>
      </c>
      <c r="O1985">
        <v>1</v>
      </c>
      <c r="P1985" t="s">
        <v>14</v>
      </c>
      <c r="Q1985">
        <v>6</v>
      </c>
      <c r="R1985" s="8">
        <f>(Tabela2[[#This Row],[FAF_atividade_fisica_frequente_em_horas]]+ 0.1)</f>
        <v>0.63092499999999996</v>
      </c>
      <c r="S1985" s="1">
        <f>(Tabela2[[#This Row],[TUE_tempo_uso_aparelhos_em_horas]]/Tabela2[[#This Row],[FAF_Var]])</f>
        <v>0.91289614454966916</v>
      </c>
      <c r="T1985">
        <f>(Tabela2[[#This Row],[CAEC_lanche_entre_refeicoes]]*Tabela2[[#This Row],[FAVC_consumo_frequente_de_alimentos_mt_caloricos]])</f>
        <v>1</v>
      </c>
      <c r="U1985" s="1">
        <f>IF(OR(Tabela2[[#This Row],[MTRANS]]="Walking",Tabela2[[#This Row],[MTRANS]]="Bike"),Tabela2[[#This Row],[FAF_atividade_fisica_frequente_em_horas]]+1,M1985)</f>
        <v>0.53092499999999998</v>
      </c>
      <c r="V1985">
        <f>(Tabela2[[#This Row],[SMOKE]]+Tabela2[[#This Row],[CALC_bebe_alcool_frequentemente]])</f>
        <v>1</v>
      </c>
      <c r="W1985" s="8">
        <f>(Tabela2[[#This Row],[Weight]]/(Tabela2[[#This Row],[Height]] ^2))</f>
        <v>43.717006699150133</v>
      </c>
    </row>
    <row r="1986" spans="1:23" x14ac:dyDescent="0.25">
      <c r="A1986" t="s">
        <v>13</v>
      </c>
      <c r="B1986" s="7">
        <v>20.781751</v>
      </c>
      <c r="C1986" s="4">
        <v>1.734092</v>
      </c>
      <c r="D1986" s="7">
        <v>125.117633</v>
      </c>
      <c r="E1986">
        <v>1</v>
      </c>
      <c r="F1986">
        <v>1</v>
      </c>
      <c r="G1986" s="2">
        <v>3</v>
      </c>
      <c r="H1986" s="2">
        <v>3</v>
      </c>
      <c r="I1986">
        <v>1</v>
      </c>
      <c r="J1986">
        <v>0</v>
      </c>
      <c r="K1986" s="2">
        <v>1.5424899999999999</v>
      </c>
      <c r="L1986">
        <v>0</v>
      </c>
      <c r="M1986" s="7">
        <v>0.62770000000000004</v>
      </c>
      <c r="N1986" s="7">
        <v>0.45047900000000002</v>
      </c>
      <c r="O1986">
        <v>1</v>
      </c>
      <c r="P1986" t="s">
        <v>14</v>
      </c>
      <c r="Q1986">
        <v>6</v>
      </c>
      <c r="R1986" s="8">
        <f>(Tabela2[[#This Row],[FAF_atividade_fisica_frequente_em_horas]]+ 0.1)</f>
        <v>0.72770000000000001</v>
      </c>
      <c r="S1986" s="1">
        <f>(Tabela2[[#This Row],[TUE_tempo_uso_aparelhos_em_horas]]/Tabela2[[#This Row],[FAF_Var]])</f>
        <v>0.61904493610004119</v>
      </c>
      <c r="T1986">
        <f>(Tabela2[[#This Row],[CAEC_lanche_entre_refeicoes]]*Tabela2[[#This Row],[FAVC_consumo_frequente_de_alimentos_mt_caloricos]])</f>
        <v>1</v>
      </c>
      <c r="U1986" s="1">
        <f>IF(OR(Tabela2[[#This Row],[MTRANS]]="Walking",Tabela2[[#This Row],[MTRANS]]="Bike"),Tabela2[[#This Row],[FAF_atividade_fisica_frequente_em_horas]]+1,M1986)</f>
        <v>0.62770000000000004</v>
      </c>
      <c r="V1986">
        <f>(Tabela2[[#This Row],[SMOKE]]+Tabela2[[#This Row],[CALC_bebe_alcool_frequentemente]])</f>
        <v>1</v>
      </c>
      <c r="W1986" s="8">
        <f>(Tabela2[[#This Row],[Weight]]/(Tabela2[[#This Row],[Height]] ^2))</f>
        <v>41.607751824546405</v>
      </c>
    </row>
    <row r="1987" spans="1:23" x14ac:dyDescent="0.25">
      <c r="A1987" t="s">
        <v>13</v>
      </c>
      <c r="B1987" s="7">
        <v>21.289103999999998</v>
      </c>
      <c r="C1987" s="4">
        <v>1.708291</v>
      </c>
      <c r="D1987" s="7">
        <v>130.98633799999999</v>
      </c>
      <c r="E1987">
        <v>1</v>
      </c>
      <c r="F1987">
        <v>1</v>
      </c>
      <c r="G1987" s="2">
        <v>3</v>
      </c>
      <c r="H1987" s="2">
        <v>3</v>
      </c>
      <c r="I1987">
        <v>1</v>
      </c>
      <c r="J1987">
        <v>0</v>
      </c>
      <c r="K1987" s="2">
        <v>1.2055480000000001</v>
      </c>
      <c r="L1987">
        <v>0</v>
      </c>
      <c r="M1987" s="7">
        <v>1.7239340000000001</v>
      </c>
      <c r="N1987" s="7">
        <v>0.95235199999999998</v>
      </c>
      <c r="O1987">
        <v>1</v>
      </c>
      <c r="P1987" t="s">
        <v>14</v>
      </c>
      <c r="Q1987">
        <v>6</v>
      </c>
      <c r="R1987" s="8">
        <f>(Tabela2[[#This Row],[FAF_atividade_fisica_frequente_em_horas]]+ 0.1)</f>
        <v>1.8239340000000002</v>
      </c>
      <c r="S1987" s="1">
        <f>(Tabela2[[#This Row],[TUE_tempo_uso_aparelhos_em_horas]]/Tabela2[[#This Row],[FAF_Var]])</f>
        <v>0.52214170030275209</v>
      </c>
      <c r="T1987">
        <f>(Tabela2[[#This Row],[CAEC_lanche_entre_refeicoes]]*Tabela2[[#This Row],[FAVC_consumo_frequente_de_alimentos_mt_caloricos]])</f>
        <v>1</v>
      </c>
      <c r="U1987" s="1">
        <f>IF(OR(Tabela2[[#This Row],[MTRANS]]="Walking",Tabela2[[#This Row],[MTRANS]]="Bike"),Tabela2[[#This Row],[FAF_atividade_fisica_frequente_em_horas]]+1,M1987)</f>
        <v>1.7239340000000001</v>
      </c>
      <c r="V1987">
        <f>(Tabela2[[#This Row],[SMOKE]]+Tabela2[[#This Row],[CALC_bebe_alcool_frequentemente]])</f>
        <v>1</v>
      </c>
      <c r="W1987" s="8">
        <f>(Tabela2[[#This Row],[Weight]]/(Tabela2[[#This Row],[Height]] ^2))</f>
        <v>44.885110118953776</v>
      </c>
    </row>
    <row r="1988" spans="1:23" x14ac:dyDescent="0.25">
      <c r="A1988" t="s">
        <v>13</v>
      </c>
      <c r="B1988" s="7">
        <v>21.210732</v>
      </c>
      <c r="C1988" s="4">
        <v>1.7164969999999999</v>
      </c>
      <c r="D1988" s="7">
        <v>130.871127</v>
      </c>
      <c r="E1988">
        <v>1</v>
      </c>
      <c r="F1988">
        <v>1</v>
      </c>
      <c r="G1988" s="2">
        <v>3</v>
      </c>
      <c r="H1988" s="2">
        <v>3</v>
      </c>
      <c r="I1988">
        <v>1</v>
      </c>
      <c r="J1988">
        <v>0</v>
      </c>
      <c r="K1988" s="2">
        <v>1.3016570000000001</v>
      </c>
      <c r="L1988">
        <v>0</v>
      </c>
      <c r="M1988" s="7">
        <v>1.7185429999999999</v>
      </c>
      <c r="N1988" s="7">
        <v>0.94788399999999995</v>
      </c>
      <c r="O1988">
        <v>1</v>
      </c>
      <c r="P1988" t="s">
        <v>14</v>
      </c>
      <c r="Q1988">
        <v>6</v>
      </c>
      <c r="R1988" s="8">
        <f>(Tabela2[[#This Row],[FAF_atividade_fisica_frequente_em_horas]]+ 0.1)</f>
        <v>1.818543</v>
      </c>
      <c r="S1988" s="1">
        <f>(Tabela2[[#This Row],[TUE_tempo_uso_aparelhos_em_horas]]/Tabela2[[#This Row],[FAF_Var]])</f>
        <v>0.52123265713266054</v>
      </c>
      <c r="T1988">
        <f>(Tabela2[[#This Row],[CAEC_lanche_entre_refeicoes]]*Tabela2[[#This Row],[FAVC_consumo_frequente_de_alimentos_mt_caloricos]])</f>
        <v>1</v>
      </c>
      <c r="U1988" s="1">
        <f>IF(OR(Tabela2[[#This Row],[MTRANS]]="Walking",Tabela2[[#This Row],[MTRANS]]="Bike"),Tabela2[[#This Row],[FAF_atividade_fisica_frequente_em_horas]]+1,M1988)</f>
        <v>1.7185429999999999</v>
      </c>
      <c r="V1988">
        <f>(Tabela2[[#This Row],[SMOKE]]+Tabela2[[#This Row],[CALC_bebe_alcool_frequentemente]])</f>
        <v>1</v>
      </c>
      <c r="W1988" s="8">
        <f>(Tabela2[[#This Row],[Weight]]/(Tabela2[[#This Row],[Height]] ^2))</f>
        <v>44.417871658701799</v>
      </c>
    </row>
    <row r="1989" spans="1:23" x14ac:dyDescent="0.25">
      <c r="A1989" t="s">
        <v>13</v>
      </c>
      <c r="B1989" s="7">
        <v>26</v>
      </c>
      <c r="C1989" s="4">
        <v>1.6249499999999999</v>
      </c>
      <c r="D1989" s="7">
        <v>111.00492</v>
      </c>
      <c r="E1989">
        <v>1</v>
      </c>
      <c r="F1989">
        <v>1</v>
      </c>
      <c r="G1989" s="2">
        <v>3</v>
      </c>
      <c r="H1989" s="2">
        <v>3</v>
      </c>
      <c r="I1989">
        <v>1</v>
      </c>
      <c r="J1989">
        <v>0</v>
      </c>
      <c r="K1989" s="2">
        <v>2.7043149999999998</v>
      </c>
      <c r="L1989">
        <v>0</v>
      </c>
      <c r="M1989" s="7">
        <v>0</v>
      </c>
      <c r="N1989" s="7">
        <v>0.32266600000000001</v>
      </c>
      <c r="O1989">
        <v>1</v>
      </c>
      <c r="P1989" t="s">
        <v>14</v>
      </c>
      <c r="Q1989">
        <v>6</v>
      </c>
      <c r="R1989" s="8">
        <f>(Tabela2[[#This Row],[FAF_atividade_fisica_frequente_em_horas]]+ 0.1)</f>
        <v>0.1</v>
      </c>
      <c r="S1989" s="1">
        <f>(Tabela2[[#This Row],[TUE_tempo_uso_aparelhos_em_horas]]/Tabela2[[#This Row],[FAF_Var]])</f>
        <v>3.2266599999999999</v>
      </c>
      <c r="T1989">
        <f>(Tabela2[[#This Row],[CAEC_lanche_entre_refeicoes]]*Tabela2[[#This Row],[FAVC_consumo_frequente_de_alimentos_mt_caloricos]])</f>
        <v>1</v>
      </c>
      <c r="U1989" s="1">
        <f>IF(OR(Tabela2[[#This Row],[MTRANS]]="Walking",Tabela2[[#This Row],[MTRANS]]="Bike"),Tabela2[[#This Row],[FAF_atividade_fisica_frequente_em_horas]]+1,M1989)</f>
        <v>0</v>
      </c>
      <c r="V1989">
        <f>(Tabela2[[#This Row],[SMOKE]]+Tabela2[[#This Row],[CALC_bebe_alcool_frequentemente]])</f>
        <v>1</v>
      </c>
      <c r="W1989" s="8">
        <f>(Tabela2[[#This Row],[Weight]]/(Tabela2[[#This Row],[Height]] ^2))</f>
        <v>42.03995318808736</v>
      </c>
    </row>
    <row r="1990" spans="1:23" x14ac:dyDescent="0.25">
      <c r="A1990" t="s">
        <v>13</v>
      </c>
      <c r="B1990" s="7">
        <v>26</v>
      </c>
      <c r="C1990" s="4">
        <v>1.594776</v>
      </c>
      <c r="D1990" s="7">
        <v>110.640929</v>
      </c>
      <c r="E1990">
        <v>1</v>
      </c>
      <c r="F1990">
        <v>1</v>
      </c>
      <c r="G1990" s="2">
        <v>3</v>
      </c>
      <c r="H1990" s="2">
        <v>3</v>
      </c>
      <c r="I1990">
        <v>1</v>
      </c>
      <c r="J1990">
        <v>0</v>
      </c>
      <c r="K1990" s="2">
        <v>2.6398160000000002</v>
      </c>
      <c r="L1990">
        <v>0</v>
      </c>
      <c r="M1990" s="7">
        <v>0</v>
      </c>
      <c r="N1990" s="7">
        <v>0.45223600000000003</v>
      </c>
      <c r="O1990">
        <v>1</v>
      </c>
      <c r="P1990" t="s">
        <v>14</v>
      </c>
      <c r="Q1990">
        <v>6</v>
      </c>
      <c r="R1990" s="8">
        <f>(Tabela2[[#This Row],[FAF_atividade_fisica_frequente_em_horas]]+ 0.1)</f>
        <v>0.1</v>
      </c>
      <c r="S1990" s="1">
        <f>(Tabela2[[#This Row],[TUE_tempo_uso_aparelhos_em_horas]]/Tabela2[[#This Row],[FAF_Var]])</f>
        <v>4.5223599999999999</v>
      </c>
      <c r="T1990">
        <f>(Tabela2[[#This Row],[CAEC_lanche_entre_refeicoes]]*Tabela2[[#This Row],[FAVC_consumo_frequente_de_alimentos_mt_caloricos]])</f>
        <v>1</v>
      </c>
      <c r="U1990" s="1">
        <f>IF(OR(Tabela2[[#This Row],[MTRANS]]="Walking",Tabela2[[#This Row],[MTRANS]]="Bike"),Tabela2[[#This Row],[FAF_atividade_fisica_frequente_em_horas]]+1,M1990)</f>
        <v>0</v>
      </c>
      <c r="V1990">
        <f>(Tabela2[[#This Row],[SMOKE]]+Tabela2[[#This Row],[CALC_bebe_alcool_frequentemente]])</f>
        <v>1</v>
      </c>
      <c r="W1990" s="8">
        <f>(Tabela2[[#This Row],[Weight]]/(Tabela2[[#This Row],[Height]] ^2))</f>
        <v>43.502721915932305</v>
      </c>
    </row>
    <row r="1991" spans="1:23" x14ac:dyDescent="0.25">
      <c r="A1991" t="s">
        <v>13</v>
      </c>
      <c r="B1991" s="7">
        <v>26</v>
      </c>
      <c r="C1991" s="4">
        <v>1.626503</v>
      </c>
      <c r="D1991" s="7">
        <v>110.81875700000001</v>
      </c>
      <c r="E1991">
        <v>1</v>
      </c>
      <c r="F1991">
        <v>1</v>
      </c>
      <c r="G1991" s="2">
        <v>3</v>
      </c>
      <c r="H1991" s="2">
        <v>3</v>
      </c>
      <c r="I1991">
        <v>1</v>
      </c>
      <c r="J1991">
        <v>0</v>
      </c>
      <c r="K1991" s="2">
        <v>2.7089270000000001</v>
      </c>
      <c r="L1991">
        <v>0</v>
      </c>
      <c r="M1991" s="7">
        <v>0</v>
      </c>
      <c r="N1991" s="7">
        <v>0.27896199999999999</v>
      </c>
      <c r="O1991">
        <v>1</v>
      </c>
      <c r="P1991" t="s">
        <v>14</v>
      </c>
      <c r="Q1991">
        <v>6</v>
      </c>
      <c r="R1991" s="8">
        <f>(Tabela2[[#This Row],[FAF_atividade_fisica_frequente_em_horas]]+ 0.1)</f>
        <v>0.1</v>
      </c>
      <c r="S1991" s="1">
        <f>(Tabela2[[#This Row],[TUE_tempo_uso_aparelhos_em_horas]]/Tabela2[[#This Row],[FAF_Var]])</f>
        <v>2.7896199999999998</v>
      </c>
      <c r="T1991">
        <f>(Tabela2[[#This Row],[CAEC_lanche_entre_refeicoes]]*Tabela2[[#This Row],[FAVC_consumo_frequente_de_alimentos_mt_caloricos]])</f>
        <v>1</v>
      </c>
      <c r="U1991" s="1">
        <f>IF(OR(Tabela2[[#This Row],[MTRANS]]="Walking",Tabela2[[#This Row],[MTRANS]]="Bike"),Tabela2[[#This Row],[FAF_atividade_fisica_frequente_em_horas]]+1,M1991)</f>
        <v>0</v>
      </c>
      <c r="V1991">
        <f>(Tabela2[[#This Row],[SMOKE]]+Tabela2[[#This Row],[CALC_bebe_alcool_frequentemente]])</f>
        <v>1</v>
      </c>
      <c r="W1991" s="8">
        <f>(Tabela2[[#This Row],[Weight]]/(Tabela2[[#This Row],[Height]] ^2))</f>
        <v>41.889341882637055</v>
      </c>
    </row>
    <row r="1992" spans="1:23" x14ac:dyDescent="0.25">
      <c r="A1992" t="s">
        <v>13</v>
      </c>
      <c r="B1992" s="7">
        <v>26</v>
      </c>
      <c r="C1992" s="4">
        <v>1.624576</v>
      </c>
      <c r="D1992" s="7">
        <v>110.803117</v>
      </c>
      <c r="E1992">
        <v>1</v>
      </c>
      <c r="F1992">
        <v>1</v>
      </c>
      <c r="G1992" s="2">
        <v>3</v>
      </c>
      <c r="H1992" s="2">
        <v>3</v>
      </c>
      <c r="I1992">
        <v>1</v>
      </c>
      <c r="J1992">
        <v>0</v>
      </c>
      <c r="K1992" s="2">
        <v>2.7048269999999999</v>
      </c>
      <c r="L1992">
        <v>0</v>
      </c>
      <c r="M1992" s="7">
        <v>0</v>
      </c>
      <c r="N1992" s="7">
        <v>0.26957700000000001</v>
      </c>
      <c r="O1992">
        <v>1</v>
      </c>
      <c r="P1992" t="s">
        <v>14</v>
      </c>
      <c r="Q1992">
        <v>6</v>
      </c>
      <c r="R1992" s="8">
        <f>(Tabela2[[#This Row],[FAF_atividade_fisica_frequente_em_horas]]+ 0.1)</f>
        <v>0.1</v>
      </c>
      <c r="S1992" s="1">
        <f>(Tabela2[[#This Row],[TUE_tempo_uso_aparelhos_em_horas]]/Tabela2[[#This Row],[FAF_Var]])</f>
        <v>2.69577</v>
      </c>
      <c r="T1992">
        <f>(Tabela2[[#This Row],[CAEC_lanche_entre_refeicoes]]*Tabela2[[#This Row],[FAVC_consumo_frequente_de_alimentos_mt_caloricos]])</f>
        <v>1</v>
      </c>
      <c r="U1992" s="1">
        <f>IF(OR(Tabela2[[#This Row],[MTRANS]]="Walking",Tabela2[[#This Row],[MTRANS]]="Bike"),Tabela2[[#This Row],[FAF_atividade_fisica_frequente_em_horas]]+1,M1992)</f>
        <v>0</v>
      </c>
      <c r="V1992">
        <f>(Tabela2[[#This Row],[SMOKE]]+Tabela2[[#This Row],[CALC_bebe_alcool_frequentemente]])</f>
        <v>1</v>
      </c>
      <c r="W1992" s="8">
        <f>(Tabela2[[#This Row],[Weight]]/(Tabela2[[#This Row],[Height]] ^2))</f>
        <v>41.982849446259202</v>
      </c>
    </row>
    <row r="1993" spans="1:23" x14ac:dyDescent="0.25">
      <c r="A1993" t="s">
        <v>13</v>
      </c>
      <c r="B1993" s="7">
        <v>21.656907</v>
      </c>
      <c r="C1993" s="4">
        <v>1.7290989999999999</v>
      </c>
      <c r="D1993" s="7">
        <v>134.84265600000001</v>
      </c>
      <c r="E1993">
        <v>1</v>
      </c>
      <c r="F1993">
        <v>1</v>
      </c>
      <c r="G1993" s="2">
        <v>3</v>
      </c>
      <c r="H1993" s="2">
        <v>3</v>
      </c>
      <c r="I1993">
        <v>1</v>
      </c>
      <c r="J1993">
        <v>0</v>
      </c>
      <c r="K1993" s="2">
        <v>1.3954</v>
      </c>
      <c r="L1993">
        <v>0</v>
      </c>
      <c r="M1993" s="7">
        <v>1.931173</v>
      </c>
      <c r="N1993" s="7">
        <v>0.87825799999999998</v>
      </c>
      <c r="O1993">
        <v>1</v>
      </c>
      <c r="P1993" t="s">
        <v>14</v>
      </c>
      <c r="Q1993">
        <v>6</v>
      </c>
      <c r="R1993" s="8">
        <f>(Tabela2[[#This Row],[FAF_atividade_fisica_frequente_em_horas]]+ 0.1)</f>
        <v>2.0311729999999999</v>
      </c>
      <c r="S1993" s="1">
        <f>(Tabela2[[#This Row],[TUE_tempo_uso_aparelhos_em_horas]]/Tabela2[[#This Row],[FAF_Var]])</f>
        <v>0.43238956012117136</v>
      </c>
      <c r="T1993">
        <f>(Tabela2[[#This Row],[CAEC_lanche_entre_refeicoes]]*Tabela2[[#This Row],[FAVC_consumo_frequente_de_alimentos_mt_caloricos]])</f>
        <v>1</v>
      </c>
      <c r="U1993" s="1">
        <f>IF(OR(Tabela2[[#This Row],[MTRANS]]="Walking",Tabela2[[#This Row],[MTRANS]]="Bike"),Tabela2[[#This Row],[FAF_atividade_fisica_frequente_em_horas]]+1,M1993)</f>
        <v>1.931173</v>
      </c>
      <c r="V1993">
        <f>(Tabela2[[#This Row],[SMOKE]]+Tabela2[[#This Row],[CALC_bebe_alcool_frequentemente]])</f>
        <v>1</v>
      </c>
      <c r="W1993" s="8">
        <f>(Tabela2[[#This Row],[Weight]]/(Tabela2[[#This Row],[Height]] ^2))</f>
        <v>45.101146181302013</v>
      </c>
    </row>
    <row r="1994" spans="1:23" x14ac:dyDescent="0.25">
      <c r="A1994" t="s">
        <v>13</v>
      </c>
      <c r="B1994" s="7">
        <v>21.760733999999999</v>
      </c>
      <c r="C1994" s="4">
        <v>1.7358100000000001</v>
      </c>
      <c r="D1994" s="7">
        <v>135.346677</v>
      </c>
      <c r="E1994">
        <v>1</v>
      </c>
      <c r="F1994">
        <v>1</v>
      </c>
      <c r="G1994" s="2">
        <v>3</v>
      </c>
      <c r="H1994" s="2">
        <v>3</v>
      </c>
      <c r="I1994">
        <v>1</v>
      </c>
      <c r="J1994">
        <v>0</v>
      </c>
      <c r="K1994" s="2">
        <v>2.6116540000000001</v>
      </c>
      <c r="L1994">
        <v>0</v>
      </c>
      <c r="M1994" s="7">
        <v>1.618512</v>
      </c>
      <c r="N1994" s="7">
        <v>0.868788</v>
      </c>
      <c r="O1994">
        <v>1</v>
      </c>
      <c r="P1994" t="s">
        <v>14</v>
      </c>
      <c r="Q1994">
        <v>6</v>
      </c>
      <c r="R1994" s="8">
        <f>(Tabela2[[#This Row],[FAF_atividade_fisica_frequente_em_horas]]+ 0.1)</f>
        <v>1.718512</v>
      </c>
      <c r="S1994" s="1">
        <f>(Tabela2[[#This Row],[TUE_tempo_uso_aparelhos_em_horas]]/Tabela2[[#This Row],[FAF_Var]])</f>
        <v>0.50554665897008577</v>
      </c>
      <c r="T1994">
        <f>(Tabela2[[#This Row],[CAEC_lanche_entre_refeicoes]]*Tabela2[[#This Row],[FAVC_consumo_frequente_de_alimentos_mt_caloricos]])</f>
        <v>1</v>
      </c>
      <c r="U1994" s="1">
        <f>IF(OR(Tabela2[[#This Row],[MTRANS]]="Walking",Tabela2[[#This Row],[MTRANS]]="Bike"),Tabela2[[#This Row],[FAF_atividade_fisica_frequente_em_horas]]+1,M1994)</f>
        <v>1.618512</v>
      </c>
      <c r="V1994">
        <f>(Tabela2[[#This Row],[SMOKE]]+Tabela2[[#This Row],[CALC_bebe_alcool_frequentemente]])</f>
        <v>1</v>
      </c>
      <c r="W1994" s="8">
        <f>(Tabela2[[#This Row],[Weight]]/(Tabela2[[#This Row],[Height]] ^2))</f>
        <v>44.920359731466831</v>
      </c>
    </row>
    <row r="1995" spans="1:23" x14ac:dyDescent="0.25">
      <c r="A1995" t="s">
        <v>13</v>
      </c>
      <c r="B1995" s="7">
        <v>21.028988999999999</v>
      </c>
      <c r="C1995" s="4">
        <v>1.748524</v>
      </c>
      <c r="D1995" s="7">
        <v>133.87884299999999</v>
      </c>
      <c r="E1995">
        <v>1</v>
      </c>
      <c r="F1995">
        <v>1</v>
      </c>
      <c r="G1995" s="2">
        <v>3</v>
      </c>
      <c r="H1995" s="2">
        <v>3</v>
      </c>
      <c r="I1995">
        <v>1</v>
      </c>
      <c r="J1995">
        <v>0</v>
      </c>
      <c r="K1995" s="2">
        <v>2.8681670000000001</v>
      </c>
      <c r="L1995">
        <v>0</v>
      </c>
      <c r="M1995" s="7">
        <v>1.4837199999999999</v>
      </c>
      <c r="N1995" s="7">
        <v>0.83509</v>
      </c>
      <c r="O1995">
        <v>1</v>
      </c>
      <c r="P1995" t="s">
        <v>14</v>
      </c>
      <c r="Q1995">
        <v>6</v>
      </c>
      <c r="R1995" s="8">
        <f>(Tabela2[[#This Row],[FAF_atividade_fisica_frequente_em_horas]]+ 0.1)</f>
        <v>1.58372</v>
      </c>
      <c r="S1995" s="1">
        <f>(Tabela2[[#This Row],[TUE_tempo_uso_aparelhos_em_horas]]/Tabela2[[#This Row],[FAF_Var]])</f>
        <v>0.52729649180410676</v>
      </c>
      <c r="T1995">
        <f>(Tabela2[[#This Row],[CAEC_lanche_entre_refeicoes]]*Tabela2[[#This Row],[FAVC_consumo_frequente_de_alimentos_mt_caloricos]])</f>
        <v>1</v>
      </c>
      <c r="U1995" s="1">
        <f>IF(OR(Tabela2[[#This Row],[MTRANS]]="Walking",Tabela2[[#This Row],[MTRANS]]="Bike"),Tabela2[[#This Row],[FAF_atividade_fisica_frequente_em_horas]]+1,M1995)</f>
        <v>1.4837199999999999</v>
      </c>
      <c r="V1995">
        <f>(Tabela2[[#This Row],[SMOKE]]+Tabela2[[#This Row],[CALC_bebe_alcool_frequentemente]])</f>
        <v>1</v>
      </c>
      <c r="W1995" s="8">
        <f>(Tabela2[[#This Row],[Weight]]/(Tabela2[[#This Row],[Height]] ^2))</f>
        <v>43.789375842324297</v>
      </c>
    </row>
    <row r="1996" spans="1:23" x14ac:dyDescent="0.25">
      <c r="A1996" t="s">
        <v>13</v>
      </c>
      <c r="B1996" s="7">
        <v>21.282238</v>
      </c>
      <c r="C1996" s="4">
        <v>1.7489509999999999</v>
      </c>
      <c r="D1996" s="7">
        <v>133.66258300000001</v>
      </c>
      <c r="E1996">
        <v>1</v>
      </c>
      <c r="F1996">
        <v>1</v>
      </c>
      <c r="G1996" s="2">
        <v>3</v>
      </c>
      <c r="H1996" s="2">
        <v>3</v>
      </c>
      <c r="I1996">
        <v>1</v>
      </c>
      <c r="J1996">
        <v>0</v>
      </c>
      <c r="K1996" s="2">
        <v>2.2479789999999999</v>
      </c>
      <c r="L1996">
        <v>0</v>
      </c>
      <c r="M1996" s="7">
        <v>1.6099380000000001</v>
      </c>
      <c r="N1996" s="7">
        <v>0.84923599999999999</v>
      </c>
      <c r="O1996">
        <v>1</v>
      </c>
      <c r="P1996" t="s">
        <v>14</v>
      </c>
      <c r="Q1996">
        <v>6</v>
      </c>
      <c r="R1996" s="8">
        <f>(Tabela2[[#This Row],[FAF_atividade_fisica_frequente_em_horas]]+ 0.1)</f>
        <v>1.7099380000000002</v>
      </c>
      <c r="S1996" s="1">
        <f>(Tabela2[[#This Row],[TUE_tempo_uso_aparelhos_em_horas]]/Tabela2[[#This Row],[FAF_Var]])</f>
        <v>0.49664724685924277</v>
      </c>
      <c r="T1996">
        <f>(Tabela2[[#This Row],[CAEC_lanche_entre_refeicoes]]*Tabela2[[#This Row],[FAVC_consumo_frequente_de_alimentos_mt_caloricos]])</f>
        <v>1</v>
      </c>
      <c r="U1996" s="1">
        <f>IF(OR(Tabela2[[#This Row],[MTRANS]]="Walking",Tabela2[[#This Row],[MTRANS]]="Bike"),Tabela2[[#This Row],[FAF_atividade_fisica_frequente_em_horas]]+1,M1996)</f>
        <v>1.6099380000000001</v>
      </c>
      <c r="V1996">
        <f>(Tabela2[[#This Row],[SMOKE]]+Tabela2[[#This Row],[CALC_bebe_alcool_frequentemente]])</f>
        <v>1</v>
      </c>
      <c r="W1996" s="8">
        <f>(Tabela2[[#This Row],[Weight]]/(Tabela2[[#This Row],[Height]] ^2))</f>
        <v>43.697296175791358</v>
      </c>
    </row>
    <row r="1997" spans="1:23" x14ac:dyDescent="0.25">
      <c r="A1997" t="s">
        <v>13</v>
      </c>
      <c r="B1997" s="7">
        <v>20.388048999999999</v>
      </c>
      <c r="C1997" s="4">
        <v>1.777971</v>
      </c>
      <c r="D1997" s="7">
        <v>137.78502700000001</v>
      </c>
      <c r="E1997">
        <v>1</v>
      </c>
      <c r="F1997">
        <v>1</v>
      </c>
      <c r="G1997" s="2">
        <v>3</v>
      </c>
      <c r="H1997" s="2">
        <v>3</v>
      </c>
      <c r="I1997">
        <v>1</v>
      </c>
      <c r="J1997">
        <v>0</v>
      </c>
      <c r="K1997" s="2">
        <v>2.7027890000000001</v>
      </c>
      <c r="L1997">
        <v>0</v>
      </c>
      <c r="M1997" s="7">
        <v>1.606109</v>
      </c>
      <c r="N1997" s="7">
        <v>0.731213</v>
      </c>
      <c r="O1997">
        <v>1</v>
      </c>
      <c r="P1997" t="s">
        <v>14</v>
      </c>
      <c r="Q1997">
        <v>6</v>
      </c>
      <c r="R1997" s="8">
        <f>(Tabela2[[#This Row],[FAF_atividade_fisica_frequente_em_horas]]+ 0.1)</f>
        <v>1.7061090000000001</v>
      </c>
      <c r="S1997" s="1">
        <f>(Tabela2[[#This Row],[TUE_tempo_uso_aparelhos_em_horas]]/Tabela2[[#This Row],[FAF_Var]])</f>
        <v>0.42858516073709241</v>
      </c>
      <c r="T1997">
        <f>(Tabela2[[#This Row],[CAEC_lanche_entre_refeicoes]]*Tabela2[[#This Row],[FAVC_consumo_frequente_de_alimentos_mt_caloricos]])</f>
        <v>1</v>
      </c>
      <c r="U1997" s="1">
        <f>IF(OR(Tabela2[[#This Row],[MTRANS]]="Walking",Tabela2[[#This Row],[MTRANS]]="Bike"),Tabela2[[#This Row],[FAF_atividade_fisica_frequente_em_horas]]+1,M1997)</f>
        <v>1.606109</v>
      </c>
      <c r="V1997">
        <f>(Tabela2[[#This Row],[SMOKE]]+Tabela2[[#This Row],[CALC_bebe_alcool_frequentemente]])</f>
        <v>1</v>
      </c>
      <c r="W1997" s="8">
        <f>(Tabela2[[#This Row],[Weight]]/(Tabela2[[#This Row],[Height]] ^2))</f>
        <v>43.586568553992393</v>
      </c>
    </row>
    <row r="1998" spans="1:23" x14ac:dyDescent="0.25">
      <c r="A1998" t="s">
        <v>13</v>
      </c>
      <c r="B1998" s="7">
        <v>21.022206000000001</v>
      </c>
      <c r="C1998" s="4">
        <v>1.7399500000000001</v>
      </c>
      <c r="D1998" s="7">
        <v>135.69338099999999</v>
      </c>
      <c r="E1998">
        <v>1</v>
      </c>
      <c r="F1998">
        <v>1</v>
      </c>
      <c r="G1998" s="2">
        <v>3</v>
      </c>
      <c r="H1998" s="2">
        <v>3</v>
      </c>
      <c r="I1998">
        <v>1</v>
      </c>
      <c r="J1998">
        <v>0</v>
      </c>
      <c r="K1998" s="2">
        <v>1.6632130000000001</v>
      </c>
      <c r="L1998">
        <v>0</v>
      </c>
      <c r="M1998" s="7">
        <v>1.0940350000000001</v>
      </c>
      <c r="N1998" s="7">
        <v>0.78666499999999995</v>
      </c>
      <c r="O1998">
        <v>1</v>
      </c>
      <c r="P1998" t="s">
        <v>14</v>
      </c>
      <c r="Q1998">
        <v>6</v>
      </c>
      <c r="R1998" s="8">
        <f>(Tabela2[[#This Row],[FAF_atividade_fisica_frequente_em_horas]]+ 0.1)</f>
        <v>1.1940350000000002</v>
      </c>
      <c r="S1998" s="1">
        <f>(Tabela2[[#This Row],[TUE_tempo_uso_aparelhos_em_horas]]/Tabela2[[#This Row],[FAF_Var]])</f>
        <v>0.65882909629952202</v>
      </c>
      <c r="T1998">
        <f>(Tabela2[[#This Row],[CAEC_lanche_entre_refeicoes]]*Tabela2[[#This Row],[FAVC_consumo_frequente_de_alimentos_mt_caloricos]])</f>
        <v>1</v>
      </c>
      <c r="U1998" s="1">
        <f>IF(OR(Tabela2[[#This Row],[MTRANS]]="Walking",Tabela2[[#This Row],[MTRANS]]="Bike"),Tabela2[[#This Row],[FAF_atividade_fisica_frequente_em_horas]]+1,M1998)</f>
        <v>1.0940350000000001</v>
      </c>
      <c r="V1998">
        <f>(Tabela2[[#This Row],[SMOKE]]+Tabela2[[#This Row],[CALC_bebe_alcool_frequentemente]])</f>
        <v>1</v>
      </c>
      <c r="W1998" s="8">
        <f>(Tabela2[[#This Row],[Weight]]/(Tabela2[[#This Row],[Height]] ^2))</f>
        <v>44.821369998125981</v>
      </c>
    </row>
    <row r="1999" spans="1:23" x14ac:dyDescent="0.25">
      <c r="A1999" t="s">
        <v>13</v>
      </c>
      <c r="B1999" s="7">
        <v>20.102240999999999</v>
      </c>
      <c r="C1999" s="4">
        <v>1.8168679999999999</v>
      </c>
      <c r="D1999" s="7">
        <v>153.959945</v>
      </c>
      <c r="E1999">
        <v>1</v>
      </c>
      <c r="F1999">
        <v>1</v>
      </c>
      <c r="G1999" s="2">
        <v>3</v>
      </c>
      <c r="H1999" s="2">
        <v>3</v>
      </c>
      <c r="I1999">
        <v>1</v>
      </c>
      <c r="J1999">
        <v>0</v>
      </c>
      <c r="K1999" s="2">
        <v>2.414739</v>
      </c>
      <c r="L1999">
        <v>0</v>
      </c>
      <c r="M1999" s="7">
        <v>1.917014</v>
      </c>
      <c r="N1999" s="7">
        <v>0.92798199999999997</v>
      </c>
      <c r="O1999">
        <v>1</v>
      </c>
      <c r="P1999" t="s">
        <v>14</v>
      </c>
      <c r="Q1999">
        <v>6</v>
      </c>
      <c r="R1999" s="8">
        <f>(Tabela2[[#This Row],[FAF_atividade_fisica_frequente_em_horas]]+ 0.1)</f>
        <v>2.0170140000000001</v>
      </c>
      <c r="S1999" s="1">
        <f>(Tabela2[[#This Row],[TUE_tempo_uso_aparelhos_em_horas]]/Tabela2[[#This Row],[FAF_Var]])</f>
        <v>0.46007712390692379</v>
      </c>
      <c r="T1999">
        <f>(Tabela2[[#This Row],[CAEC_lanche_entre_refeicoes]]*Tabela2[[#This Row],[FAVC_consumo_frequente_de_alimentos_mt_caloricos]])</f>
        <v>1</v>
      </c>
      <c r="U1999" s="1">
        <f>IF(OR(Tabela2[[#This Row],[MTRANS]]="Walking",Tabela2[[#This Row],[MTRANS]]="Bike"),Tabela2[[#This Row],[FAF_atividade_fisica_frequente_em_horas]]+1,M1999)</f>
        <v>1.917014</v>
      </c>
      <c r="V1999">
        <f>(Tabela2[[#This Row],[SMOKE]]+Tabela2[[#This Row],[CALC_bebe_alcool_frequentemente]])</f>
        <v>1</v>
      </c>
      <c r="W1999" s="8">
        <f>(Tabela2[[#This Row],[Weight]]/(Tabela2[[#This Row],[Height]] ^2))</f>
        <v>46.640263518087302</v>
      </c>
    </row>
    <row r="2000" spans="1:23" x14ac:dyDescent="0.25">
      <c r="A2000" t="s">
        <v>13</v>
      </c>
      <c r="B2000" s="7">
        <v>21.291969000000002</v>
      </c>
      <c r="C2000" s="4">
        <v>1.8002</v>
      </c>
      <c r="D2000" s="7">
        <v>155.242672</v>
      </c>
      <c r="E2000">
        <v>1</v>
      </c>
      <c r="F2000">
        <v>1</v>
      </c>
      <c r="G2000" s="2">
        <v>3</v>
      </c>
      <c r="H2000" s="2">
        <v>3</v>
      </c>
      <c r="I2000">
        <v>1</v>
      </c>
      <c r="J2000">
        <v>0</v>
      </c>
      <c r="K2000" s="2">
        <v>2.3511929999999999</v>
      </c>
      <c r="L2000">
        <v>0</v>
      </c>
      <c r="M2000" s="7">
        <v>1.0518890000000001</v>
      </c>
      <c r="N2000" s="7">
        <v>0.68649099999999996</v>
      </c>
      <c r="O2000">
        <v>1</v>
      </c>
      <c r="P2000" t="s">
        <v>14</v>
      </c>
      <c r="Q2000">
        <v>6</v>
      </c>
      <c r="R2000" s="8">
        <f>(Tabela2[[#This Row],[FAF_atividade_fisica_frequente_em_horas]]+ 0.1)</f>
        <v>1.1518890000000002</v>
      </c>
      <c r="S2000" s="1">
        <f>(Tabela2[[#This Row],[TUE_tempo_uso_aparelhos_em_horas]]/Tabela2[[#This Row],[FAF_Var]])</f>
        <v>0.59596975055756229</v>
      </c>
      <c r="T2000">
        <f>(Tabela2[[#This Row],[CAEC_lanche_entre_refeicoes]]*Tabela2[[#This Row],[FAVC_consumo_frequente_de_alimentos_mt_caloricos]])</f>
        <v>1</v>
      </c>
      <c r="U2000" s="1">
        <f>IF(OR(Tabela2[[#This Row],[MTRANS]]="Walking",Tabela2[[#This Row],[MTRANS]]="Bike"),Tabela2[[#This Row],[FAF_atividade_fisica_frequente_em_horas]]+1,M2000)</f>
        <v>1.0518890000000001</v>
      </c>
      <c r="V2000">
        <f>(Tabela2[[#This Row],[SMOKE]]+Tabela2[[#This Row],[CALC_bebe_alcool_frequentemente]])</f>
        <v>1</v>
      </c>
      <c r="W2000" s="8">
        <f>(Tabela2[[#This Row],[Weight]]/(Tabela2[[#This Row],[Height]] ^2))</f>
        <v>47.903759067074482</v>
      </c>
    </row>
    <row r="2001" spans="1:23" x14ac:dyDescent="0.25">
      <c r="A2001" t="s">
        <v>13</v>
      </c>
      <c r="B2001" s="7">
        <v>20.530998</v>
      </c>
      <c r="C2001" s="4">
        <v>1.74647</v>
      </c>
      <c r="D2001" s="7">
        <v>133.644711</v>
      </c>
      <c r="E2001">
        <v>1</v>
      </c>
      <c r="F2001">
        <v>1</v>
      </c>
      <c r="G2001" s="2">
        <v>3</v>
      </c>
      <c r="H2001" s="2">
        <v>3</v>
      </c>
      <c r="I2001">
        <v>1</v>
      </c>
      <c r="J2001">
        <v>0</v>
      </c>
      <c r="K2001" s="2">
        <v>2.8960880000000002</v>
      </c>
      <c r="L2001">
        <v>0</v>
      </c>
      <c r="M2001" s="7">
        <v>1.612741</v>
      </c>
      <c r="N2001" s="7">
        <v>0.77319000000000004</v>
      </c>
      <c r="O2001">
        <v>1</v>
      </c>
      <c r="P2001" t="s">
        <v>14</v>
      </c>
      <c r="Q2001">
        <v>6</v>
      </c>
      <c r="R2001" s="8">
        <f>(Tabela2[[#This Row],[FAF_atividade_fisica_frequente_em_horas]]+ 0.1)</f>
        <v>1.7127410000000001</v>
      </c>
      <c r="S2001" s="1">
        <f>(Tabela2[[#This Row],[TUE_tempo_uso_aparelhos_em_horas]]/Tabela2[[#This Row],[FAF_Var]])</f>
        <v>0.45143427990571838</v>
      </c>
      <c r="T2001">
        <f>(Tabela2[[#This Row],[CAEC_lanche_entre_refeicoes]]*Tabela2[[#This Row],[FAVC_consumo_frequente_de_alimentos_mt_caloricos]])</f>
        <v>1</v>
      </c>
      <c r="U2001" s="1">
        <f>IF(OR(Tabela2[[#This Row],[MTRANS]]="Walking",Tabela2[[#This Row],[MTRANS]]="Bike"),Tabela2[[#This Row],[FAF_atividade_fisica_frequente_em_horas]]+1,M2001)</f>
        <v>1.612741</v>
      </c>
      <c r="V2001">
        <f>(Tabela2[[#This Row],[SMOKE]]+Tabela2[[#This Row],[CALC_bebe_alcool_frequentemente]])</f>
        <v>1</v>
      </c>
      <c r="W2001" s="8">
        <f>(Tabela2[[#This Row],[Weight]]/(Tabela2[[#This Row],[Height]] ^2))</f>
        <v>43.815675981713383</v>
      </c>
    </row>
    <row r="2002" spans="1:23" x14ac:dyDescent="0.25">
      <c r="A2002" t="s">
        <v>13</v>
      </c>
      <c r="B2002" s="7">
        <v>18.976967999999999</v>
      </c>
      <c r="C2002" s="4">
        <v>1.759091</v>
      </c>
      <c r="D2002" s="7">
        <v>133.90361200000001</v>
      </c>
      <c r="E2002">
        <v>1</v>
      </c>
      <c r="F2002">
        <v>1</v>
      </c>
      <c r="G2002" s="2">
        <v>3</v>
      </c>
      <c r="H2002" s="2">
        <v>3</v>
      </c>
      <c r="I2002">
        <v>1</v>
      </c>
      <c r="J2002">
        <v>0</v>
      </c>
      <c r="K2002" s="2">
        <v>2.8624079999999998</v>
      </c>
      <c r="L2002">
        <v>0</v>
      </c>
      <c r="M2002" s="7">
        <v>1.456933</v>
      </c>
      <c r="N2002" s="7">
        <v>0.74242300000000006</v>
      </c>
      <c r="O2002">
        <v>1</v>
      </c>
      <c r="P2002" t="s">
        <v>14</v>
      </c>
      <c r="Q2002">
        <v>6</v>
      </c>
      <c r="R2002" s="8">
        <f>(Tabela2[[#This Row],[FAF_atividade_fisica_frequente_em_horas]]+ 0.1)</f>
        <v>1.5569330000000001</v>
      </c>
      <c r="S2002" s="1">
        <f>(Tabela2[[#This Row],[TUE_tempo_uso_aparelhos_em_horas]]/Tabela2[[#This Row],[FAF_Var]])</f>
        <v>0.47684967818139895</v>
      </c>
      <c r="T2002">
        <f>(Tabela2[[#This Row],[CAEC_lanche_entre_refeicoes]]*Tabela2[[#This Row],[FAVC_consumo_frequente_de_alimentos_mt_caloricos]])</f>
        <v>1</v>
      </c>
      <c r="U2002" s="1">
        <f>IF(OR(Tabela2[[#This Row],[MTRANS]]="Walking",Tabela2[[#This Row],[MTRANS]]="Bike"),Tabela2[[#This Row],[FAF_atividade_fisica_frequente_em_horas]]+1,M2002)</f>
        <v>1.456933</v>
      </c>
      <c r="V2002">
        <f>(Tabela2[[#This Row],[SMOKE]]+Tabela2[[#This Row],[CALC_bebe_alcool_frequentemente]])</f>
        <v>1</v>
      </c>
      <c r="W2002" s="8">
        <f>(Tabela2[[#This Row],[Weight]]/(Tabela2[[#This Row],[Height]] ^2))</f>
        <v>43.272867889456357</v>
      </c>
    </row>
    <row r="2003" spans="1:23" x14ac:dyDescent="0.25">
      <c r="A2003" t="s">
        <v>13</v>
      </c>
      <c r="B2003" s="7">
        <v>20.924956000000002</v>
      </c>
      <c r="C2003" s="4">
        <v>1.7525310000000001</v>
      </c>
      <c r="D2003" s="7">
        <v>133.618706</v>
      </c>
      <c r="E2003">
        <v>1</v>
      </c>
      <c r="F2003">
        <v>1</v>
      </c>
      <c r="G2003" s="2">
        <v>3</v>
      </c>
      <c r="H2003" s="2">
        <v>3</v>
      </c>
      <c r="I2003">
        <v>1</v>
      </c>
      <c r="J2003">
        <v>0</v>
      </c>
      <c r="K2003" s="2">
        <v>2.8876590000000002</v>
      </c>
      <c r="L2003">
        <v>0</v>
      </c>
      <c r="M2003" s="7">
        <v>1.4809190000000001</v>
      </c>
      <c r="N2003" s="7">
        <v>0.77964100000000003</v>
      </c>
      <c r="O2003">
        <v>1</v>
      </c>
      <c r="P2003" t="s">
        <v>14</v>
      </c>
      <c r="Q2003">
        <v>6</v>
      </c>
      <c r="R2003" s="8">
        <f>(Tabela2[[#This Row],[FAF_atividade_fisica_frequente_em_horas]]+ 0.1)</f>
        <v>1.5809190000000002</v>
      </c>
      <c r="S2003" s="1">
        <f>(Tabela2[[#This Row],[TUE_tempo_uso_aparelhos_em_horas]]/Tabela2[[#This Row],[FAF_Var]])</f>
        <v>0.4931568284017081</v>
      </c>
      <c r="T2003">
        <f>(Tabela2[[#This Row],[CAEC_lanche_entre_refeicoes]]*Tabela2[[#This Row],[FAVC_consumo_frequente_de_alimentos_mt_caloricos]])</f>
        <v>1</v>
      </c>
      <c r="U2003" s="1">
        <f>IF(OR(Tabela2[[#This Row],[MTRANS]]="Walking",Tabela2[[#This Row],[MTRANS]]="Bike"),Tabela2[[#This Row],[FAF_atividade_fisica_frequente_em_horas]]+1,M2003)</f>
        <v>1.4809190000000001</v>
      </c>
      <c r="V2003">
        <f>(Tabela2[[#This Row],[SMOKE]]+Tabela2[[#This Row],[CALC_bebe_alcool_frequentemente]])</f>
        <v>1</v>
      </c>
      <c r="W2003" s="8">
        <f>(Tabela2[[#This Row],[Weight]]/(Tabela2[[#This Row],[Height]] ^2))</f>
        <v>43.50466652160695</v>
      </c>
    </row>
    <row r="2004" spans="1:23" x14ac:dyDescent="0.25">
      <c r="A2004" t="s">
        <v>13</v>
      </c>
      <c r="B2004" s="7">
        <v>21.282530000000001</v>
      </c>
      <c r="C2004" s="4">
        <v>1.761773</v>
      </c>
      <c r="D2004" s="7">
        <v>133.903469</v>
      </c>
      <c r="E2004">
        <v>1</v>
      </c>
      <c r="F2004">
        <v>1</v>
      </c>
      <c r="G2004" s="2">
        <v>3</v>
      </c>
      <c r="H2004" s="2">
        <v>3</v>
      </c>
      <c r="I2004">
        <v>1</v>
      </c>
      <c r="J2004">
        <v>0</v>
      </c>
      <c r="K2004" s="2">
        <v>2.893062</v>
      </c>
      <c r="L2004">
        <v>0</v>
      </c>
      <c r="M2004" s="7">
        <v>1.408177</v>
      </c>
      <c r="N2004" s="7">
        <v>0.80745699999999998</v>
      </c>
      <c r="O2004">
        <v>1</v>
      </c>
      <c r="P2004" t="s">
        <v>14</v>
      </c>
      <c r="Q2004">
        <v>6</v>
      </c>
      <c r="R2004" s="8">
        <f>(Tabela2[[#This Row],[FAF_atividade_fisica_frequente_em_horas]]+ 0.1)</f>
        <v>1.5081770000000001</v>
      </c>
      <c r="S2004" s="1">
        <f>(Tabela2[[#This Row],[TUE_tempo_uso_aparelhos_em_horas]]/Tabela2[[#This Row],[FAF_Var]])</f>
        <v>0.53538609858126729</v>
      </c>
      <c r="T2004">
        <f>(Tabela2[[#This Row],[CAEC_lanche_entre_refeicoes]]*Tabela2[[#This Row],[FAVC_consumo_frequente_de_alimentos_mt_caloricos]])</f>
        <v>1</v>
      </c>
      <c r="U2004" s="1">
        <f>IF(OR(Tabela2[[#This Row],[MTRANS]]="Walking",Tabela2[[#This Row],[MTRANS]]="Bike"),Tabela2[[#This Row],[FAF_atividade_fisica_frequente_em_horas]]+1,M2004)</f>
        <v>1.408177</v>
      </c>
      <c r="V2004">
        <f>(Tabela2[[#This Row],[SMOKE]]+Tabela2[[#This Row],[CALC_bebe_alcool_frequentemente]])</f>
        <v>1</v>
      </c>
      <c r="W2004" s="8">
        <f>(Tabela2[[#This Row],[Weight]]/(Tabela2[[#This Row],[Height]] ^2))</f>
        <v>43.141170926643774</v>
      </c>
    </row>
    <row r="2005" spans="1:23" x14ac:dyDescent="0.25">
      <c r="A2005" t="s">
        <v>13</v>
      </c>
      <c r="B2005" s="7">
        <v>26</v>
      </c>
      <c r="C2005" s="4">
        <v>1.633195</v>
      </c>
      <c r="D2005" s="7">
        <v>111.883747</v>
      </c>
      <c r="E2005">
        <v>1</v>
      </c>
      <c r="F2005">
        <v>1</v>
      </c>
      <c r="G2005" s="2">
        <v>3</v>
      </c>
      <c r="H2005" s="2">
        <v>3</v>
      </c>
      <c r="I2005">
        <v>1</v>
      </c>
      <c r="J2005">
        <v>0</v>
      </c>
      <c r="K2005" s="2">
        <v>2.6195170000000001</v>
      </c>
      <c r="L2005">
        <v>0</v>
      </c>
      <c r="M2005" s="7">
        <v>0</v>
      </c>
      <c r="N2005" s="7">
        <v>0.14036799999999999</v>
      </c>
      <c r="O2005">
        <v>1</v>
      </c>
      <c r="P2005" t="s">
        <v>14</v>
      </c>
      <c r="Q2005">
        <v>6</v>
      </c>
      <c r="R2005" s="8">
        <f>(Tabela2[[#This Row],[FAF_atividade_fisica_frequente_em_horas]]+ 0.1)</f>
        <v>0.1</v>
      </c>
      <c r="S2005" s="1">
        <f>(Tabela2[[#This Row],[TUE_tempo_uso_aparelhos_em_horas]]/Tabela2[[#This Row],[FAF_Var]])</f>
        <v>1.4036799999999998</v>
      </c>
      <c r="T2005">
        <f>(Tabela2[[#This Row],[CAEC_lanche_entre_refeicoes]]*Tabela2[[#This Row],[FAVC_consumo_frequente_de_alimentos_mt_caloricos]])</f>
        <v>1</v>
      </c>
      <c r="U2005" s="1">
        <f>IF(OR(Tabela2[[#This Row],[MTRANS]]="Walking",Tabela2[[#This Row],[MTRANS]]="Bike"),Tabela2[[#This Row],[FAF_atividade_fisica_frequente_em_horas]]+1,M2005)</f>
        <v>0</v>
      </c>
      <c r="V2005">
        <f>(Tabela2[[#This Row],[SMOKE]]+Tabela2[[#This Row],[CALC_bebe_alcool_frequentemente]])</f>
        <v>1</v>
      </c>
      <c r="W2005" s="8">
        <f>(Tabela2[[#This Row],[Weight]]/(Tabela2[[#This Row],[Height]] ^2))</f>
        <v>41.946035414488748</v>
      </c>
    </row>
    <row r="2006" spans="1:23" x14ac:dyDescent="0.25">
      <c r="A2006" t="s">
        <v>13</v>
      </c>
      <c r="B2006" s="7">
        <v>26</v>
      </c>
      <c r="C2006" s="4">
        <v>1.633945</v>
      </c>
      <c r="D2006" s="7">
        <v>111.9307</v>
      </c>
      <c r="E2006">
        <v>1</v>
      </c>
      <c r="F2006">
        <v>1</v>
      </c>
      <c r="G2006" s="2">
        <v>3</v>
      </c>
      <c r="H2006" s="2">
        <v>3</v>
      </c>
      <c r="I2006">
        <v>1</v>
      </c>
      <c r="J2006">
        <v>0</v>
      </c>
      <c r="K2006" s="2">
        <v>2.682804</v>
      </c>
      <c r="L2006">
        <v>0</v>
      </c>
      <c r="M2006" s="7">
        <v>0</v>
      </c>
      <c r="N2006" s="7">
        <v>0.15171000000000001</v>
      </c>
      <c r="O2006">
        <v>1</v>
      </c>
      <c r="P2006" t="s">
        <v>14</v>
      </c>
      <c r="Q2006">
        <v>6</v>
      </c>
      <c r="R2006" s="8">
        <f>(Tabela2[[#This Row],[FAF_atividade_fisica_frequente_em_horas]]+ 0.1)</f>
        <v>0.1</v>
      </c>
      <c r="S2006" s="1">
        <f>(Tabela2[[#This Row],[TUE_tempo_uso_aparelhos_em_horas]]/Tabela2[[#This Row],[FAF_Var]])</f>
        <v>1.5171000000000001</v>
      </c>
      <c r="T2006">
        <f>(Tabela2[[#This Row],[CAEC_lanche_entre_refeicoes]]*Tabela2[[#This Row],[FAVC_consumo_frequente_de_alimentos_mt_caloricos]])</f>
        <v>1</v>
      </c>
      <c r="U2006" s="1">
        <f>IF(OR(Tabela2[[#This Row],[MTRANS]]="Walking",Tabela2[[#This Row],[MTRANS]]="Bike"),Tabela2[[#This Row],[FAF_atividade_fisica_frequente_em_horas]]+1,M2006)</f>
        <v>0</v>
      </c>
      <c r="V2006">
        <f>(Tabela2[[#This Row],[SMOKE]]+Tabela2[[#This Row],[CALC_bebe_alcool_frequentemente]])</f>
        <v>1</v>
      </c>
      <c r="W2006" s="8">
        <f>(Tabela2[[#This Row],[Weight]]/(Tabela2[[#This Row],[Height]] ^2))</f>
        <v>41.92512367054178</v>
      </c>
    </row>
    <row r="2007" spans="1:23" x14ac:dyDescent="0.25">
      <c r="A2007" t="s">
        <v>13</v>
      </c>
      <c r="B2007" s="7">
        <v>26</v>
      </c>
      <c r="C2007" s="4">
        <v>1.6416010000000001</v>
      </c>
      <c r="D2007" s="7">
        <v>111.830924</v>
      </c>
      <c r="E2007">
        <v>1</v>
      </c>
      <c r="F2007">
        <v>1</v>
      </c>
      <c r="G2007" s="2">
        <v>3</v>
      </c>
      <c r="H2007" s="2">
        <v>3</v>
      </c>
      <c r="I2007">
        <v>1</v>
      </c>
      <c r="J2007">
        <v>0</v>
      </c>
      <c r="K2007" s="2">
        <v>2.5523880000000001</v>
      </c>
      <c r="L2007">
        <v>0</v>
      </c>
      <c r="M2007" s="7">
        <v>0</v>
      </c>
      <c r="N2007" s="7">
        <v>0.19628799999999999</v>
      </c>
      <c r="O2007">
        <v>1</v>
      </c>
      <c r="P2007" t="s">
        <v>14</v>
      </c>
      <c r="Q2007">
        <v>6</v>
      </c>
      <c r="R2007" s="8">
        <f>(Tabela2[[#This Row],[FAF_atividade_fisica_frequente_em_horas]]+ 0.1)</f>
        <v>0.1</v>
      </c>
      <c r="S2007" s="1">
        <f>(Tabela2[[#This Row],[TUE_tempo_uso_aparelhos_em_horas]]/Tabela2[[#This Row],[FAF_Var]])</f>
        <v>1.9628799999999997</v>
      </c>
      <c r="T2007">
        <f>(Tabela2[[#This Row],[CAEC_lanche_entre_refeicoes]]*Tabela2[[#This Row],[FAVC_consumo_frequente_de_alimentos_mt_caloricos]])</f>
        <v>1</v>
      </c>
      <c r="U2007" s="1">
        <f>IF(OR(Tabela2[[#This Row],[MTRANS]]="Walking",Tabela2[[#This Row],[MTRANS]]="Bike"),Tabela2[[#This Row],[FAF_atividade_fisica_frequente_em_horas]]+1,M2007)</f>
        <v>0</v>
      </c>
      <c r="V2007">
        <f>(Tabela2[[#This Row],[SMOKE]]+Tabela2[[#This Row],[CALC_bebe_alcool_frequentemente]])</f>
        <v>1</v>
      </c>
      <c r="W2007" s="8">
        <f>(Tabela2[[#This Row],[Weight]]/(Tabela2[[#This Row],[Height]] ^2))</f>
        <v>41.497955179329885</v>
      </c>
    </row>
    <row r="2008" spans="1:23" x14ac:dyDescent="0.25">
      <c r="A2008" t="s">
        <v>13</v>
      </c>
      <c r="B2008" s="7">
        <v>26</v>
      </c>
      <c r="C2008" s="4">
        <v>1.641132</v>
      </c>
      <c r="D2008" s="7">
        <v>111.841706</v>
      </c>
      <c r="E2008">
        <v>1</v>
      </c>
      <c r="F2008">
        <v>1</v>
      </c>
      <c r="G2008" s="2">
        <v>3</v>
      </c>
      <c r="H2008" s="2">
        <v>3</v>
      </c>
      <c r="I2008">
        <v>1</v>
      </c>
      <c r="J2008">
        <v>0</v>
      </c>
      <c r="K2008" s="2">
        <v>2.6174010000000001</v>
      </c>
      <c r="L2008">
        <v>0</v>
      </c>
      <c r="M2008" s="7">
        <v>0</v>
      </c>
      <c r="N2008" s="7">
        <v>0.200379</v>
      </c>
      <c r="O2008">
        <v>1</v>
      </c>
      <c r="P2008" t="s">
        <v>14</v>
      </c>
      <c r="Q2008">
        <v>6</v>
      </c>
      <c r="R2008" s="8">
        <f>(Tabela2[[#This Row],[FAF_atividade_fisica_frequente_em_horas]]+ 0.1)</f>
        <v>0.1</v>
      </c>
      <c r="S2008" s="1">
        <f>(Tabela2[[#This Row],[TUE_tempo_uso_aparelhos_em_horas]]/Tabela2[[#This Row],[FAF_Var]])</f>
        <v>2.00379</v>
      </c>
      <c r="T2008">
        <f>(Tabela2[[#This Row],[CAEC_lanche_entre_refeicoes]]*Tabela2[[#This Row],[FAVC_consumo_frequente_de_alimentos_mt_caloricos]])</f>
        <v>1</v>
      </c>
      <c r="U2008" s="1">
        <f>IF(OR(Tabela2[[#This Row],[MTRANS]]="Walking",Tabela2[[#This Row],[MTRANS]]="Bike"),Tabela2[[#This Row],[FAF_atividade_fisica_frequente_em_horas]]+1,M2008)</f>
        <v>0</v>
      </c>
      <c r="V2008">
        <f>(Tabela2[[#This Row],[SMOKE]]+Tabela2[[#This Row],[CALC_bebe_alcool_frequentemente]])</f>
        <v>1</v>
      </c>
      <c r="W2008" s="8">
        <f>(Tabela2[[#This Row],[Weight]]/(Tabela2[[#This Row],[Height]] ^2))</f>
        <v>41.52568024920383</v>
      </c>
    </row>
    <row r="2009" spans="1:23" x14ac:dyDescent="0.25">
      <c r="A2009" t="s">
        <v>13</v>
      </c>
      <c r="B2009" s="7">
        <v>25.999174</v>
      </c>
      <c r="C2009" s="4">
        <v>1.638218</v>
      </c>
      <c r="D2009" s="7">
        <v>104.810024</v>
      </c>
      <c r="E2009">
        <v>1</v>
      </c>
      <c r="F2009">
        <v>1</v>
      </c>
      <c r="G2009" s="2">
        <v>3</v>
      </c>
      <c r="H2009" s="2">
        <v>3</v>
      </c>
      <c r="I2009">
        <v>1</v>
      </c>
      <c r="J2009">
        <v>0</v>
      </c>
      <c r="K2009" s="2">
        <v>2.654636</v>
      </c>
      <c r="L2009">
        <v>0</v>
      </c>
      <c r="M2009" s="7">
        <v>6.9237999999999994E-2</v>
      </c>
      <c r="N2009" s="7">
        <v>0.62957799999999997</v>
      </c>
      <c r="O2009">
        <v>1</v>
      </c>
      <c r="P2009" t="s">
        <v>14</v>
      </c>
      <c r="Q2009">
        <v>6</v>
      </c>
      <c r="R2009" s="8">
        <f>(Tabela2[[#This Row],[FAF_atividade_fisica_frequente_em_horas]]+ 0.1)</f>
        <v>0.169238</v>
      </c>
      <c r="S2009" s="1">
        <f>(Tabela2[[#This Row],[TUE_tempo_uso_aparelhos_em_horas]]/Tabela2[[#This Row],[FAF_Var]])</f>
        <v>3.7200746877178883</v>
      </c>
      <c r="T2009">
        <f>(Tabela2[[#This Row],[CAEC_lanche_entre_refeicoes]]*Tabela2[[#This Row],[FAVC_consumo_frequente_de_alimentos_mt_caloricos]])</f>
        <v>1</v>
      </c>
      <c r="U2009" s="1">
        <f>IF(OR(Tabela2[[#This Row],[MTRANS]]="Walking",Tabela2[[#This Row],[MTRANS]]="Bike"),Tabela2[[#This Row],[FAF_atividade_fisica_frequente_em_horas]]+1,M2009)</f>
        <v>6.9237999999999994E-2</v>
      </c>
      <c r="V2009">
        <f>(Tabela2[[#This Row],[SMOKE]]+Tabela2[[#This Row],[CALC_bebe_alcool_frequentemente]])</f>
        <v>1</v>
      </c>
      <c r="W2009" s="8">
        <f>(Tabela2[[#This Row],[Weight]]/(Tabela2[[#This Row],[Height]] ^2))</f>
        <v>39.053452503185355</v>
      </c>
    </row>
    <row r="2010" spans="1:23" x14ac:dyDescent="0.25">
      <c r="A2010" t="s">
        <v>13</v>
      </c>
      <c r="B2010" s="7">
        <v>25.999942000000001</v>
      </c>
      <c r="C2010" s="4">
        <v>1.627483</v>
      </c>
      <c r="D2010" s="7">
        <v>104.88199400000001</v>
      </c>
      <c r="E2010">
        <v>1</v>
      </c>
      <c r="F2010">
        <v>1</v>
      </c>
      <c r="G2010" s="2">
        <v>3</v>
      </c>
      <c r="H2010" s="2">
        <v>3</v>
      </c>
      <c r="I2010">
        <v>1</v>
      </c>
      <c r="J2010">
        <v>0</v>
      </c>
      <c r="K2010" s="2">
        <v>2.5693640000000002</v>
      </c>
      <c r="L2010">
        <v>0</v>
      </c>
      <c r="M2010" s="7">
        <v>0.15925500000000001</v>
      </c>
      <c r="N2010" s="7">
        <v>0.41944599999999999</v>
      </c>
      <c r="O2010">
        <v>1</v>
      </c>
      <c r="P2010" t="s">
        <v>14</v>
      </c>
      <c r="Q2010">
        <v>6</v>
      </c>
      <c r="R2010" s="8">
        <f>(Tabela2[[#This Row],[FAF_atividade_fisica_frequente_em_horas]]+ 0.1)</f>
        <v>0.25925500000000001</v>
      </c>
      <c r="S2010" s="1">
        <f>(Tabela2[[#This Row],[TUE_tempo_uso_aparelhos_em_horas]]/Tabela2[[#This Row],[FAF_Var]])</f>
        <v>1.6178897224740119</v>
      </c>
      <c r="T2010">
        <f>(Tabela2[[#This Row],[CAEC_lanche_entre_refeicoes]]*Tabela2[[#This Row],[FAVC_consumo_frequente_de_alimentos_mt_caloricos]])</f>
        <v>1</v>
      </c>
      <c r="U2010" s="1">
        <f>IF(OR(Tabela2[[#This Row],[MTRANS]]="Walking",Tabela2[[#This Row],[MTRANS]]="Bike"),Tabela2[[#This Row],[FAF_atividade_fisica_frequente_em_horas]]+1,M2010)</f>
        <v>0.15925500000000001</v>
      </c>
      <c r="V2010">
        <f>(Tabela2[[#This Row],[SMOKE]]+Tabela2[[#This Row],[CALC_bebe_alcool_frequentemente]])</f>
        <v>1</v>
      </c>
      <c r="W2010" s="8">
        <f>(Tabela2[[#This Row],[Weight]]/(Tabela2[[#This Row],[Height]] ^2))</f>
        <v>39.59752246642627</v>
      </c>
    </row>
    <row r="2011" spans="1:23" x14ac:dyDescent="0.25">
      <c r="A2011" t="s">
        <v>13</v>
      </c>
      <c r="B2011" s="7">
        <v>26</v>
      </c>
      <c r="C2011" s="4">
        <v>1.610225</v>
      </c>
      <c r="D2011" s="7">
        <v>104.936381</v>
      </c>
      <c r="E2011">
        <v>1</v>
      </c>
      <c r="F2011">
        <v>1</v>
      </c>
      <c r="G2011" s="2">
        <v>3</v>
      </c>
      <c r="H2011" s="2">
        <v>3</v>
      </c>
      <c r="I2011">
        <v>1</v>
      </c>
      <c r="J2011">
        <v>0</v>
      </c>
      <c r="K2011" s="2">
        <v>1.322004</v>
      </c>
      <c r="L2011">
        <v>0</v>
      </c>
      <c r="M2011" s="7">
        <v>0</v>
      </c>
      <c r="N2011" s="7">
        <v>0.53987600000000002</v>
      </c>
      <c r="O2011">
        <v>1</v>
      </c>
      <c r="P2011" t="s">
        <v>14</v>
      </c>
      <c r="Q2011">
        <v>6</v>
      </c>
      <c r="R2011" s="8">
        <f>(Tabela2[[#This Row],[FAF_atividade_fisica_frequente_em_horas]]+ 0.1)</f>
        <v>0.1</v>
      </c>
      <c r="S2011" s="1">
        <f>(Tabela2[[#This Row],[TUE_tempo_uso_aparelhos_em_horas]]/Tabela2[[#This Row],[FAF_Var]])</f>
        <v>5.3987600000000002</v>
      </c>
      <c r="T2011">
        <f>(Tabela2[[#This Row],[CAEC_lanche_entre_refeicoes]]*Tabela2[[#This Row],[FAVC_consumo_frequente_de_alimentos_mt_caloricos]])</f>
        <v>1</v>
      </c>
      <c r="U2011" s="1">
        <f>IF(OR(Tabela2[[#This Row],[MTRANS]]="Walking",Tabela2[[#This Row],[MTRANS]]="Bike"),Tabela2[[#This Row],[FAF_atividade_fisica_frequente_em_horas]]+1,M2011)</f>
        <v>0</v>
      </c>
      <c r="V2011">
        <f>(Tabela2[[#This Row],[SMOKE]]+Tabela2[[#This Row],[CALC_bebe_alcool_frequentemente]])</f>
        <v>1</v>
      </c>
      <c r="W2011" s="8">
        <f>(Tabela2[[#This Row],[Weight]]/(Tabela2[[#This Row],[Height]] ^2))</f>
        <v>40.471840246462143</v>
      </c>
    </row>
    <row r="2012" spans="1:23" x14ac:dyDescent="0.25">
      <c r="A2012" t="s">
        <v>13</v>
      </c>
      <c r="B2012" s="7">
        <v>26</v>
      </c>
      <c r="C2012" s="4">
        <v>1.6173900000000001</v>
      </c>
      <c r="D2012" s="7">
        <v>105.013901</v>
      </c>
      <c r="E2012">
        <v>1</v>
      </c>
      <c r="F2012">
        <v>1</v>
      </c>
      <c r="G2012" s="2">
        <v>3</v>
      </c>
      <c r="H2012" s="2">
        <v>3</v>
      </c>
      <c r="I2012">
        <v>1</v>
      </c>
      <c r="J2012">
        <v>0</v>
      </c>
      <c r="K2012" s="2">
        <v>1.2924789999999999</v>
      </c>
      <c r="L2012">
        <v>0</v>
      </c>
      <c r="M2012" s="7">
        <v>0</v>
      </c>
      <c r="N2012" s="7">
        <v>0.54130900000000004</v>
      </c>
      <c r="O2012">
        <v>1</v>
      </c>
      <c r="P2012" t="s">
        <v>14</v>
      </c>
      <c r="Q2012">
        <v>6</v>
      </c>
      <c r="R2012" s="8">
        <f>(Tabela2[[#This Row],[FAF_atividade_fisica_frequente_em_horas]]+ 0.1)</f>
        <v>0.1</v>
      </c>
      <c r="S2012" s="1">
        <f>(Tabela2[[#This Row],[TUE_tempo_uso_aparelhos_em_horas]]/Tabela2[[#This Row],[FAF_Var]])</f>
        <v>5.4130900000000004</v>
      </c>
      <c r="T2012">
        <f>(Tabela2[[#This Row],[CAEC_lanche_entre_refeicoes]]*Tabela2[[#This Row],[FAVC_consumo_frequente_de_alimentos_mt_caloricos]])</f>
        <v>1</v>
      </c>
      <c r="U2012" s="1">
        <f>IF(OR(Tabela2[[#This Row],[MTRANS]]="Walking",Tabela2[[#This Row],[MTRANS]]="Bike"),Tabela2[[#This Row],[FAF_atividade_fisica_frequente_em_horas]]+1,M2012)</f>
        <v>0</v>
      </c>
      <c r="V2012">
        <f>(Tabela2[[#This Row],[SMOKE]]+Tabela2[[#This Row],[CALC_bebe_alcool_frequentemente]])</f>
        <v>1</v>
      </c>
      <c r="W2012" s="8">
        <f>(Tabela2[[#This Row],[Weight]]/(Tabela2[[#This Row],[Height]] ^2))</f>
        <v>40.14368946531301</v>
      </c>
    </row>
    <row r="2013" spans="1:23" x14ac:dyDescent="0.25">
      <c r="A2013" t="s">
        <v>13</v>
      </c>
      <c r="B2013" s="7">
        <v>23.365041000000002</v>
      </c>
      <c r="C2013" s="4">
        <v>1.744319</v>
      </c>
      <c r="D2013" s="7">
        <v>133.45249000000001</v>
      </c>
      <c r="E2013">
        <v>1</v>
      </c>
      <c r="F2013">
        <v>1</v>
      </c>
      <c r="G2013" s="2">
        <v>3</v>
      </c>
      <c r="H2013" s="2">
        <v>3</v>
      </c>
      <c r="I2013">
        <v>1</v>
      </c>
      <c r="J2013">
        <v>0</v>
      </c>
      <c r="K2013" s="2">
        <v>2.8390689999999998</v>
      </c>
      <c r="L2013">
        <v>0</v>
      </c>
      <c r="M2013" s="7">
        <v>1.231031</v>
      </c>
      <c r="N2013" s="7">
        <v>0.79249599999999998</v>
      </c>
      <c r="O2013">
        <v>1</v>
      </c>
      <c r="P2013" t="s">
        <v>14</v>
      </c>
      <c r="Q2013">
        <v>6</v>
      </c>
      <c r="R2013" s="8">
        <f>(Tabela2[[#This Row],[FAF_atividade_fisica_frequente_em_horas]]+ 0.1)</f>
        <v>1.3310310000000001</v>
      </c>
      <c r="S2013" s="1">
        <f>(Tabela2[[#This Row],[TUE_tempo_uso_aparelhos_em_horas]]/Tabela2[[#This Row],[FAF_Var]])</f>
        <v>0.59540010713499525</v>
      </c>
      <c r="T2013">
        <f>(Tabela2[[#This Row],[CAEC_lanche_entre_refeicoes]]*Tabela2[[#This Row],[FAVC_consumo_frequente_de_alimentos_mt_caloricos]])</f>
        <v>1</v>
      </c>
      <c r="U2013" s="1">
        <f>IF(OR(Tabela2[[#This Row],[MTRANS]]="Walking",Tabela2[[#This Row],[MTRANS]]="Bike"),Tabela2[[#This Row],[FAF_atividade_fisica_frequente_em_horas]]+1,M2013)</f>
        <v>1.231031</v>
      </c>
      <c r="V2013">
        <f>(Tabela2[[#This Row],[SMOKE]]+Tabela2[[#This Row],[CALC_bebe_alcool_frequentemente]])</f>
        <v>1</v>
      </c>
      <c r="W2013" s="8">
        <f>(Tabela2[[#This Row],[Weight]]/(Tabela2[[#This Row],[Height]] ^2))</f>
        <v>43.860629314450968</v>
      </c>
    </row>
    <row r="2014" spans="1:23" x14ac:dyDescent="0.25">
      <c r="A2014" t="s">
        <v>13</v>
      </c>
      <c r="B2014" s="7">
        <v>23.421726</v>
      </c>
      <c r="C2014" s="4">
        <v>1.7554670000000001</v>
      </c>
      <c r="D2014" s="7">
        <v>133.478611</v>
      </c>
      <c r="E2014">
        <v>1</v>
      </c>
      <c r="F2014">
        <v>1</v>
      </c>
      <c r="G2014" s="2">
        <v>3</v>
      </c>
      <c r="H2014" s="2">
        <v>3</v>
      </c>
      <c r="I2014">
        <v>1</v>
      </c>
      <c r="J2014">
        <v>0</v>
      </c>
      <c r="K2014" s="2">
        <v>2.843782</v>
      </c>
      <c r="L2014">
        <v>0</v>
      </c>
      <c r="M2014" s="7">
        <v>1.3025070000000001</v>
      </c>
      <c r="N2014" s="7">
        <v>0.77380700000000002</v>
      </c>
      <c r="O2014">
        <v>1</v>
      </c>
      <c r="P2014" t="s">
        <v>14</v>
      </c>
      <c r="Q2014">
        <v>6</v>
      </c>
      <c r="R2014" s="8">
        <f>(Tabela2[[#This Row],[FAF_atividade_fisica_frequente_em_horas]]+ 0.1)</f>
        <v>1.4025070000000002</v>
      </c>
      <c r="S2014" s="1">
        <f>(Tabela2[[#This Row],[TUE_tempo_uso_aparelhos_em_horas]]/Tabela2[[#This Row],[FAF_Var]])</f>
        <v>0.55173129260673914</v>
      </c>
      <c r="T2014">
        <f>(Tabela2[[#This Row],[CAEC_lanche_entre_refeicoes]]*Tabela2[[#This Row],[FAVC_consumo_frequente_de_alimentos_mt_caloricos]])</f>
        <v>1</v>
      </c>
      <c r="U2014" s="1">
        <f>IF(OR(Tabela2[[#This Row],[MTRANS]]="Walking",Tabela2[[#This Row],[MTRANS]]="Bike"),Tabela2[[#This Row],[FAF_atividade_fisica_frequente_em_horas]]+1,M2014)</f>
        <v>1.3025070000000001</v>
      </c>
      <c r="V2014">
        <f>(Tabela2[[#This Row],[SMOKE]]+Tabela2[[#This Row],[CALC_bebe_alcool_frequentemente]])</f>
        <v>1</v>
      </c>
      <c r="W2014" s="8">
        <f>(Tabela2[[#This Row],[Weight]]/(Tabela2[[#This Row],[Height]] ^2))</f>
        <v>43.313805200822877</v>
      </c>
    </row>
    <row r="2015" spans="1:23" x14ac:dyDescent="0.25">
      <c r="A2015" t="s">
        <v>13</v>
      </c>
      <c r="B2015" s="7">
        <v>18.826782000000001</v>
      </c>
      <c r="C2015" s="4">
        <v>1.746416</v>
      </c>
      <c r="D2015" s="7">
        <v>133.74701200000001</v>
      </c>
      <c r="E2015">
        <v>1</v>
      </c>
      <c r="F2015">
        <v>1</v>
      </c>
      <c r="G2015" s="2">
        <v>3</v>
      </c>
      <c r="H2015" s="2">
        <v>3</v>
      </c>
      <c r="I2015">
        <v>1</v>
      </c>
      <c r="J2015">
        <v>0</v>
      </c>
      <c r="K2015" s="2">
        <v>2.8583889999999998</v>
      </c>
      <c r="L2015">
        <v>0</v>
      </c>
      <c r="M2015" s="7">
        <v>1.4443820000000001</v>
      </c>
      <c r="N2015" s="7">
        <v>0.71382299999999999</v>
      </c>
      <c r="O2015">
        <v>1</v>
      </c>
      <c r="P2015" t="s">
        <v>14</v>
      </c>
      <c r="Q2015">
        <v>6</v>
      </c>
      <c r="R2015" s="8">
        <f>(Tabela2[[#This Row],[FAF_atividade_fisica_frequente_em_horas]]+ 0.1)</f>
        <v>1.5443820000000001</v>
      </c>
      <c r="S2015" s="1">
        <f>(Tabela2[[#This Row],[TUE_tempo_uso_aparelhos_em_horas]]/Tabela2[[#This Row],[FAF_Var]])</f>
        <v>0.46220624171998892</v>
      </c>
      <c r="T2015">
        <f>(Tabela2[[#This Row],[CAEC_lanche_entre_refeicoes]]*Tabela2[[#This Row],[FAVC_consumo_frequente_de_alimentos_mt_caloricos]])</f>
        <v>1</v>
      </c>
      <c r="U2015" s="1">
        <f>IF(OR(Tabela2[[#This Row],[MTRANS]]="Walking",Tabela2[[#This Row],[MTRANS]]="Bike"),Tabela2[[#This Row],[FAF_atividade_fisica_frequente_em_horas]]+1,M2015)</f>
        <v>1.4443820000000001</v>
      </c>
      <c r="V2015">
        <f>(Tabela2[[#This Row],[SMOKE]]+Tabela2[[#This Row],[CALC_bebe_alcool_frequentemente]])</f>
        <v>1</v>
      </c>
      <c r="W2015" s="8">
        <f>(Tabela2[[#This Row],[Weight]]/(Tabela2[[#This Row],[Height]] ^2))</f>
        <v>43.851927280111056</v>
      </c>
    </row>
    <row r="2016" spans="1:23" x14ac:dyDescent="0.25">
      <c r="A2016" t="s">
        <v>13</v>
      </c>
      <c r="B2016" s="7">
        <v>18.940930000000002</v>
      </c>
      <c r="C2016" s="4">
        <v>1.7464109999999999</v>
      </c>
      <c r="D2016" s="7">
        <v>133.67666299999999</v>
      </c>
      <c r="E2016">
        <v>1</v>
      </c>
      <c r="F2016">
        <v>1</v>
      </c>
      <c r="G2016" s="2">
        <v>3</v>
      </c>
      <c r="H2016" s="2">
        <v>3</v>
      </c>
      <c r="I2016">
        <v>1</v>
      </c>
      <c r="J2016">
        <v>0</v>
      </c>
      <c r="K2016" s="2">
        <v>2.8649330000000002</v>
      </c>
      <c r="L2016">
        <v>0</v>
      </c>
      <c r="M2016" s="7">
        <v>1.501647</v>
      </c>
      <c r="N2016" s="7">
        <v>0.78684600000000005</v>
      </c>
      <c r="O2016">
        <v>1</v>
      </c>
      <c r="P2016" t="s">
        <v>14</v>
      </c>
      <c r="Q2016">
        <v>6</v>
      </c>
      <c r="R2016" s="8">
        <f>(Tabela2[[#This Row],[FAF_atividade_fisica_frequente_em_horas]]+ 0.1)</f>
        <v>1.601647</v>
      </c>
      <c r="S2016" s="1">
        <f>(Tabela2[[#This Row],[TUE_tempo_uso_aparelhos_em_horas]]/Tabela2[[#This Row],[FAF_Var]])</f>
        <v>0.49127304580847092</v>
      </c>
      <c r="T2016">
        <f>(Tabela2[[#This Row],[CAEC_lanche_entre_refeicoes]]*Tabela2[[#This Row],[FAVC_consumo_frequente_de_alimentos_mt_caloricos]])</f>
        <v>1</v>
      </c>
      <c r="U2016" s="1">
        <f>IF(OR(Tabela2[[#This Row],[MTRANS]]="Walking",Tabela2[[#This Row],[MTRANS]]="Bike"),Tabela2[[#This Row],[FAF_atividade_fisica_frequente_em_horas]]+1,M2016)</f>
        <v>1.501647</v>
      </c>
      <c r="V2016">
        <f>(Tabela2[[#This Row],[SMOKE]]+Tabela2[[#This Row],[CALC_bebe_alcool_frequentemente]])</f>
        <v>1</v>
      </c>
      <c r="W2016" s="8">
        <f>(Tabela2[[#This Row],[Weight]]/(Tabela2[[#This Row],[Height]] ^2))</f>
        <v>43.829112764293768</v>
      </c>
    </row>
    <row r="2017" spans="1:23" x14ac:dyDescent="0.25">
      <c r="A2017" t="s">
        <v>13</v>
      </c>
      <c r="B2017" s="7">
        <v>25.921678</v>
      </c>
      <c r="C2017" s="4">
        <v>1.6114520000000001</v>
      </c>
      <c r="D2017" s="7">
        <v>102.36314900000001</v>
      </c>
      <c r="E2017">
        <v>1</v>
      </c>
      <c r="F2017">
        <v>1</v>
      </c>
      <c r="G2017" s="2">
        <v>3</v>
      </c>
      <c r="H2017" s="2">
        <v>3</v>
      </c>
      <c r="I2017">
        <v>1</v>
      </c>
      <c r="J2017">
        <v>0</v>
      </c>
      <c r="K2017" s="2">
        <v>1.031701</v>
      </c>
      <c r="L2017">
        <v>0</v>
      </c>
      <c r="M2017" s="7">
        <v>3.465E-2</v>
      </c>
      <c r="N2017" s="7">
        <v>0.91234499999999996</v>
      </c>
      <c r="O2017">
        <v>1</v>
      </c>
      <c r="P2017" t="s">
        <v>14</v>
      </c>
      <c r="Q2017">
        <v>6</v>
      </c>
      <c r="R2017" s="8">
        <f>(Tabela2[[#This Row],[FAF_atividade_fisica_frequente_em_horas]]+ 0.1)</f>
        <v>0.13464999999999999</v>
      </c>
      <c r="S2017" s="1">
        <f>(Tabela2[[#This Row],[TUE_tempo_uso_aparelhos_em_horas]]/Tabela2[[#This Row],[FAF_Var]])</f>
        <v>6.775677682881545</v>
      </c>
      <c r="T2017">
        <f>(Tabela2[[#This Row],[CAEC_lanche_entre_refeicoes]]*Tabela2[[#This Row],[FAVC_consumo_frequente_de_alimentos_mt_caloricos]])</f>
        <v>1</v>
      </c>
      <c r="U2017" s="1">
        <f>IF(OR(Tabela2[[#This Row],[MTRANS]]="Walking",Tabela2[[#This Row],[MTRANS]]="Bike"),Tabela2[[#This Row],[FAF_atividade_fisica_frequente_em_horas]]+1,M2017)</f>
        <v>3.465E-2</v>
      </c>
      <c r="V2017">
        <f>(Tabela2[[#This Row],[SMOKE]]+Tabela2[[#This Row],[CALC_bebe_alcool_frequentemente]])</f>
        <v>1</v>
      </c>
      <c r="W2017" s="8">
        <f>(Tabela2[[#This Row],[Weight]]/(Tabela2[[#This Row],[Height]] ^2))</f>
        <v>39.419298378813821</v>
      </c>
    </row>
    <row r="2018" spans="1:23" x14ac:dyDescent="0.25">
      <c r="A2018" t="s">
        <v>13</v>
      </c>
      <c r="B2018" s="7">
        <v>25.940152999999999</v>
      </c>
      <c r="C2018" s="4">
        <v>1.596813</v>
      </c>
      <c r="D2018" s="7">
        <v>102.320437</v>
      </c>
      <c r="E2018">
        <v>1</v>
      </c>
      <c r="F2018">
        <v>1</v>
      </c>
      <c r="G2018" s="2">
        <v>3</v>
      </c>
      <c r="H2018" s="2">
        <v>3</v>
      </c>
      <c r="I2018">
        <v>1</v>
      </c>
      <c r="J2018">
        <v>0</v>
      </c>
      <c r="K2018" s="2">
        <v>1.0005360000000001</v>
      </c>
      <c r="L2018">
        <v>0</v>
      </c>
      <c r="M2018" s="7">
        <v>5.9389999999999998E-3</v>
      </c>
      <c r="N2018" s="7">
        <v>0.566353</v>
      </c>
      <c r="O2018">
        <v>1</v>
      </c>
      <c r="P2018" t="s">
        <v>14</v>
      </c>
      <c r="Q2018">
        <v>6</v>
      </c>
      <c r="R2018" s="8">
        <f>(Tabela2[[#This Row],[FAF_atividade_fisica_frequente_em_horas]]+ 0.1)</f>
        <v>0.10593900000000001</v>
      </c>
      <c r="S2018" s="1">
        <f>(Tabela2[[#This Row],[TUE_tempo_uso_aparelhos_em_horas]]/Tabela2[[#This Row],[FAF_Var]])</f>
        <v>5.3460293187589079</v>
      </c>
      <c r="T2018">
        <f>(Tabela2[[#This Row],[CAEC_lanche_entre_refeicoes]]*Tabela2[[#This Row],[FAVC_consumo_frequente_de_alimentos_mt_caloricos]])</f>
        <v>1</v>
      </c>
      <c r="U2018" s="1">
        <f>IF(OR(Tabela2[[#This Row],[MTRANS]]="Walking",Tabela2[[#This Row],[MTRANS]]="Bike"),Tabela2[[#This Row],[FAF_atividade_fisica_frequente_em_horas]]+1,M2018)</f>
        <v>5.9389999999999998E-3</v>
      </c>
      <c r="V2018">
        <f>(Tabela2[[#This Row],[SMOKE]]+Tabela2[[#This Row],[CALC_bebe_alcool_frequentemente]])</f>
        <v>1</v>
      </c>
      <c r="W2018" s="8">
        <f>(Tabela2[[#This Row],[Weight]]/(Tabela2[[#This Row],[Height]] ^2))</f>
        <v>40.12862389560469</v>
      </c>
    </row>
    <row r="2019" spans="1:23" x14ac:dyDescent="0.25">
      <c r="A2019" t="s">
        <v>13</v>
      </c>
      <c r="B2019" s="7">
        <v>25.999635999999999</v>
      </c>
      <c r="C2019" s="4">
        <v>1.6101259999999999</v>
      </c>
      <c r="D2019" s="7">
        <v>102.686908</v>
      </c>
      <c r="E2019">
        <v>1</v>
      </c>
      <c r="F2019">
        <v>1</v>
      </c>
      <c r="G2019" s="2">
        <v>3</v>
      </c>
      <c r="H2019" s="2">
        <v>3</v>
      </c>
      <c r="I2019">
        <v>1</v>
      </c>
      <c r="J2019">
        <v>0</v>
      </c>
      <c r="K2019" s="2">
        <v>1.020313</v>
      </c>
      <c r="L2019">
        <v>0</v>
      </c>
      <c r="M2019" s="7">
        <v>0.108386</v>
      </c>
      <c r="N2019" s="7">
        <v>1</v>
      </c>
      <c r="O2019">
        <v>1</v>
      </c>
      <c r="P2019" t="s">
        <v>14</v>
      </c>
      <c r="Q2019">
        <v>6</v>
      </c>
      <c r="R2019" s="8">
        <f>(Tabela2[[#This Row],[FAF_atividade_fisica_frequente_em_horas]]+ 0.1)</f>
        <v>0.20838600000000002</v>
      </c>
      <c r="S2019" s="1">
        <f>(Tabela2[[#This Row],[TUE_tempo_uso_aparelhos_em_horas]]/Tabela2[[#This Row],[FAF_Var]])</f>
        <v>4.7987868666801026</v>
      </c>
      <c r="T2019">
        <f>(Tabela2[[#This Row],[CAEC_lanche_entre_refeicoes]]*Tabela2[[#This Row],[FAVC_consumo_frequente_de_alimentos_mt_caloricos]])</f>
        <v>1</v>
      </c>
      <c r="U2019" s="1">
        <f>IF(OR(Tabela2[[#This Row],[MTRANS]]="Walking",Tabela2[[#This Row],[MTRANS]]="Bike"),Tabela2[[#This Row],[FAF_atividade_fisica_frequente_em_horas]]+1,M2019)</f>
        <v>0.108386</v>
      </c>
      <c r="V2019">
        <f>(Tabela2[[#This Row],[SMOKE]]+Tabela2[[#This Row],[CALC_bebe_alcool_frequentemente]])</f>
        <v>1</v>
      </c>
      <c r="W2019" s="8">
        <f>(Tabela2[[#This Row],[Weight]]/(Tabela2[[#This Row],[Height]] ^2))</f>
        <v>39.609134351751941</v>
      </c>
    </row>
    <row r="2020" spans="1:23" x14ac:dyDescent="0.25">
      <c r="A2020" t="s">
        <v>13</v>
      </c>
      <c r="B2020" s="7">
        <v>25.907833</v>
      </c>
      <c r="C2020" s="4">
        <v>1.623113</v>
      </c>
      <c r="D2020" s="7">
        <v>102.555691</v>
      </c>
      <c r="E2020">
        <v>1</v>
      </c>
      <c r="F2020">
        <v>1</v>
      </c>
      <c r="G2020" s="2">
        <v>3</v>
      </c>
      <c r="H2020" s="2">
        <v>3</v>
      </c>
      <c r="I2020">
        <v>1</v>
      </c>
      <c r="J2020">
        <v>0</v>
      </c>
      <c r="K2020" s="2">
        <v>1.0634220000000001</v>
      </c>
      <c r="L2020">
        <v>0</v>
      </c>
      <c r="M2020" s="7">
        <v>5.1096999999999997E-2</v>
      </c>
      <c r="N2020" s="7">
        <v>0.54311799999999999</v>
      </c>
      <c r="O2020">
        <v>1</v>
      </c>
      <c r="P2020" t="s">
        <v>14</v>
      </c>
      <c r="Q2020">
        <v>6</v>
      </c>
      <c r="R2020" s="8">
        <f>(Tabela2[[#This Row],[FAF_atividade_fisica_frequente_em_horas]]+ 0.1)</f>
        <v>0.15109700000000001</v>
      </c>
      <c r="S2020" s="1">
        <f>(Tabela2[[#This Row],[TUE_tempo_uso_aparelhos_em_horas]]/Tabela2[[#This Row],[FAF_Var]])</f>
        <v>3.5944988980588626</v>
      </c>
      <c r="T2020">
        <f>(Tabela2[[#This Row],[CAEC_lanche_entre_refeicoes]]*Tabela2[[#This Row],[FAVC_consumo_frequente_de_alimentos_mt_caloricos]])</f>
        <v>1</v>
      </c>
      <c r="U2020" s="1">
        <f>IF(OR(Tabela2[[#This Row],[MTRANS]]="Walking",Tabela2[[#This Row],[MTRANS]]="Bike"),Tabela2[[#This Row],[FAF_atividade_fisica_frequente_em_horas]]+1,M2020)</f>
        <v>5.1096999999999997E-2</v>
      </c>
      <c r="V2020">
        <f>(Tabela2[[#This Row],[SMOKE]]+Tabela2[[#This Row],[CALC_bebe_alcool_frequentemente]])</f>
        <v>1</v>
      </c>
      <c r="W2020" s="8">
        <f>(Tabela2[[#This Row],[Weight]]/(Tabela2[[#This Row],[Height]] ^2))</f>
        <v>38.928014453765385</v>
      </c>
    </row>
    <row r="2021" spans="1:23" x14ac:dyDescent="0.25">
      <c r="A2021" t="s">
        <v>13</v>
      </c>
      <c r="B2021" s="7">
        <v>25.991194</v>
      </c>
      <c r="C2021" s="4">
        <v>1.6183479999999999</v>
      </c>
      <c r="D2021" s="7">
        <v>104.94582</v>
      </c>
      <c r="E2021">
        <v>1</v>
      </c>
      <c r="F2021">
        <v>1</v>
      </c>
      <c r="G2021" s="2">
        <v>3</v>
      </c>
      <c r="H2021" s="2">
        <v>3</v>
      </c>
      <c r="I2021">
        <v>1</v>
      </c>
      <c r="J2021">
        <v>0</v>
      </c>
      <c r="K2021" s="2">
        <v>2.45126</v>
      </c>
      <c r="L2021">
        <v>0</v>
      </c>
      <c r="M2021" s="7">
        <v>4.3688999999999999E-2</v>
      </c>
      <c r="N2021" s="7">
        <v>0.67040200000000005</v>
      </c>
      <c r="O2021">
        <v>1</v>
      </c>
      <c r="P2021" t="s">
        <v>14</v>
      </c>
      <c r="Q2021">
        <v>6</v>
      </c>
      <c r="R2021" s="8">
        <f>(Tabela2[[#This Row],[FAF_atividade_fisica_frequente_em_horas]]+ 0.1)</f>
        <v>0.14368900000000001</v>
      </c>
      <c r="S2021" s="1">
        <f>(Tabela2[[#This Row],[TUE_tempo_uso_aparelhos_em_horas]]/Tabela2[[#This Row],[FAF_Var]])</f>
        <v>4.6656459436700093</v>
      </c>
      <c r="T2021">
        <f>(Tabela2[[#This Row],[CAEC_lanche_entre_refeicoes]]*Tabela2[[#This Row],[FAVC_consumo_frequente_de_alimentos_mt_caloricos]])</f>
        <v>1</v>
      </c>
      <c r="U2021" s="1">
        <f>IF(OR(Tabela2[[#This Row],[MTRANS]]="Walking",Tabela2[[#This Row],[MTRANS]]="Bike"),Tabela2[[#This Row],[FAF_atividade_fisica_frequente_em_horas]]+1,M2021)</f>
        <v>4.3688999999999999E-2</v>
      </c>
      <c r="V2021">
        <f>(Tabela2[[#This Row],[SMOKE]]+Tabela2[[#This Row],[CALC_bebe_alcool_frequentemente]])</f>
        <v>1</v>
      </c>
      <c r="W2021" s="8">
        <f>(Tabela2[[#This Row],[Weight]]/(Tabela2[[#This Row],[Height]] ^2))</f>
        <v>40.070181943207423</v>
      </c>
    </row>
    <row r="2022" spans="1:23" x14ac:dyDescent="0.25">
      <c r="A2022" t="s">
        <v>13</v>
      </c>
      <c r="B2022" s="7">
        <v>25.993154000000001</v>
      </c>
      <c r="C2022" s="4">
        <v>1.6094010000000001</v>
      </c>
      <c r="D2022" s="7">
        <v>104.854928</v>
      </c>
      <c r="E2022">
        <v>1</v>
      </c>
      <c r="F2022">
        <v>1</v>
      </c>
      <c r="G2022" s="2">
        <v>3</v>
      </c>
      <c r="H2022" s="2">
        <v>3</v>
      </c>
      <c r="I2022">
        <v>1</v>
      </c>
      <c r="J2022">
        <v>0</v>
      </c>
      <c r="K2022" s="2">
        <v>2.6135039999999998</v>
      </c>
      <c r="L2022">
        <v>0</v>
      </c>
      <c r="M2022" s="7">
        <v>6.7985000000000004E-2</v>
      </c>
      <c r="N2022" s="7">
        <v>0.77863199999999999</v>
      </c>
      <c r="O2022">
        <v>1</v>
      </c>
      <c r="P2022" t="s">
        <v>14</v>
      </c>
      <c r="Q2022">
        <v>6</v>
      </c>
      <c r="R2022" s="8">
        <f>(Tabela2[[#This Row],[FAF_atividade_fisica_frequente_em_horas]]+ 0.1)</f>
        <v>0.167985</v>
      </c>
      <c r="S2022" s="1">
        <f>(Tabela2[[#This Row],[TUE_tempo_uso_aparelhos_em_horas]]/Tabela2[[#This Row],[FAF_Var]])</f>
        <v>4.6351281364407537</v>
      </c>
      <c r="T2022">
        <f>(Tabela2[[#This Row],[CAEC_lanche_entre_refeicoes]]*Tabela2[[#This Row],[FAVC_consumo_frequente_de_alimentos_mt_caloricos]])</f>
        <v>1</v>
      </c>
      <c r="U2022" s="1">
        <f>IF(OR(Tabela2[[#This Row],[MTRANS]]="Walking",Tabela2[[#This Row],[MTRANS]]="Bike"),Tabela2[[#This Row],[FAF_atividade_fisica_frequente_em_horas]]+1,M2022)</f>
        <v>6.7985000000000004E-2</v>
      </c>
      <c r="V2022">
        <f>(Tabela2[[#This Row],[SMOKE]]+Tabela2[[#This Row],[CALC_bebe_alcool_frequentemente]])</f>
        <v>1</v>
      </c>
      <c r="W2022" s="8">
        <f>(Tabela2[[#This Row],[Weight]]/(Tabela2[[#This Row],[Height]] ^2))</f>
        <v>40.481846398970113</v>
      </c>
    </row>
    <row r="2023" spans="1:23" x14ac:dyDescent="0.25">
      <c r="A2023" t="s">
        <v>13</v>
      </c>
      <c r="B2023" s="7">
        <v>25.988668000000001</v>
      </c>
      <c r="C2023" s="4">
        <v>1.6216710000000001</v>
      </c>
      <c r="D2023" s="7">
        <v>105.31396700000001</v>
      </c>
      <c r="E2023">
        <v>1</v>
      </c>
      <c r="F2023">
        <v>1</v>
      </c>
      <c r="G2023" s="2">
        <v>3</v>
      </c>
      <c r="H2023" s="2">
        <v>3</v>
      </c>
      <c r="I2023">
        <v>1</v>
      </c>
      <c r="J2023">
        <v>0</v>
      </c>
      <c r="K2023" s="2">
        <v>1.0429889999999999</v>
      </c>
      <c r="L2023">
        <v>0</v>
      </c>
      <c r="M2023" s="7">
        <v>9.7114000000000006E-2</v>
      </c>
      <c r="N2023" s="7">
        <v>0.42953999999999998</v>
      </c>
      <c r="O2023">
        <v>1</v>
      </c>
      <c r="P2023" t="s">
        <v>14</v>
      </c>
      <c r="Q2023">
        <v>6</v>
      </c>
      <c r="R2023" s="8">
        <f>(Tabela2[[#This Row],[FAF_atividade_fisica_frequente_em_horas]]+ 0.1)</f>
        <v>0.19711400000000001</v>
      </c>
      <c r="S2023" s="1">
        <f>(Tabela2[[#This Row],[TUE_tempo_uso_aparelhos_em_horas]]/Tabela2[[#This Row],[FAF_Var]])</f>
        <v>2.179145063262883</v>
      </c>
      <c r="T2023">
        <f>(Tabela2[[#This Row],[CAEC_lanche_entre_refeicoes]]*Tabela2[[#This Row],[FAVC_consumo_frequente_de_alimentos_mt_caloricos]])</f>
        <v>1</v>
      </c>
      <c r="U2023" s="1">
        <f>IF(OR(Tabela2[[#This Row],[MTRANS]]="Walking",Tabela2[[#This Row],[MTRANS]]="Bike"),Tabela2[[#This Row],[FAF_atividade_fisica_frequente_em_horas]]+1,M2023)</f>
        <v>9.7114000000000006E-2</v>
      </c>
      <c r="V2023">
        <f>(Tabela2[[#This Row],[SMOKE]]+Tabela2[[#This Row],[CALC_bebe_alcool_frequentemente]])</f>
        <v>1</v>
      </c>
      <c r="W2023" s="8">
        <f>(Tabela2[[#This Row],[Weight]]/(Tabela2[[#This Row],[Height]] ^2))</f>
        <v>40.046122493731481</v>
      </c>
    </row>
    <row r="2024" spans="1:23" x14ac:dyDescent="0.25">
      <c r="A2024" t="s">
        <v>13</v>
      </c>
      <c r="B2024" s="7">
        <v>25.976209000000001</v>
      </c>
      <c r="C2024" s="4">
        <v>1.614484</v>
      </c>
      <c r="D2024" s="7">
        <v>104.999403</v>
      </c>
      <c r="E2024">
        <v>1</v>
      </c>
      <c r="F2024">
        <v>1</v>
      </c>
      <c r="G2024" s="2">
        <v>3</v>
      </c>
      <c r="H2024" s="2">
        <v>3</v>
      </c>
      <c r="I2024">
        <v>1</v>
      </c>
      <c r="J2024">
        <v>0</v>
      </c>
      <c r="K2024" s="2">
        <v>1.237557</v>
      </c>
      <c r="L2024">
        <v>0</v>
      </c>
      <c r="M2024" s="7">
        <v>8.3674999999999999E-2</v>
      </c>
      <c r="N2024" s="7">
        <v>0.54376100000000005</v>
      </c>
      <c r="O2024">
        <v>1</v>
      </c>
      <c r="P2024" t="s">
        <v>14</v>
      </c>
      <c r="Q2024">
        <v>6</v>
      </c>
      <c r="R2024" s="8">
        <f>(Tabela2[[#This Row],[FAF_atividade_fisica_frequente_em_horas]]+ 0.1)</f>
        <v>0.183675</v>
      </c>
      <c r="S2024" s="1">
        <f>(Tabela2[[#This Row],[TUE_tempo_uso_aparelhos_em_horas]]/Tabela2[[#This Row],[FAF_Var]])</f>
        <v>2.9604518851231796</v>
      </c>
      <c r="T2024">
        <f>(Tabela2[[#This Row],[CAEC_lanche_entre_refeicoes]]*Tabela2[[#This Row],[FAVC_consumo_frequente_de_alimentos_mt_caloricos]])</f>
        <v>1</v>
      </c>
      <c r="U2024" s="1">
        <f>IF(OR(Tabela2[[#This Row],[MTRANS]]="Walking",Tabela2[[#This Row],[MTRANS]]="Bike"),Tabela2[[#This Row],[FAF_atividade_fisica_frequente_em_horas]]+1,M2024)</f>
        <v>8.3674999999999999E-2</v>
      </c>
      <c r="V2024">
        <f>(Tabela2[[#This Row],[SMOKE]]+Tabela2[[#This Row],[CALC_bebe_alcool_frequentemente]])</f>
        <v>1</v>
      </c>
      <c r="W2024" s="8">
        <f>(Tabela2[[#This Row],[Weight]]/(Tabela2[[#This Row],[Height]] ^2))</f>
        <v>40.28277114262707</v>
      </c>
    </row>
    <row r="2025" spans="1:23" x14ac:dyDescent="0.25">
      <c r="A2025" t="s">
        <v>13</v>
      </c>
      <c r="B2025" s="7">
        <v>18.743587000000002</v>
      </c>
      <c r="C2025" s="4">
        <v>1.7891429999999999</v>
      </c>
      <c r="D2025" s="7">
        <v>138.20286899999999</v>
      </c>
      <c r="E2025">
        <v>1</v>
      </c>
      <c r="F2025">
        <v>1</v>
      </c>
      <c r="G2025" s="2">
        <v>3</v>
      </c>
      <c r="H2025" s="2">
        <v>3</v>
      </c>
      <c r="I2025">
        <v>1</v>
      </c>
      <c r="J2025">
        <v>0</v>
      </c>
      <c r="K2025" s="2">
        <v>2.8337699999999999</v>
      </c>
      <c r="L2025">
        <v>0</v>
      </c>
      <c r="M2025" s="7">
        <v>0.80642199999999997</v>
      </c>
      <c r="N2025" s="7">
        <v>0.67251300000000003</v>
      </c>
      <c r="O2025">
        <v>1</v>
      </c>
      <c r="P2025" t="s">
        <v>14</v>
      </c>
      <c r="Q2025">
        <v>6</v>
      </c>
      <c r="R2025" s="8">
        <f>(Tabela2[[#This Row],[FAF_atividade_fisica_frequente_em_horas]]+ 0.1)</f>
        <v>0.90642199999999995</v>
      </c>
      <c r="S2025" s="1">
        <f>(Tabela2[[#This Row],[TUE_tempo_uso_aparelhos_em_horas]]/Tabela2[[#This Row],[FAF_Var]])</f>
        <v>0.74194249477616392</v>
      </c>
      <c r="T2025">
        <f>(Tabela2[[#This Row],[CAEC_lanche_entre_refeicoes]]*Tabela2[[#This Row],[FAVC_consumo_frequente_de_alimentos_mt_caloricos]])</f>
        <v>1</v>
      </c>
      <c r="U2025" s="1">
        <f>IF(OR(Tabela2[[#This Row],[MTRANS]]="Walking",Tabela2[[#This Row],[MTRANS]]="Bike"),Tabela2[[#This Row],[FAF_atividade_fisica_frequente_em_horas]]+1,M2025)</f>
        <v>0.80642199999999997</v>
      </c>
      <c r="V2025">
        <f>(Tabela2[[#This Row],[SMOKE]]+Tabela2[[#This Row],[CALC_bebe_alcool_frequentemente]])</f>
        <v>1</v>
      </c>
      <c r="W2025" s="8">
        <f>(Tabela2[[#This Row],[Weight]]/(Tabela2[[#This Row],[Height]] ^2))</f>
        <v>43.174463698277968</v>
      </c>
    </row>
    <row r="2026" spans="1:23" x14ac:dyDescent="0.25">
      <c r="A2026" t="s">
        <v>13</v>
      </c>
      <c r="B2026" s="7">
        <v>20.323767</v>
      </c>
      <c r="C2026" s="4">
        <v>1.7742070000000001</v>
      </c>
      <c r="D2026" s="7">
        <v>138.14316199999999</v>
      </c>
      <c r="E2026">
        <v>1</v>
      </c>
      <c r="F2026">
        <v>1</v>
      </c>
      <c r="G2026" s="2">
        <v>3</v>
      </c>
      <c r="H2026" s="2">
        <v>3</v>
      </c>
      <c r="I2026">
        <v>1</v>
      </c>
      <c r="J2026">
        <v>0</v>
      </c>
      <c r="K2026" s="2">
        <v>2.816052</v>
      </c>
      <c r="L2026">
        <v>0</v>
      </c>
      <c r="M2026" s="7">
        <v>1.5718650000000001</v>
      </c>
      <c r="N2026" s="7">
        <v>0.68805799999999995</v>
      </c>
      <c r="O2026">
        <v>1</v>
      </c>
      <c r="P2026" t="s">
        <v>14</v>
      </c>
      <c r="Q2026">
        <v>6</v>
      </c>
      <c r="R2026" s="8">
        <f>(Tabela2[[#This Row],[FAF_atividade_fisica_frequente_em_horas]]+ 0.1)</f>
        <v>1.6718650000000002</v>
      </c>
      <c r="S2026" s="1">
        <f>(Tabela2[[#This Row],[TUE_tempo_uso_aparelhos_em_horas]]/Tabela2[[#This Row],[FAF_Var]])</f>
        <v>0.41155117189485985</v>
      </c>
      <c r="T2026">
        <f>(Tabela2[[#This Row],[CAEC_lanche_entre_refeicoes]]*Tabela2[[#This Row],[FAVC_consumo_frequente_de_alimentos_mt_caloricos]])</f>
        <v>1</v>
      </c>
      <c r="U2026" s="1">
        <f>IF(OR(Tabela2[[#This Row],[MTRANS]]="Walking",Tabela2[[#This Row],[MTRANS]]="Bike"),Tabela2[[#This Row],[FAF_atividade_fisica_frequente_em_horas]]+1,M2026)</f>
        <v>1.5718650000000001</v>
      </c>
      <c r="V2026">
        <f>(Tabela2[[#This Row],[SMOKE]]+Tabela2[[#This Row],[CALC_bebe_alcool_frequentemente]])</f>
        <v>1</v>
      </c>
      <c r="W2026" s="8">
        <f>(Tabela2[[#This Row],[Weight]]/(Tabela2[[#This Row],[Height]] ^2))</f>
        <v>43.885476247131677</v>
      </c>
    </row>
    <row r="2027" spans="1:23" x14ac:dyDescent="0.25">
      <c r="A2027" t="s">
        <v>13</v>
      </c>
      <c r="B2027" s="7">
        <v>21.394047</v>
      </c>
      <c r="C2027" s="4">
        <v>1.7929330000000001</v>
      </c>
      <c r="D2027" s="7">
        <v>137.832414</v>
      </c>
      <c r="E2027">
        <v>1</v>
      </c>
      <c r="F2027">
        <v>1</v>
      </c>
      <c r="G2027" s="2">
        <v>3</v>
      </c>
      <c r="H2027" s="2">
        <v>3</v>
      </c>
      <c r="I2027">
        <v>1</v>
      </c>
      <c r="J2027">
        <v>0</v>
      </c>
      <c r="K2027" s="2">
        <v>2.682909</v>
      </c>
      <c r="L2027">
        <v>0</v>
      </c>
      <c r="M2027" s="7">
        <v>1.318743</v>
      </c>
      <c r="N2027" s="7">
        <v>0.90049699999999999</v>
      </c>
      <c r="O2027">
        <v>1</v>
      </c>
      <c r="P2027" t="s">
        <v>14</v>
      </c>
      <c r="Q2027">
        <v>6</v>
      </c>
      <c r="R2027" s="8">
        <f>(Tabela2[[#This Row],[FAF_atividade_fisica_frequente_em_horas]]+ 0.1)</f>
        <v>1.4187430000000001</v>
      </c>
      <c r="S2027" s="1">
        <f>(Tabela2[[#This Row],[TUE_tempo_uso_aparelhos_em_horas]]/Tabela2[[#This Row],[FAF_Var]])</f>
        <v>0.63471467348208943</v>
      </c>
      <c r="T2027">
        <f>(Tabela2[[#This Row],[CAEC_lanche_entre_refeicoes]]*Tabela2[[#This Row],[FAVC_consumo_frequente_de_alimentos_mt_caloricos]])</f>
        <v>1</v>
      </c>
      <c r="U2027" s="1">
        <f>IF(OR(Tabela2[[#This Row],[MTRANS]]="Walking",Tabela2[[#This Row],[MTRANS]]="Bike"),Tabela2[[#This Row],[FAF_atividade_fisica_frequente_em_horas]]+1,M2027)</f>
        <v>1.318743</v>
      </c>
      <c r="V2027">
        <f>(Tabela2[[#This Row],[SMOKE]]+Tabela2[[#This Row],[CALC_bebe_alcool_frequentemente]])</f>
        <v>1</v>
      </c>
      <c r="W2027" s="8">
        <f>(Tabela2[[#This Row],[Weight]]/(Tabela2[[#This Row],[Height]] ^2))</f>
        <v>42.876886439772271</v>
      </c>
    </row>
    <row r="2028" spans="1:23" x14ac:dyDescent="0.25">
      <c r="A2028" t="s">
        <v>13</v>
      </c>
      <c r="B2028" s="7">
        <v>21.838322999999999</v>
      </c>
      <c r="C2028" s="4">
        <v>1.7589589999999999</v>
      </c>
      <c r="D2028" s="7">
        <v>137.79299</v>
      </c>
      <c r="E2028">
        <v>1</v>
      </c>
      <c r="F2028">
        <v>1</v>
      </c>
      <c r="G2028" s="2">
        <v>3</v>
      </c>
      <c r="H2028" s="2">
        <v>3</v>
      </c>
      <c r="I2028">
        <v>1</v>
      </c>
      <c r="J2028">
        <v>0</v>
      </c>
      <c r="K2028" s="2">
        <v>2.640539</v>
      </c>
      <c r="L2028">
        <v>0</v>
      </c>
      <c r="M2028" s="7">
        <v>1.879818</v>
      </c>
      <c r="N2028" s="7">
        <v>0.88599300000000003</v>
      </c>
      <c r="O2028">
        <v>1</v>
      </c>
      <c r="P2028" t="s">
        <v>14</v>
      </c>
      <c r="Q2028">
        <v>6</v>
      </c>
      <c r="R2028" s="8">
        <f>(Tabela2[[#This Row],[FAF_atividade_fisica_frequente_em_horas]]+ 0.1)</f>
        <v>1.9798180000000001</v>
      </c>
      <c r="S2028" s="1">
        <f>(Tabela2[[#This Row],[TUE_tempo_uso_aparelhos_em_horas]]/Tabela2[[#This Row],[FAF_Var]])</f>
        <v>0.44751234709453092</v>
      </c>
      <c r="T2028">
        <f>(Tabela2[[#This Row],[CAEC_lanche_entre_refeicoes]]*Tabela2[[#This Row],[FAVC_consumo_frequente_de_alimentos_mt_caloricos]])</f>
        <v>1</v>
      </c>
      <c r="U2028" s="1">
        <f>IF(OR(Tabela2[[#This Row],[MTRANS]]="Walking",Tabela2[[#This Row],[MTRANS]]="Bike"),Tabela2[[#This Row],[FAF_atividade_fisica_frequente_em_horas]]+1,M2028)</f>
        <v>1.879818</v>
      </c>
      <c r="V2028">
        <f>(Tabela2[[#This Row],[SMOKE]]+Tabela2[[#This Row],[CALC_bebe_alcool_frequentemente]])</f>
        <v>1</v>
      </c>
      <c r="W2028" s="8">
        <f>(Tabela2[[#This Row],[Weight]]/(Tabela2[[#This Row],[Height]] ^2))</f>
        <v>44.536459703223315</v>
      </c>
    </row>
    <row r="2029" spans="1:23" x14ac:dyDescent="0.25">
      <c r="A2029" t="s">
        <v>13</v>
      </c>
      <c r="B2029" s="7">
        <v>18.206340000000001</v>
      </c>
      <c r="C2029" s="4">
        <v>1.8074060000000001</v>
      </c>
      <c r="D2029" s="7">
        <v>141.799429</v>
      </c>
      <c r="E2029">
        <v>1</v>
      </c>
      <c r="F2029">
        <v>1</v>
      </c>
      <c r="G2029" s="2">
        <v>3</v>
      </c>
      <c r="H2029" s="2">
        <v>3</v>
      </c>
      <c r="I2029">
        <v>1</v>
      </c>
      <c r="J2029">
        <v>0</v>
      </c>
      <c r="K2029" s="2">
        <v>2.4729030000000001</v>
      </c>
      <c r="L2029">
        <v>0</v>
      </c>
      <c r="M2029" s="7">
        <v>1.9980469999999999</v>
      </c>
      <c r="N2029" s="7">
        <v>0.84091099999999996</v>
      </c>
      <c r="O2029">
        <v>1</v>
      </c>
      <c r="P2029" t="s">
        <v>14</v>
      </c>
      <c r="Q2029">
        <v>6</v>
      </c>
      <c r="R2029" s="8">
        <f>(Tabela2[[#This Row],[FAF_atividade_fisica_frequente_em_horas]]+ 0.1)</f>
        <v>2.0980469999999998</v>
      </c>
      <c r="S2029" s="1">
        <f>(Tabela2[[#This Row],[TUE_tempo_uso_aparelhos_em_horas]]/Tabela2[[#This Row],[FAF_Var]])</f>
        <v>0.40080655962426009</v>
      </c>
      <c r="T2029">
        <f>(Tabela2[[#This Row],[CAEC_lanche_entre_refeicoes]]*Tabela2[[#This Row],[FAVC_consumo_frequente_de_alimentos_mt_caloricos]])</f>
        <v>1</v>
      </c>
      <c r="U2029" s="1">
        <f>IF(OR(Tabela2[[#This Row],[MTRANS]]="Walking",Tabela2[[#This Row],[MTRANS]]="Bike"),Tabela2[[#This Row],[FAF_atividade_fisica_frequente_em_horas]]+1,M2029)</f>
        <v>1.9980469999999999</v>
      </c>
      <c r="V2029">
        <f>(Tabela2[[#This Row],[SMOKE]]+Tabela2[[#This Row],[CALC_bebe_alcool_frequentemente]])</f>
        <v>1</v>
      </c>
      <c r="W2029" s="8">
        <f>(Tabela2[[#This Row],[Weight]]/(Tabela2[[#This Row],[Height]] ^2))</f>
        <v>43.407326966050611</v>
      </c>
    </row>
    <row r="2030" spans="1:23" x14ac:dyDescent="0.25">
      <c r="A2030" t="s">
        <v>13</v>
      </c>
      <c r="B2030" s="7">
        <v>18.532826</v>
      </c>
      <c r="C2030" s="4">
        <v>1.75091</v>
      </c>
      <c r="D2030" s="7">
        <v>142.54518300000001</v>
      </c>
      <c r="E2030">
        <v>1</v>
      </c>
      <c r="F2030">
        <v>1</v>
      </c>
      <c r="G2030" s="2">
        <v>3</v>
      </c>
      <c r="H2030" s="2">
        <v>3</v>
      </c>
      <c r="I2030">
        <v>1</v>
      </c>
      <c r="J2030">
        <v>0</v>
      </c>
      <c r="K2030" s="2">
        <v>2.372058</v>
      </c>
      <c r="L2030">
        <v>0</v>
      </c>
      <c r="M2030" s="7">
        <v>1.324805</v>
      </c>
      <c r="N2030" s="7">
        <v>0.87079499999999999</v>
      </c>
      <c r="O2030">
        <v>1</v>
      </c>
      <c r="P2030" t="s">
        <v>14</v>
      </c>
      <c r="Q2030">
        <v>6</v>
      </c>
      <c r="R2030" s="8">
        <f>(Tabela2[[#This Row],[FAF_atividade_fisica_frequente_em_horas]]+ 0.1)</f>
        <v>1.4248050000000001</v>
      </c>
      <c r="S2030" s="1">
        <f>(Tabela2[[#This Row],[TUE_tempo_uso_aparelhos_em_horas]]/Tabela2[[#This Row],[FAF_Var]])</f>
        <v>0.61116784402076063</v>
      </c>
      <c r="T2030">
        <f>(Tabela2[[#This Row],[CAEC_lanche_entre_refeicoes]]*Tabela2[[#This Row],[FAVC_consumo_frequente_de_alimentos_mt_caloricos]])</f>
        <v>1</v>
      </c>
      <c r="U2030" s="1">
        <f>IF(OR(Tabela2[[#This Row],[MTRANS]]="Walking",Tabela2[[#This Row],[MTRANS]]="Bike"),Tabela2[[#This Row],[FAF_atividade_fisica_frequente_em_horas]]+1,M2030)</f>
        <v>1.324805</v>
      </c>
      <c r="V2030">
        <f>(Tabela2[[#This Row],[SMOKE]]+Tabela2[[#This Row],[CALC_bebe_alcool_frequentemente]])</f>
        <v>1</v>
      </c>
      <c r="W2030" s="8">
        <f>(Tabela2[[#This Row],[Weight]]/(Tabela2[[#This Row],[Height]] ^2))</f>
        <v>46.496996428477573</v>
      </c>
    </row>
    <row r="2031" spans="1:23" x14ac:dyDescent="0.25">
      <c r="A2031" t="s">
        <v>13</v>
      </c>
      <c r="B2031" s="7">
        <v>20.438478</v>
      </c>
      <c r="C2031" s="4">
        <v>1.805803</v>
      </c>
      <c r="D2031" s="7">
        <v>153.14949100000001</v>
      </c>
      <c r="E2031">
        <v>1</v>
      </c>
      <c r="F2031">
        <v>1</v>
      </c>
      <c r="G2031" s="2">
        <v>3</v>
      </c>
      <c r="H2031" s="2">
        <v>3</v>
      </c>
      <c r="I2031">
        <v>1</v>
      </c>
      <c r="J2031">
        <v>0</v>
      </c>
      <c r="K2031" s="2">
        <v>2.387991</v>
      </c>
      <c r="L2031">
        <v>0</v>
      </c>
      <c r="M2031" s="7">
        <v>0.850715</v>
      </c>
      <c r="N2031" s="7">
        <v>0.65649100000000005</v>
      </c>
      <c r="O2031">
        <v>1</v>
      </c>
      <c r="P2031" t="s">
        <v>14</v>
      </c>
      <c r="Q2031">
        <v>6</v>
      </c>
      <c r="R2031" s="8">
        <f>(Tabela2[[#This Row],[FAF_atividade_fisica_frequente_em_horas]]+ 0.1)</f>
        <v>0.95071499999999998</v>
      </c>
      <c r="S2031" s="1">
        <f>(Tabela2[[#This Row],[TUE_tempo_uso_aparelhos_em_horas]]/Tabela2[[#This Row],[FAF_Var]])</f>
        <v>0.69052344814166189</v>
      </c>
      <c r="T2031">
        <f>(Tabela2[[#This Row],[CAEC_lanche_entre_refeicoes]]*Tabela2[[#This Row],[FAVC_consumo_frequente_de_alimentos_mt_caloricos]])</f>
        <v>1</v>
      </c>
      <c r="U2031" s="1">
        <f>IF(OR(Tabela2[[#This Row],[MTRANS]]="Walking",Tabela2[[#This Row],[MTRANS]]="Bike"),Tabela2[[#This Row],[FAF_atividade_fisica_frequente_em_horas]]+1,M2031)</f>
        <v>0.850715</v>
      </c>
      <c r="V2031">
        <f>(Tabela2[[#This Row],[SMOKE]]+Tabela2[[#This Row],[CALC_bebe_alcool_frequentemente]])</f>
        <v>1</v>
      </c>
      <c r="W2031" s="8">
        <f>(Tabela2[[#This Row],[Weight]]/(Tabela2[[#This Row],[Height]] ^2))</f>
        <v>46.965053064889005</v>
      </c>
    </row>
    <row r="2032" spans="1:23" x14ac:dyDescent="0.25">
      <c r="A2032" t="s">
        <v>13</v>
      </c>
      <c r="B2032" s="7">
        <v>20.796265999999999</v>
      </c>
      <c r="C2032" s="4">
        <v>1.796538</v>
      </c>
      <c r="D2032" s="7">
        <v>152.47367499999999</v>
      </c>
      <c r="E2032">
        <v>1</v>
      </c>
      <c r="F2032">
        <v>1</v>
      </c>
      <c r="G2032" s="2">
        <v>3</v>
      </c>
      <c r="H2032" s="2">
        <v>3</v>
      </c>
      <c r="I2032">
        <v>1</v>
      </c>
      <c r="J2032">
        <v>0</v>
      </c>
      <c r="K2032" s="2">
        <v>2.322003</v>
      </c>
      <c r="L2032">
        <v>0</v>
      </c>
      <c r="M2032" s="7">
        <v>0.886602</v>
      </c>
      <c r="N2032" s="7">
        <v>0.843283</v>
      </c>
      <c r="O2032">
        <v>1</v>
      </c>
      <c r="P2032" t="s">
        <v>14</v>
      </c>
      <c r="Q2032">
        <v>6</v>
      </c>
      <c r="R2032" s="8">
        <f>(Tabela2[[#This Row],[FAF_atividade_fisica_frequente_em_horas]]+ 0.1)</f>
        <v>0.98660199999999998</v>
      </c>
      <c r="S2032" s="1">
        <f>(Tabela2[[#This Row],[TUE_tempo_uso_aparelhos_em_horas]]/Tabela2[[#This Row],[FAF_Var]])</f>
        <v>0.85473473599283201</v>
      </c>
      <c r="T2032">
        <f>(Tabela2[[#This Row],[CAEC_lanche_entre_refeicoes]]*Tabela2[[#This Row],[FAVC_consumo_frequente_de_alimentos_mt_caloricos]])</f>
        <v>1</v>
      </c>
      <c r="U2032" s="1">
        <f>IF(OR(Tabela2[[#This Row],[MTRANS]]="Walking",Tabela2[[#This Row],[MTRANS]]="Bike"),Tabela2[[#This Row],[FAF_atividade_fisica_frequente_em_horas]]+1,M2032)</f>
        <v>0.886602</v>
      </c>
      <c r="V2032">
        <f>(Tabela2[[#This Row],[SMOKE]]+Tabela2[[#This Row],[CALC_bebe_alcool_frequentemente]])</f>
        <v>1</v>
      </c>
      <c r="W2032" s="8">
        <f>(Tabela2[[#This Row],[Weight]]/(Tabela2[[#This Row],[Height]] ^2))</f>
        <v>47.241323101805527</v>
      </c>
    </row>
    <row r="2033" spans="1:23" x14ac:dyDescent="0.25">
      <c r="A2033" t="s">
        <v>13</v>
      </c>
      <c r="B2033" s="7">
        <v>26</v>
      </c>
      <c r="C2033" s="4">
        <v>1.6348940000000001</v>
      </c>
      <c r="D2033" s="7">
        <v>111.946321</v>
      </c>
      <c r="E2033">
        <v>1</v>
      </c>
      <c r="F2033">
        <v>1</v>
      </c>
      <c r="G2033" s="2">
        <v>3</v>
      </c>
      <c r="H2033" s="2">
        <v>3</v>
      </c>
      <c r="I2033">
        <v>1</v>
      </c>
      <c r="J2033">
        <v>0</v>
      </c>
      <c r="K2033" s="2">
        <v>2.7373530000000001</v>
      </c>
      <c r="L2033">
        <v>0</v>
      </c>
      <c r="M2033" s="7">
        <v>0</v>
      </c>
      <c r="N2033" s="7">
        <v>7.6093999999999995E-2</v>
      </c>
      <c r="O2033">
        <v>1</v>
      </c>
      <c r="P2033" t="s">
        <v>14</v>
      </c>
      <c r="Q2033">
        <v>6</v>
      </c>
      <c r="R2033" s="8">
        <f>(Tabela2[[#This Row],[FAF_atividade_fisica_frequente_em_horas]]+ 0.1)</f>
        <v>0.1</v>
      </c>
      <c r="S2033" s="1">
        <f>(Tabela2[[#This Row],[TUE_tempo_uso_aparelhos_em_horas]]/Tabela2[[#This Row],[FAF_Var]])</f>
        <v>0.76093999999999995</v>
      </c>
      <c r="T2033">
        <f>(Tabela2[[#This Row],[CAEC_lanche_entre_refeicoes]]*Tabela2[[#This Row],[FAVC_consumo_frequente_de_alimentos_mt_caloricos]])</f>
        <v>1</v>
      </c>
      <c r="U2033" s="1">
        <f>IF(OR(Tabela2[[#This Row],[MTRANS]]="Walking",Tabela2[[#This Row],[MTRANS]]="Bike"),Tabela2[[#This Row],[FAF_atividade_fisica_frequente_em_horas]]+1,M2033)</f>
        <v>0</v>
      </c>
      <c r="V2033">
        <f>(Tabela2[[#This Row],[SMOKE]]+Tabela2[[#This Row],[CALC_bebe_alcool_frequentemente]])</f>
        <v>1</v>
      </c>
      <c r="W2033" s="8">
        <f>(Tabela2[[#This Row],[Weight]]/(Tabela2[[#This Row],[Height]] ^2))</f>
        <v>41.882309860058186</v>
      </c>
    </row>
    <row r="2034" spans="1:23" x14ac:dyDescent="0.25">
      <c r="A2034" t="s">
        <v>13</v>
      </c>
      <c r="B2034" s="7">
        <v>26</v>
      </c>
      <c r="C2034" s="4">
        <v>1.639524</v>
      </c>
      <c r="D2034" s="7">
        <v>111.945588</v>
      </c>
      <c r="E2034">
        <v>1</v>
      </c>
      <c r="F2034">
        <v>1</v>
      </c>
      <c r="G2034" s="2">
        <v>3</v>
      </c>
      <c r="H2034" s="2">
        <v>3</v>
      </c>
      <c r="I2034">
        <v>1</v>
      </c>
      <c r="J2034">
        <v>0</v>
      </c>
      <c r="K2034" s="2">
        <v>2.7393510000000001</v>
      </c>
      <c r="L2034">
        <v>0</v>
      </c>
      <c r="M2034" s="7">
        <v>0</v>
      </c>
      <c r="N2034" s="7">
        <v>6.4768999999999993E-2</v>
      </c>
      <c r="O2034">
        <v>1</v>
      </c>
      <c r="P2034" t="s">
        <v>14</v>
      </c>
      <c r="Q2034">
        <v>6</v>
      </c>
      <c r="R2034" s="8">
        <f>(Tabela2[[#This Row],[FAF_atividade_fisica_frequente_em_horas]]+ 0.1)</f>
        <v>0.1</v>
      </c>
      <c r="S2034" s="1">
        <f>(Tabela2[[#This Row],[TUE_tempo_uso_aparelhos_em_horas]]/Tabela2[[#This Row],[FAF_Var]])</f>
        <v>0.64768999999999988</v>
      </c>
      <c r="T2034">
        <f>(Tabela2[[#This Row],[CAEC_lanche_entre_refeicoes]]*Tabela2[[#This Row],[FAVC_consumo_frequente_de_alimentos_mt_caloricos]])</f>
        <v>1</v>
      </c>
      <c r="U2034" s="1">
        <f>IF(OR(Tabela2[[#This Row],[MTRANS]]="Walking",Tabela2[[#This Row],[MTRANS]]="Bike"),Tabela2[[#This Row],[FAF_atividade_fisica_frequente_em_horas]]+1,M2034)</f>
        <v>0</v>
      </c>
      <c r="V2034">
        <f>(Tabela2[[#This Row],[SMOKE]]+Tabela2[[#This Row],[CALC_bebe_alcool_frequentemente]])</f>
        <v>1</v>
      </c>
      <c r="W2034" s="8">
        <f>(Tabela2[[#This Row],[Weight]]/(Tabela2[[#This Row],[Height]] ^2))</f>
        <v>41.645820698615729</v>
      </c>
    </row>
    <row r="2035" spans="1:23" x14ac:dyDescent="0.25">
      <c r="A2035" t="s">
        <v>13</v>
      </c>
      <c r="B2035" s="7">
        <v>26</v>
      </c>
      <c r="C2035" s="4">
        <v>1.6430169999999999</v>
      </c>
      <c r="D2035" s="7">
        <v>111.72023799999999</v>
      </c>
      <c r="E2035">
        <v>1</v>
      </c>
      <c r="F2035">
        <v>1</v>
      </c>
      <c r="G2035" s="2">
        <v>3</v>
      </c>
      <c r="H2035" s="2">
        <v>3</v>
      </c>
      <c r="I2035">
        <v>1</v>
      </c>
      <c r="J2035">
        <v>0</v>
      </c>
      <c r="K2035" s="2">
        <v>2.632498</v>
      </c>
      <c r="L2035">
        <v>0</v>
      </c>
      <c r="M2035" s="7">
        <v>0</v>
      </c>
      <c r="N2035" s="7">
        <v>0.140792</v>
      </c>
      <c r="O2035">
        <v>1</v>
      </c>
      <c r="P2035" t="s">
        <v>14</v>
      </c>
      <c r="Q2035">
        <v>6</v>
      </c>
      <c r="R2035" s="8">
        <f>(Tabela2[[#This Row],[FAF_atividade_fisica_frequente_em_horas]]+ 0.1)</f>
        <v>0.1</v>
      </c>
      <c r="S2035" s="1">
        <f>(Tabela2[[#This Row],[TUE_tempo_uso_aparelhos_em_horas]]/Tabela2[[#This Row],[FAF_Var]])</f>
        <v>1.4079199999999998</v>
      </c>
      <c r="T2035">
        <f>(Tabela2[[#This Row],[CAEC_lanche_entre_refeicoes]]*Tabela2[[#This Row],[FAVC_consumo_frequente_de_alimentos_mt_caloricos]])</f>
        <v>1</v>
      </c>
      <c r="U2035" s="1">
        <f>IF(OR(Tabela2[[#This Row],[MTRANS]]="Walking",Tabela2[[#This Row],[MTRANS]]="Bike"),Tabela2[[#This Row],[FAF_atividade_fisica_frequente_em_horas]]+1,M2035)</f>
        <v>0</v>
      </c>
      <c r="V2035">
        <f>(Tabela2[[#This Row],[SMOKE]]+Tabela2[[#This Row],[CALC_bebe_alcool_frequentemente]])</f>
        <v>1</v>
      </c>
      <c r="W2035" s="8">
        <f>(Tabela2[[#This Row],[Weight]]/(Tabela2[[#This Row],[Height]] ^2))</f>
        <v>41.385455370237302</v>
      </c>
    </row>
    <row r="2036" spans="1:23" x14ac:dyDescent="0.25">
      <c r="A2036" t="s">
        <v>13</v>
      </c>
      <c r="B2036" s="7">
        <v>26</v>
      </c>
      <c r="C2036" s="4">
        <v>1.6418489999999999</v>
      </c>
      <c r="D2036" s="7">
        <v>111.682693</v>
      </c>
      <c r="E2036">
        <v>1</v>
      </c>
      <c r="F2036">
        <v>1</v>
      </c>
      <c r="G2036" s="2">
        <v>3</v>
      </c>
      <c r="H2036" s="2">
        <v>3</v>
      </c>
      <c r="I2036">
        <v>1</v>
      </c>
      <c r="J2036">
        <v>0</v>
      </c>
      <c r="K2036" s="2">
        <v>2.632253</v>
      </c>
      <c r="L2036">
        <v>0</v>
      </c>
      <c r="M2036" s="7">
        <v>0</v>
      </c>
      <c r="N2036" s="7">
        <v>0.24420500000000001</v>
      </c>
      <c r="O2036">
        <v>1</v>
      </c>
      <c r="P2036" t="s">
        <v>14</v>
      </c>
      <c r="Q2036">
        <v>6</v>
      </c>
      <c r="R2036" s="8">
        <f>(Tabela2[[#This Row],[FAF_atividade_fisica_frequente_em_horas]]+ 0.1)</f>
        <v>0.1</v>
      </c>
      <c r="S2036" s="1">
        <f>(Tabela2[[#This Row],[TUE_tempo_uso_aparelhos_em_horas]]/Tabela2[[#This Row],[FAF_Var]])</f>
        <v>2.4420500000000001</v>
      </c>
      <c r="T2036">
        <f>(Tabela2[[#This Row],[CAEC_lanche_entre_refeicoes]]*Tabela2[[#This Row],[FAVC_consumo_frequente_de_alimentos_mt_caloricos]])</f>
        <v>1</v>
      </c>
      <c r="U2036" s="1">
        <f>IF(OR(Tabela2[[#This Row],[MTRANS]]="Walking",Tabela2[[#This Row],[MTRANS]]="Bike"),Tabela2[[#This Row],[FAF_atividade_fisica_frequente_em_horas]]+1,M2036)</f>
        <v>0</v>
      </c>
      <c r="V2036">
        <f>(Tabela2[[#This Row],[SMOKE]]+Tabela2[[#This Row],[CALC_bebe_alcool_frequentemente]])</f>
        <v>1</v>
      </c>
      <c r="W2036" s="8">
        <f>(Tabela2[[#This Row],[Weight]]/(Tabela2[[#This Row],[Height]] ^2))</f>
        <v>41.430431065477926</v>
      </c>
    </row>
    <row r="2037" spans="1:23" x14ac:dyDescent="0.25">
      <c r="A2037" t="s">
        <v>13</v>
      </c>
      <c r="B2037" s="7">
        <v>26</v>
      </c>
      <c r="C2037" s="4">
        <v>1.621167</v>
      </c>
      <c r="D2037" s="7">
        <v>104.947703</v>
      </c>
      <c r="E2037">
        <v>1</v>
      </c>
      <c r="F2037">
        <v>1</v>
      </c>
      <c r="G2037" s="2">
        <v>3</v>
      </c>
      <c r="H2037" s="2">
        <v>3</v>
      </c>
      <c r="I2037">
        <v>1</v>
      </c>
      <c r="J2037">
        <v>0</v>
      </c>
      <c r="K2037" s="2">
        <v>2.57721</v>
      </c>
      <c r="L2037">
        <v>0</v>
      </c>
      <c r="M2037" s="7">
        <v>0</v>
      </c>
      <c r="N2037" s="7">
        <v>0.40207500000000002</v>
      </c>
      <c r="O2037">
        <v>1</v>
      </c>
      <c r="P2037" t="s">
        <v>14</v>
      </c>
      <c r="Q2037">
        <v>6</v>
      </c>
      <c r="R2037" s="8">
        <f>(Tabela2[[#This Row],[FAF_atividade_fisica_frequente_em_horas]]+ 0.1)</f>
        <v>0.1</v>
      </c>
      <c r="S2037" s="1">
        <f>(Tabela2[[#This Row],[TUE_tempo_uso_aparelhos_em_horas]]/Tabela2[[#This Row],[FAF_Var]])</f>
        <v>4.0207499999999996</v>
      </c>
      <c r="T2037">
        <f>(Tabela2[[#This Row],[CAEC_lanche_entre_refeicoes]]*Tabela2[[#This Row],[FAVC_consumo_frequente_de_alimentos_mt_caloricos]])</f>
        <v>1</v>
      </c>
      <c r="U2037" s="1">
        <f>IF(OR(Tabela2[[#This Row],[MTRANS]]="Walking",Tabela2[[#This Row],[MTRANS]]="Bike"),Tabela2[[#This Row],[FAF_atividade_fisica_frequente_em_horas]]+1,M2037)</f>
        <v>0</v>
      </c>
      <c r="V2037">
        <f>(Tabela2[[#This Row],[SMOKE]]+Tabela2[[#This Row],[CALC_bebe_alcool_frequentemente]])</f>
        <v>1</v>
      </c>
      <c r="W2037" s="8">
        <f>(Tabela2[[#This Row],[Weight]]/(Tabela2[[#This Row],[Height]] ^2))</f>
        <v>39.931665826276912</v>
      </c>
    </row>
    <row r="2038" spans="1:23" x14ac:dyDescent="0.25">
      <c r="A2038" t="s">
        <v>13</v>
      </c>
      <c r="B2038" s="7">
        <v>25.992898</v>
      </c>
      <c r="C2038" s="4">
        <v>1.6380749999999999</v>
      </c>
      <c r="D2038" s="7">
        <v>105.03652200000001</v>
      </c>
      <c r="E2038">
        <v>1</v>
      </c>
      <c r="F2038">
        <v>1</v>
      </c>
      <c r="G2038" s="2">
        <v>3</v>
      </c>
      <c r="H2038" s="2">
        <v>3</v>
      </c>
      <c r="I2038">
        <v>1</v>
      </c>
      <c r="J2038">
        <v>0</v>
      </c>
      <c r="K2038" s="2">
        <v>2.4191530000000001</v>
      </c>
      <c r="L2038">
        <v>0</v>
      </c>
      <c r="M2038" s="7">
        <v>1.9404000000000001E-2</v>
      </c>
      <c r="N2038" s="7">
        <v>0.59762599999999999</v>
      </c>
      <c r="O2038">
        <v>1</v>
      </c>
      <c r="P2038" t="s">
        <v>14</v>
      </c>
      <c r="Q2038">
        <v>6</v>
      </c>
      <c r="R2038" s="8">
        <f>(Tabela2[[#This Row],[FAF_atividade_fisica_frequente_em_horas]]+ 0.1)</f>
        <v>0.11940400000000001</v>
      </c>
      <c r="S2038" s="1">
        <f>(Tabela2[[#This Row],[TUE_tempo_uso_aparelhos_em_horas]]/Tabela2[[#This Row],[FAF_Var]])</f>
        <v>5.0050752068607416</v>
      </c>
      <c r="T2038">
        <f>(Tabela2[[#This Row],[CAEC_lanche_entre_refeicoes]]*Tabela2[[#This Row],[FAVC_consumo_frequente_de_alimentos_mt_caloricos]])</f>
        <v>1</v>
      </c>
      <c r="U2038" s="1">
        <f>IF(OR(Tabela2[[#This Row],[MTRANS]]="Walking",Tabela2[[#This Row],[MTRANS]]="Bike"),Tabela2[[#This Row],[FAF_atividade_fisica_frequente_em_horas]]+1,M2038)</f>
        <v>1.9404000000000001E-2</v>
      </c>
      <c r="V2038">
        <f>(Tabela2[[#This Row],[SMOKE]]+Tabela2[[#This Row],[CALC_bebe_alcool_frequentemente]])</f>
        <v>1</v>
      </c>
      <c r="W2038" s="8">
        <f>(Tabela2[[#This Row],[Weight]]/(Tabela2[[#This Row],[Height]] ^2))</f>
        <v>39.144681910347273</v>
      </c>
    </row>
    <row r="2039" spans="1:23" x14ac:dyDescent="0.25">
      <c r="A2039" t="s">
        <v>13</v>
      </c>
      <c r="B2039" s="7">
        <v>26</v>
      </c>
      <c r="C2039" s="4">
        <v>1.60937</v>
      </c>
      <c r="D2039" s="7">
        <v>105.407313</v>
      </c>
      <c r="E2039">
        <v>1</v>
      </c>
      <c r="F2039">
        <v>1</v>
      </c>
      <c r="G2039" s="2">
        <v>3</v>
      </c>
      <c r="H2039" s="2">
        <v>3</v>
      </c>
      <c r="I2039">
        <v>1</v>
      </c>
      <c r="J2039">
        <v>0</v>
      </c>
      <c r="K2039" s="2">
        <v>2.6090520000000001</v>
      </c>
      <c r="L2039">
        <v>0</v>
      </c>
      <c r="M2039" s="7">
        <v>0</v>
      </c>
      <c r="N2039" s="7">
        <v>0.54859000000000002</v>
      </c>
      <c r="O2039">
        <v>1</v>
      </c>
      <c r="P2039" t="s">
        <v>14</v>
      </c>
      <c r="Q2039">
        <v>6</v>
      </c>
      <c r="R2039" s="8">
        <f>(Tabela2[[#This Row],[FAF_atividade_fisica_frequente_em_horas]]+ 0.1)</f>
        <v>0.1</v>
      </c>
      <c r="S2039" s="1">
        <f>(Tabela2[[#This Row],[TUE_tempo_uso_aparelhos_em_horas]]/Tabela2[[#This Row],[FAF_Var]])</f>
        <v>5.4859</v>
      </c>
      <c r="T2039">
        <f>(Tabela2[[#This Row],[CAEC_lanche_entre_refeicoes]]*Tabela2[[#This Row],[FAVC_consumo_frequente_de_alimentos_mt_caloricos]])</f>
        <v>1</v>
      </c>
      <c r="U2039" s="1">
        <f>IF(OR(Tabela2[[#This Row],[MTRANS]]="Walking",Tabela2[[#This Row],[MTRANS]]="Bike"),Tabela2[[#This Row],[FAF_atividade_fisica_frequente_em_horas]]+1,M2039)</f>
        <v>0</v>
      </c>
      <c r="V2039">
        <f>(Tabela2[[#This Row],[SMOKE]]+Tabela2[[#This Row],[CALC_bebe_alcool_frequentemente]])</f>
        <v>1</v>
      </c>
      <c r="W2039" s="8">
        <f>(Tabela2[[#This Row],[Weight]]/(Tabela2[[#This Row],[Height]] ^2))</f>
        <v>40.696676102245391</v>
      </c>
    </row>
    <row r="2040" spans="1:23" x14ac:dyDescent="0.25">
      <c r="A2040" t="s">
        <v>13</v>
      </c>
      <c r="B2040" s="7">
        <v>26</v>
      </c>
      <c r="C2040" s="4">
        <v>1.6082829999999999</v>
      </c>
      <c r="D2040" s="7">
        <v>105.35968800000001</v>
      </c>
      <c r="E2040">
        <v>1</v>
      </c>
      <c r="F2040">
        <v>1</v>
      </c>
      <c r="G2040" s="2">
        <v>3</v>
      </c>
      <c r="H2040" s="2">
        <v>3</v>
      </c>
      <c r="I2040">
        <v>1</v>
      </c>
      <c r="J2040">
        <v>0</v>
      </c>
      <c r="K2040" s="2">
        <v>2.4760019999999998</v>
      </c>
      <c r="L2040">
        <v>0</v>
      </c>
      <c r="M2040" s="7">
        <v>0</v>
      </c>
      <c r="N2040" s="7">
        <v>0.54634499999999997</v>
      </c>
      <c r="O2040">
        <v>1</v>
      </c>
      <c r="P2040" t="s">
        <v>14</v>
      </c>
      <c r="Q2040">
        <v>6</v>
      </c>
      <c r="R2040" s="8">
        <f>(Tabela2[[#This Row],[FAF_atividade_fisica_frequente_em_horas]]+ 0.1)</f>
        <v>0.1</v>
      </c>
      <c r="S2040" s="1">
        <f>(Tabela2[[#This Row],[TUE_tempo_uso_aparelhos_em_horas]]/Tabela2[[#This Row],[FAF_Var]])</f>
        <v>5.463449999999999</v>
      </c>
      <c r="T2040">
        <f>(Tabela2[[#This Row],[CAEC_lanche_entre_refeicoes]]*Tabela2[[#This Row],[FAVC_consumo_frequente_de_alimentos_mt_caloricos]])</f>
        <v>1</v>
      </c>
      <c r="U2040" s="1">
        <f>IF(OR(Tabela2[[#This Row],[MTRANS]]="Walking",Tabela2[[#This Row],[MTRANS]]="Bike"),Tabela2[[#This Row],[FAF_atividade_fisica_frequente_em_horas]]+1,M2040)</f>
        <v>0</v>
      </c>
      <c r="V2040">
        <f>(Tabela2[[#This Row],[SMOKE]]+Tabela2[[#This Row],[CALC_bebe_alcool_frequentemente]])</f>
        <v>1</v>
      </c>
      <c r="W2040" s="8">
        <f>(Tabela2[[#This Row],[Weight]]/(Tabela2[[#This Row],[Height]] ^2))</f>
        <v>40.73329412723146</v>
      </c>
    </row>
    <row r="2041" spans="1:23" x14ac:dyDescent="0.25">
      <c r="A2041" t="s">
        <v>13</v>
      </c>
      <c r="B2041" s="7">
        <v>25.951737000000001</v>
      </c>
      <c r="C2041" s="4">
        <v>1.6294420000000001</v>
      </c>
      <c r="D2041" s="7">
        <v>104.835346</v>
      </c>
      <c r="E2041">
        <v>1</v>
      </c>
      <c r="F2041">
        <v>1</v>
      </c>
      <c r="G2041" s="2">
        <v>3</v>
      </c>
      <c r="H2041" s="2">
        <v>3</v>
      </c>
      <c r="I2041">
        <v>1</v>
      </c>
      <c r="J2041">
        <v>0</v>
      </c>
      <c r="K2041" s="2">
        <v>2.225139</v>
      </c>
      <c r="L2041">
        <v>0</v>
      </c>
      <c r="M2041" s="7">
        <v>3.5928000000000002E-2</v>
      </c>
      <c r="N2041" s="7">
        <v>0.56531500000000001</v>
      </c>
      <c r="O2041">
        <v>1</v>
      </c>
      <c r="P2041" t="s">
        <v>14</v>
      </c>
      <c r="Q2041">
        <v>6</v>
      </c>
      <c r="R2041" s="8">
        <f>(Tabela2[[#This Row],[FAF_atividade_fisica_frequente_em_horas]]+ 0.1)</f>
        <v>0.13592799999999999</v>
      </c>
      <c r="S2041" s="1">
        <f>(Tabela2[[#This Row],[TUE_tempo_uso_aparelhos_em_horas]]/Tabela2[[#This Row],[FAF_Var]])</f>
        <v>4.1589297275027963</v>
      </c>
      <c r="T2041">
        <f>(Tabela2[[#This Row],[CAEC_lanche_entre_refeicoes]]*Tabela2[[#This Row],[FAVC_consumo_frequente_de_alimentos_mt_caloricos]])</f>
        <v>1</v>
      </c>
      <c r="U2041" s="1">
        <f>IF(OR(Tabela2[[#This Row],[MTRANS]]="Walking",Tabela2[[#This Row],[MTRANS]]="Bike"),Tabela2[[#This Row],[FAF_atividade_fisica_frequente_em_horas]]+1,M2041)</f>
        <v>3.5928000000000002E-2</v>
      </c>
      <c r="V2041">
        <f>(Tabela2[[#This Row],[SMOKE]]+Tabela2[[#This Row],[CALC_bebe_alcool_frequentemente]])</f>
        <v>1</v>
      </c>
      <c r="W2041" s="8">
        <f>(Tabela2[[#This Row],[Weight]]/(Tabela2[[#This Row],[Height]] ^2))</f>
        <v>39.484797964596638</v>
      </c>
    </row>
    <row r="2042" spans="1:23" x14ac:dyDescent="0.25">
      <c r="A2042" t="s">
        <v>13</v>
      </c>
      <c r="B2042" s="7">
        <v>25.982261000000001</v>
      </c>
      <c r="C2042" s="4">
        <v>1.6292249999999999</v>
      </c>
      <c r="D2042" s="7">
        <v>104.838425</v>
      </c>
      <c r="E2042">
        <v>1</v>
      </c>
      <c r="F2042">
        <v>1</v>
      </c>
      <c r="G2042" s="2">
        <v>3</v>
      </c>
      <c r="H2042" s="2">
        <v>3</v>
      </c>
      <c r="I2042">
        <v>1</v>
      </c>
      <c r="J2042">
        <v>0</v>
      </c>
      <c r="K2042" s="2">
        <v>2.5560679999999998</v>
      </c>
      <c r="L2042">
        <v>0</v>
      </c>
      <c r="M2042" s="7">
        <v>1.6820000000000002E-2</v>
      </c>
      <c r="N2042" s="7">
        <v>0.58284000000000002</v>
      </c>
      <c r="O2042">
        <v>1</v>
      </c>
      <c r="P2042" t="s">
        <v>14</v>
      </c>
      <c r="Q2042">
        <v>6</v>
      </c>
      <c r="R2042" s="8">
        <f>(Tabela2[[#This Row],[FAF_atividade_fisica_frequente_em_horas]]+ 0.1)</f>
        <v>0.11682000000000001</v>
      </c>
      <c r="S2042" s="1">
        <f>(Tabela2[[#This Row],[TUE_tempo_uso_aparelhos_em_horas]]/Tabela2[[#This Row],[FAF_Var]])</f>
        <v>4.9892141756548538</v>
      </c>
      <c r="T2042">
        <f>(Tabela2[[#This Row],[CAEC_lanche_entre_refeicoes]]*Tabela2[[#This Row],[FAVC_consumo_frequente_de_alimentos_mt_caloricos]])</f>
        <v>1</v>
      </c>
      <c r="U2042" s="1">
        <f>IF(OR(Tabela2[[#This Row],[MTRANS]]="Walking",Tabela2[[#This Row],[MTRANS]]="Bike"),Tabela2[[#This Row],[FAF_atividade_fisica_frequente_em_horas]]+1,M2042)</f>
        <v>1.6820000000000002E-2</v>
      </c>
      <c r="V2042">
        <f>(Tabela2[[#This Row],[SMOKE]]+Tabela2[[#This Row],[CALC_bebe_alcool_frequentemente]])</f>
        <v>1</v>
      </c>
      <c r="W2042" s="8">
        <f>(Tabela2[[#This Row],[Weight]]/(Tabela2[[#This Row],[Height]] ^2))</f>
        <v>39.496476768408307</v>
      </c>
    </row>
    <row r="2043" spans="1:23" x14ac:dyDescent="0.25">
      <c r="A2043" t="s">
        <v>13</v>
      </c>
      <c r="B2043" s="7">
        <v>25.470652000000001</v>
      </c>
      <c r="C2043" s="4">
        <v>1.680218</v>
      </c>
      <c r="D2043" s="7">
        <v>104.807284</v>
      </c>
      <c r="E2043">
        <v>1</v>
      </c>
      <c r="F2043">
        <v>1</v>
      </c>
      <c r="G2043" s="2">
        <v>3</v>
      </c>
      <c r="H2043" s="2">
        <v>3</v>
      </c>
      <c r="I2043">
        <v>1</v>
      </c>
      <c r="J2043">
        <v>0</v>
      </c>
      <c r="K2043" s="2">
        <v>1.423073</v>
      </c>
      <c r="L2043">
        <v>0</v>
      </c>
      <c r="M2043" s="7">
        <v>0.197993</v>
      </c>
      <c r="N2043" s="7">
        <v>0.76335900000000001</v>
      </c>
      <c r="O2043">
        <v>1</v>
      </c>
      <c r="P2043" t="s">
        <v>14</v>
      </c>
      <c r="Q2043">
        <v>6</v>
      </c>
      <c r="R2043" s="8">
        <f>(Tabela2[[#This Row],[FAF_atividade_fisica_frequente_em_horas]]+ 0.1)</f>
        <v>0.29799300000000001</v>
      </c>
      <c r="S2043" s="1">
        <f>(Tabela2[[#This Row],[TUE_tempo_uso_aparelhos_em_horas]]/Tabela2[[#This Row],[FAF_Var]])</f>
        <v>2.5616675559493007</v>
      </c>
      <c r="T2043">
        <f>(Tabela2[[#This Row],[CAEC_lanche_entre_refeicoes]]*Tabela2[[#This Row],[FAVC_consumo_frequente_de_alimentos_mt_caloricos]])</f>
        <v>1</v>
      </c>
      <c r="U2043" s="1">
        <f>IF(OR(Tabela2[[#This Row],[MTRANS]]="Walking",Tabela2[[#This Row],[MTRANS]]="Bike"),Tabela2[[#This Row],[FAF_atividade_fisica_frequente_em_horas]]+1,M2043)</f>
        <v>0.197993</v>
      </c>
      <c r="V2043">
        <f>(Tabela2[[#This Row],[SMOKE]]+Tabela2[[#This Row],[CALC_bebe_alcool_frequentemente]])</f>
        <v>1</v>
      </c>
      <c r="W2043" s="8">
        <f>(Tabela2[[#This Row],[Weight]]/(Tabela2[[#This Row],[Height]] ^2))</f>
        <v>37.124464749063755</v>
      </c>
    </row>
    <row r="2044" spans="1:23" x14ac:dyDescent="0.25">
      <c r="A2044" t="s">
        <v>13</v>
      </c>
      <c r="B2044" s="7">
        <v>25.289428000000001</v>
      </c>
      <c r="C2044" s="4">
        <v>1.6860329999999999</v>
      </c>
      <c r="D2044" s="7">
        <v>104.772164</v>
      </c>
      <c r="E2044">
        <v>1</v>
      </c>
      <c r="F2044">
        <v>1</v>
      </c>
      <c r="G2044" s="2">
        <v>3</v>
      </c>
      <c r="H2044" s="2">
        <v>3</v>
      </c>
      <c r="I2044">
        <v>1</v>
      </c>
      <c r="J2044">
        <v>0</v>
      </c>
      <c r="K2044" s="2">
        <v>1.299194</v>
      </c>
      <c r="L2044">
        <v>0</v>
      </c>
      <c r="M2044" s="7">
        <v>0.23430300000000001</v>
      </c>
      <c r="N2044" s="7">
        <v>0.94688799999999995</v>
      </c>
      <c r="O2044">
        <v>1</v>
      </c>
      <c r="P2044" t="s">
        <v>14</v>
      </c>
      <c r="Q2044">
        <v>6</v>
      </c>
      <c r="R2044" s="8">
        <f>(Tabela2[[#This Row],[FAF_atividade_fisica_frequente_em_horas]]+ 0.1)</f>
        <v>0.33430300000000002</v>
      </c>
      <c r="S2044" s="1">
        <f>(Tabela2[[#This Row],[TUE_tempo_uso_aparelhos_em_horas]]/Tabela2[[#This Row],[FAF_Var]])</f>
        <v>2.8324244771958371</v>
      </c>
      <c r="T2044">
        <f>(Tabela2[[#This Row],[CAEC_lanche_entre_refeicoes]]*Tabela2[[#This Row],[FAVC_consumo_frequente_de_alimentos_mt_caloricos]])</f>
        <v>1</v>
      </c>
      <c r="U2044" s="1">
        <f>IF(OR(Tabela2[[#This Row],[MTRANS]]="Walking",Tabela2[[#This Row],[MTRANS]]="Bike"),Tabela2[[#This Row],[FAF_atividade_fisica_frequente_em_horas]]+1,M2044)</f>
        <v>0.23430300000000001</v>
      </c>
      <c r="V2044">
        <f>(Tabela2[[#This Row],[SMOKE]]+Tabela2[[#This Row],[CALC_bebe_alcool_frequentemente]])</f>
        <v>1</v>
      </c>
      <c r="W2044" s="8">
        <f>(Tabela2[[#This Row],[Weight]]/(Tabela2[[#This Row],[Height]] ^2))</f>
        <v>36.856472998264252</v>
      </c>
    </row>
    <row r="2045" spans="1:23" x14ac:dyDescent="0.25">
      <c r="A2045" t="s">
        <v>13</v>
      </c>
      <c r="B2045" s="7">
        <v>25.696072999999998</v>
      </c>
      <c r="C2045" s="4">
        <v>1.6629780000000001</v>
      </c>
      <c r="D2045" s="7">
        <v>110.930509</v>
      </c>
      <c r="E2045">
        <v>1</v>
      </c>
      <c r="F2045">
        <v>1</v>
      </c>
      <c r="G2045" s="2">
        <v>3</v>
      </c>
      <c r="H2045" s="2">
        <v>3</v>
      </c>
      <c r="I2045">
        <v>1</v>
      </c>
      <c r="J2045">
        <v>0</v>
      </c>
      <c r="K2045" s="2">
        <v>1.679489</v>
      </c>
      <c r="L2045">
        <v>0</v>
      </c>
      <c r="M2045" s="7">
        <v>1.7804E-2</v>
      </c>
      <c r="N2045" s="7">
        <v>0.21523</v>
      </c>
      <c r="O2045">
        <v>1</v>
      </c>
      <c r="P2045" t="s">
        <v>14</v>
      </c>
      <c r="Q2045">
        <v>6</v>
      </c>
      <c r="R2045" s="8">
        <f>(Tabela2[[#This Row],[FAF_atividade_fisica_frequente_em_horas]]+ 0.1)</f>
        <v>0.11780400000000001</v>
      </c>
      <c r="S2045" s="1">
        <f>(Tabela2[[#This Row],[TUE_tempo_uso_aparelhos_em_horas]]/Tabela2[[#This Row],[FAF_Var]])</f>
        <v>1.8270177583104139</v>
      </c>
      <c r="T2045">
        <f>(Tabela2[[#This Row],[CAEC_lanche_entre_refeicoes]]*Tabela2[[#This Row],[FAVC_consumo_frequente_de_alimentos_mt_caloricos]])</f>
        <v>1</v>
      </c>
      <c r="U2045" s="1">
        <f>IF(OR(Tabela2[[#This Row],[MTRANS]]="Walking",Tabela2[[#This Row],[MTRANS]]="Bike"),Tabela2[[#This Row],[FAF_atividade_fisica_frequente_em_horas]]+1,M2045)</f>
        <v>1.7804E-2</v>
      </c>
      <c r="V2045">
        <f>(Tabela2[[#This Row],[SMOKE]]+Tabela2[[#This Row],[CALC_bebe_alcool_frequentemente]])</f>
        <v>1</v>
      </c>
      <c r="W2045" s="8">
        <f>(Tabela2[[#This Row],[Weight]]/(Tabela2[[#This Row],[Height]] ^2))</f>
        <v>40.112340021431272</v>
      </c>
    </row>
    <row r="2046" spans="1:23" x14ac:dyDescent="0.25">
      <c r="A2046" t="s">
        <v>13</v>
      </c>
      <c r="B2046" s="7">
        <v>25.561868</v>
      </c>
      <c r="C2046" s="4">
        <v>1.6751849999999999</v>
      </c>
      <c r="D2046" s="7">
        <v>110.621723</v>
      </c>
      <c r="E2046">
        <v>1</v>
      </c>
      <c r="F2046">
        <v>1</v>
      </c>
      <c r="G2046" s="2">
        <v>3</v>
      </c>
      <c r="H2046" s="2">
        <v>3</v>
      </c>
      <c r="I2046">
        <v>1</v>
      </c>
      <c r="J2046">
        <v>0</v>
      </c>
      <c r="K2046" s="2">
        <v>1.49583</v>
      </c>
      <c r="L2046">
        <v>0</v>
      </c>
      <c r="M2046" s="7">
        <v>0.10932699999999999</v>
      </c>
      <c r="N2046" s="7">
        <v>0.384129</v>
      </c>
      <c r="O2046">
        <v>1</v>
      </c>
      <c r="P2046" t="s">
        <v>14</v>
      </c>
      <c r="Q2046">
        <v>6</v>
      </c>
      <c r="R2046" s="8">
        <f>(Tabela2[[#This Row],[FAF_atividade_fisica_frequente_em_horas]]+ 0.1)</f>
        <v>0.20932699999999999</v>
      </c>
      <c r="S2046" s="1">
        <f>(Tabela2[[#This Row],[TUE_tempo_uso_aparelhos_em_horas]]/Tabela2[[#This Row],[FAF_Var]])</f>
        <v>1.8350666660297048</v>
      </c>
      <c r="T2046">
        <f>(Tabela2[[#This Row],[CAEC_lanche_entre_refeicoes]]*Tabela2[[#This Row],[FAVC_consumo_frequente_de_alimentos_mt_caloricos]])</f>
        <v>1</v>
      </c>
      <c r="U2046" s="1">
        <f>IF(OR(Tabela2[[#This Row],[MTRANS]]="Walking",Tabela2[[#This Row],[MTRANS]]="Bike"),Tabela2[[#This Row],[FAF_atividade_fisica_frequente_em_horas]]+1,M2046)</f>
        <v>0.10932699999999999</v>
      </c>
      <c r="V2046">
        <f>(Tabela2[[#This Row],[SMOKE]]+Tabela2[[#This Row],[CALC_bebe_alcool_frequentemente]])</f>
        <v>1</v>
      </c>
      <c r="W2046" s="8">
        <f>(Tabela2[[#This Row],[Weight]]/(Tabela2[[#This Row],[Height]] ^2))</f>
        <v>39.419840928292501</v>
      </c>
    </row>
    <row r="2047" spans="1:23" x14ac:dyDescent="0.25">
      <c r="A2047" t="s">
        <v>13</v>
      </c>
      <c r="B2047" s="7">
        <v>25.834018</v>
      </c>
      <c r="C2047" s="4">
        <v>1.62456</v>
      </c>
      <c r="D2047" s="7">
        <v>110.10589</v>
      </c>
      <c r="E2047">
        <v>1</v>
      </c>
      <c r="F2047">
        <v>1</v>
      </c>
      <c r="G2047" s="2">
        <v>3</v>
      </c>
      <c r="H2047" s="2">
        <v>3</v>
      </c>
      <c r="I2047">
        <v>1</v>
      </c>
      <c r="J2047">
        <v>0</v>
      </c>
      <c r="K2047" s="2">
        <v>1.81786</v>
      </c>
      <c r="L2047">
        <v>0</v>
      </c>
      <c r="M2047" s="7">
        <v>1.1161000000000001E-2</v>
      </c>
      <c r="N2047" s="7">
        <v>0.44722400000000001</v>
      </c>
      <c r="O2047">
        <v>1</v>
      </c>
      <c r="P2047" t="s">
        <v>14</v>
      </c>
      <c r="Q2047">
        <v>6</v>
      </c>
      <c r="R2047" s="8">
        <f>(Tabela2[[#This Row],[FAF_atividade_fisica_frequente_em_horas]]+ 0.1)</f>
        <v>0.11116100000000001</v>
      </c>
      <c r="S2047" s="1">
        <f>(Tabela2[[#This Row],[TUE_tempo_uso_aparelhos_em_horas]]/Tabela2[[#This Row],[FAF_Var]])</f>
        <v>4.023209578899074</v>
      </c>
      <c r="T2047">
        <f>(Tabela2[[#This Row],[CAEC_lanche_entre_refeicoes]]*Tabela2[[#This Row],[FAVC_consumo_frequente_de_alimentos_mt_caloricos]])</f>
        <v>1</v>
      </c>
      <c r="U2047" s="1">
        <f>IF(OR(Tabela2[[#This Row],[MTRANS]]="Walking",Tabela2[[#This Row],[MTRANS]]="Bike"),Tabela2[[#This Row],[FAF_atividade_fisica_frequente_em_horas]]+1,M2047)</f>
        <v>1.1161000000000001E-2</v>
      </c>
      <c r="V2047">
        <f>(Tabela2[[#This Row],[SMOKE]]+Tabela2[[#This Row],[CALC_bebe_alcool_frequentemente]])</f>
        <v>1</v>
      </c>
      <c r="W2047" s="8">
        <f>(Tabela2[[#This Row],[Weight]]/(Tabela2[[#This Row],[Height]] ^2))</f>
        <v>41.719494741050141</v>
      </c>
    </row>
    <row r="2048" spans="1:23" x14ac:dyDescent="0.25">
      <c r="A2048" t="s">
        <v>13</v>
      </c>
      <c r="B2048" s="7">
        <v>25.895546</v>
      </c>
      <c r="C2048" s="4">
        <v>1.626179</v>
      </c>
      <c r="D2048" s="7">
        <v>110.07401900000001</v>
      </c>
      <c r="E2048">
        <v>1</v>
      </c>
      <c r="F2048">
        <v>1</v>
      </c>
      <c r="G2048" s="2">
        <v>3</v>
      </c>
      <c r="H2048" s="2">
        <v>3</v>
      </c>
      <c r="I2048">
        <v>1</v>
      </c>
      <c r="J2048">
        <v>0</v>
      </c>
      <c r="K2048" s="2">
        <v>1.9677070000000001</v>
      </c>
      <c r="L2048">
        <v>0</v>
      </c>
      <c r="M2048" s="7">
        <v>1.4370000000000001E-2</v>
      </c>
      <c r="N2048" s="7">
        <v>0.43407299999999999</v>
      </c>
      <c r="O2048">
        <v>1</v>
      </c>
      <c r="P2048" t="s">
        <v>14</v>
      </c>
      <c r="Q2048">
        <v>6</v>
      </c>
      <c r="R2048" s="8">
        <f>(Tabela2[[#This Row],[FAF_atividade_fisica_frequente_em_horas]]+ 0.1)</f>
        <v>0.11437</v>
      </c>
      <c r="S2048" s="1">
        <f>(Tabela2[[#This Row],[TUE_tempo_uso_aparelhos_em_horas]]/Tabela2[[#This Row],[FAF_Var]])</f>
        <v>3.7953396869808516</v>
      </c>
      <c r="T2048">
        <f>(Tabela2[[#This Row],[CAEC_lanche_entre_refeicoes]]*Tabela2[[#This Row],[FAVC_consumo_frequente_de_alimentos_mt_caloricos]])</f>
        <v>1</v>
      </c>
      <c r="U2048" s="1">
        <f>IF(OR(Tabela2[[#This Row],[MTRANS]]="Walking",Tabela2[[#This Row],[MTRANS]]="Bike"),Tabela2[[#This Row],[FAF_atividade_fisica_frequente_em_horas]]+1,M2048)</f>
        <v>1.4370000000000001E-2</v>
      </c>
      <c r="V2048">
        <f>(Tabela2[[#This Row],[SMOKE]]+Tabela2[[#This Row],[CALC_bebe_alcool_frequentemente]])</f>
        <v>1</v>
      </c>
      <c r="W2048" s="8">
        <f>(Tabela2[[#This Row],[Weight]]/(Tabela2[[#This Row],[Height]] ^2))</f>
        <v>41.624413460480561</v>
      </c>
    </row>
    <row r="2049" spans="1:23" x14ac:dyDescent="0.25">
      <c r="A2049" t="s">
        <v>13</v>
      </c>
      <c r="B2049" s="7">
        <v>19.035557000000001</v>
      </c>
      <c r="C2049" s="4">
        <v>1.6825939999999999</v>
      </c>
      <c r="D2049" s="7">
        <v>127.427458</v>
      </c>
      <c r="E2049">
        <v>1</v>
      </c>
      <c r="F2049">
        <v>1</v>
      </c>
      <c r="G2049" s="2">
        <v>3</v>
      </c>
      <c r="H2049" s="2">
        <v>3</v>
      </c>
      <c r="I2049">
        <v>1</v>
      </c>
      <c r="J2049">
        <v>0</v>
      </c>
      <c r="K2049" s="2">
        <v>1.441289</v>
      </c>
      <c r="L2049">
        <v>0</v>
      </c>
      <c r="M2049" s="7">
        <v>1.4257120000000001</v>
      </c>
      <c r="N2049" s="7">
        <v>0.662277</v>
      </c>
      <c r="O2049">
        <v>1</v>
      </c>
      <c r="P2049" t="s">
        <v>14</v>
      </c>
      <c r="Q2049">
        <v>6</v>
      </c>
      <c r="R2049" s="8">
        <f>(Tabela2[[#This Row],[FAF_atividade_fisica_frequente_em_horas]]+ 0.1)</f>
        <v>1.5257120000000002</v>
      </c>
      <c r="S2049" s="1">
        <f>(Tabela2[[#This Row],[TUE_tempo_uso_aparelhos_em_horas]]/Tabela2[[#This Row],[FAF_Var]])</f>
        <v>0.43407733569638302</v>
      </c>
      <c r="T2049">
        <f>(Tabela2[[#This Row],[CAEC_lanche_entre_refeicoes]]*Tabela2[[#This Row],[FAVC_consumo_frequente_de_alimentos_mt_caloricos]])</f>
        <v>1</v>
      </c>
      <c r="U2049" s="1">
        <f>IF(OR(Tabela2[[#This Row],[MTRANS]]="Walking",Tabela2[[#This Row],[MTRANS]]="Bike"),Tabela2[[#This Row],[FAF_atividade_fisica_frequente_em_horas]]+1,M2049)</f>
        <v>1.4257120000000001</v>
      </c>
      <c r="V2049">
        <f>(Tabela2[[#This Row],[SMOKE]]+Tabela2[[#This Row],[CALC_bebe_alcool_frequentemente]])</f>
        <v>1</v>
      </c>
      <c r="W2049" s="8">
        <f>(Tabela2[[#This Row],[Weight]]/(Tabela2[[#This Row],[Height]] ^2))</f>
        <v>45.009516508637454</v>
      </c>
    </row>
    <row r="2050" spans="1:23" x14ac:dyDescent="0.25">
      <c r="A2050" t="s">
        <v>13</v>
      </c>
      <c r="B2050" s="7">
        <v>18.634285999999999</v>
      </c>
      <c r="C2050" s="4">
        <v>1.669354</v>
      </c>
      <c r="D2050" s="7">
        <v>126.088301</v>
      </c>
      <c r="E2050">
        <v>1</v>
      </c>
      <c r="F2050">
        <v>1</v>
      </c>
      <c r="G2050" s="2">
        <v>3</v>
      </c>
      <c r="H2050" s="2">
        <v>3</v>
      </c>
      <c r="I2050">
        <v>1</v>
      </c>
      <c r="J2050">
        <v>0</v>
      </c>
      <c r="K2050" s="2">
        <v>1.144539</v>
      </c>
      <c r="L2050">
        <v>0</v>
      </c>
      <c r="M2050" s="7">
        <v>0.922014</v>
      </c>
      <c r="N2050" s="7">
        <v>0.89967299999999994</v>
      </c>
      <c r="O2050">
        <v>1</v>
      </c>
      <c r="P2050" t="s">
        <v>14</v>
      </c>
      <c r="Q2050">
        <v>6</v>
      </c>
      <c r="R2050" s="8">
        <f>(Tabela2[[#This Row],[FAF_atividade_fisica_frequente_em_horas]]+ 0.1)</f>
        <v>1.022014</v>
      </c>
      <c r="S2050" s="1">
        <f>(Tabela2[[#This Row],[TUE_tempo_uso_aparelhos_em_horas]]/Tabela2[[#This Row],[FAF_Var]])</f>
        <v>0.88029420340621556</v>
      </c>
      <c r="T2050">
        <f>(Tabela2[[#This Row],[CAEC_lanche_entre_refeicoes]]*Tabela2[[#This Row],[FAVC_consumo_frequente_de_alimentos_mt_caloricos]])</f>
        <v>1</v>
      </c>
      <c r="U2050" s="1">
        <f>IF(OR(Tabela2[[#This Row],[MTRANS]]="Walking",Tabela2[[#This Row],[MTRANS]]="Bike"),Tabela2[[#This Row],[FAF_atividade_fisica_frequente_em_horas]]+1,M2050)</f>
        <v>0.922014</v>
      </c>
      <c r="V2050">
        <f>(Tabela2[[#This Row],[SMOKE]]+Tabela2[[#This Row],[CALC_bebe_alcool_frequentemente]])</f>
        <v>1</v>
      </c>
      <c r="W2050" s="8">
        <f>(Tabela2[[#This Row],[Weight]]/(Tabela2[[#This Row],[Height]] ^2))</f>
        <v>45.245762194614755</v>
      </c>
    </row>
    <row r="2051" spans="1:23" x14ac:dyDescent="0.25">
      <c r="A2051" t="s">
        <v>13</v>
      </c>
      <c r="B2051" s="7">
        <v>20.700876000000001</v>
      </c>
      <c r="C2051" s="4">
        <v>1.68838</v>
      </c>
      <c r="D2051" s="7">
        <v>121.889803</v>
      </c>
      <c r="E2051">
        <v>1</v>
      </c>
      <c r="F2051">
        <v>1</v>
      </c>
      <c r="G2051" s="2">
        <v>3</v>
      </c>
      <c r="H2051" s="2">
        <v>3</v>
      </c>
      <c r="I2051">
        <v>1</v>
      </c>
      <c r="J2051">
        <v>0</v>
      </c>
      <c r="K2051" s="2">
        <v>1.353167</v>
      </c>
      <c r="L2051">
        <v>0</v>
      </c>
      <c r="M2051" s="7">
        <v>1.0936790000000001</v>
      </c>
      <c r="N2051" s="7">
        <v>0.53455299999999994</v>
      </c>
      <c r="O2051">
        <v>1</v>
      </c>
      <c r="P2051" t="s">
        <v>14</v>
      </c>
      <c r="Q2051">
        <v>6</v>
      </c>
      <c r="R2051" s="8">
        <f>(Tabela2[[#This Row],[FAF_atividade_fisica_frequente_em_horas]]+ 0.1)</f>
        <v>1.1936790000000002</v>
      </c>
      <c r="S2051" s="1">
        <f>(Tabela2[[#This Row],[TUE_tempo_uso_aparelhos_em_horas]]/Tabela2[[#This Row],[FAF_Var]])</f>
        <v>0.44781972372807083</v>
      </c>
      <c r="T2051">
        <f>(Tabela2[[#This Row],[CAEC_lanche_entre_refeicoes]]*Tabela2[[#This Row],[FAVC_consumo_frequente_de_alimentos_mt_caloricos]])</f>
        <v>1</v>
      </c>
      <c r="U2051" s="1">
        <f>IF(OR(Tabela2[[#This Row],[MTRANS]]="Walking",Tabela2[[#This Row],[MTRANS]]="Bike"),Tabela2[[#This Row],[FAF_atividade_fisica_frequente_em_horas]]+1,M2051)</f>
        <v>1.0936790000000001</v>
      </c>
      <c r="V2051">
        <f>(Tabela2[[#This Row],[SMOKE]]+Tabela2[[#This Row],[CALC_bebe_alcool_frequentemente]])</f>
        <v>1</v>
      </c>
      <c r="W2051" s="8">
        <f>(Tabela2[[#This Row],[Weight]]/(Tabela2[[#This Row],[Height]] ^2))</f>
        <v>42.758944595936875</v>
      </c>
    </row>
    <row r="2052" spans="1:23" x14ac:dyDescent="0.25">
      <c r="A2052" t="s">
        <v>13</v>
      </c>
      <c r="B2052" s="7">
        <v>20.741441999999999</v>
      </c>
      <c r="C2052" s="4">
        <v>1.694439</v>
      </c>
      <c r="D2052" s="7">
        <v>122.813033</v>
      </c>
      <c r="E2052">
        <v>1</v>
      </c>
      <c r="F2052">
        <v>1</v>
      </c>
      <c r="G2052" s="2">
        <v>3</v>
      </c>
      <c r="H2052" s="2">
        <v>3</v>
      </c>
      <c r="I2052">
        <v>1</v>
      </c>
      <c r="J2052">
        <v>0</v>
      </c>
      <c r="K2052" s="2">
        <v>1.4094439999999999</v>
      </c>
      <c r="L2052">
        <v>0</v>
      </c>
      <c r="M2052" s="7">
        <v>0.93359499999999995</v>
      </c>
      <c r="N2052" s="7">
        <v>0.84039299999999995</v>
      </c>
      <c r="O2052">
        <v>1</v>
      </c>
      <c r="P2052" t="s">
        <v>14</v>
      </c>
      <c r="Q2052">
        <v>6</v>
      </c>
      <c r="R2052" s="8">
        <f>(Tabela2[[#This Row],[FAF_atividade_fisica_frequente_em_horas]]+ 0.1)</f>
        <v>1.033595</v>
      </c>
      <c r="S2052" s="1">
        <f>(Tabela2[[#This Row],[TUE_tempo_uso_aparelhos_em_horas]]/Tabela2[[#This Row],[FAF_Var]])</f>
        <v>0.81307765614191241</v>
      </c>
      <c r="T2052">
        <f>(Tabela2[[#This Row],[CAEC_lanche_entre_refeicoes]]*Tabela2[[#This Row],[FAVC_consumo_frequente_de_alimentos_mt_caloricos]])</f>
        <v>1</v>
      </c>
      <c r="U2052" s="1">
        <f>IF(OR(Tabela2[[#This Row],[MTRANS]]="Walking",Tabela2[[#This Row],[MTRANS]]="Bike"),Tabela2[[#This Row],[FAF_atividade_fisica_frequente_em_horas]]+1,M2052)</f>
        <v>0.93359499999999995</v>
      </c>
      <c r="V2052">
        <f>(Tabela2[[#This Row],[SMOKE]]+Tabela2[[#This Row],[CALC_bebe_alcool_frequentemente]])</f>
        <v>1</v>
      </c>
      <c r="W2052" s="8">
        <f>(Tabela2[[#This Row],[Weight]]/(Tabela2[[#This Row],[Height]] ^2))</f>
        <v>42.775252246221029</v>
      </c>
    </row>
    <row r="2053" spans="1:23" x14ac:dyDescent="0.25">
      <c r="A2053" t="s">
        <v>13</v>
      </c>
      <c r="B2053" s="7">
        <v>21.695892000000001</v>
      </c>
      <c r="C2053" s="4">
        <v>1.755476</v>
      </c>
      <c r="D2053" s="7">
        <v>133.87050099999999</v>
      </c>
      <c r="E2053">
        <v>1</v>
      </c>
      <c r="F2053">
        <v>1</v>
      </c>
      <c r="G2053" s="2">
        <v>3</v>
      </c>
      <c r="H2053" s="2">
        <v>3</v>
      </c>
      <c r="I2053">
        <v>1</v>
      </c>
      <c r="J2053">
        <v>0</v>
      </c>
      <c r="K2053" s="2">
        <v>1.959287</v>
      </c>
      <c r="L2053">
        <v>0</v>
      </c>
      <c r="M2053" s="7">
        <v>1.4331510000000001</v>
      </c>
      <c r="N2053" s="7">
        <v>0.91133500000000001</v>
      </c>
      <c r="O2053">
        <v>1</v>
      </c>
      <c r="P2053" t="s">
        <v>14</v>
      </c>
      <c r="Q2053">
        <v>6</v>
      </c>
      <c r="R2053" s="8">
        <f>(Tabela2[[#This Row],[FAF_atividade_fisica_frequente_em_horas]]+ 0.1)</f>
        <v>1.5331510000000002</v>
      </c>
      <c r="S2053" s="1">
        <f>(Tabela2[[#This Row],[TUE_tempo_uso_aparelhos_em_horas]]/Tabela2[[#This Row],[FAF_Var]])</f>
        <v>0.59441959728689475</v>
      </c>
      <c r="T2053">
        <f>(Tabela2[[#This Row],[CAEC_lanche_entre_refeicoes]]*Tabela2[[#This Row],[FAVC_consumo_frequente_de_alimentos_mt_caloricos]])</f>
        <v>1</v>
      </c>
      <c r="U2053" s="1">
        <f>IF(OR(Tabela2[[#This Row],[MTRANS]]="Walking",Tabela2[[#This Row],[MTRANS]]="Bike"),Tabela2[[#This Row],[FAF_atividade_fisica_frequente_em_horas]]+1,M2053)</f>
        <v>1.4331510000000001</v>
      </c>
      <c r="V2053">
        <f>(Tabela2[[#This Row],[SMOKE]]+Tabela2[[#This Row],[CALC_bebe_alcool_frequentemente]])</f>
        <v>1</v>
      </c>
      <c r="W2053" s="8">
        <f>(Tabela2[[#This Row],[Weight]]/(Tabela2[[#This Row],[Height]] ^2))</f>
        <v>43.4405280673842</v>
      </c>
    </row>
    <row r="2054" spans="1:23" x14ac:dyDescent="0.25">
      <c r="A2054" t="s">
        <v>13</v>
      </c>
      <c r="B2054" s="7">
        <v>21.635977</v>
      </c>
      <c r="C2054" s="4">
        <v>1.7481059999999999</v>
      </c>
      <c r="D2054" s="7">
        <v>133.25903299999999</v>
      </c>
      <c r="E2054">
        <v>1</v>
      </c>
      <c r="F2054">
        <v>1</v>
      </c>
      <c r="G2054" s="2">
        <v>3</v>
      </c>
      <c r="H2054" s="2">
        <v>3</v>
      </c>
      <c r="I2054">
        <v>1</v>
      </c>
      <c r="J2054">
        <v>0</v>
      </c>
      <c r="K2054" s="2">
        <v>1.931163</v>
      </c>
      <c r="L2054">
        <v>0</v>
      </c>
      <c r="M2054" s="7">
        <v>1.5622130000000001</v>
      </c>
      <c r="N2054" s="7">
        <v>0.92656499999999997</v>
      </c>
      <c r="O2054">
        <v>1</v>
      </c>
      <c r="P2054" t="s">
        <v>14</v>
      </c>
      <c r="Q2054">
        <v>6</v>
      </c>
      <c r="R2054" s="8">
        <f>(Tabela2[[#This Row],[FAF_atividade_fisica_frequente_em_horas]]+ 0.1)</f>
        <v>1.6622130000000002</v>
      </c>
      <c r="S2054" s="1">
        <f>(Tabela2[[#This Row],[TUE_tempo_uso_aparelhos_em_horas]]/Tabela2[[#This Row],[FAF_Var]])</f>
        <v>0.5574285605996343</v>
      </c>
      <c r="T2054">
        <f>(Tabela2[[#This Row],[CAEC_lanche_entre_refeicoes]]*Tabela2[[#This Row],[FAVC_consumo_frequente_de_alimentos_mt_caloricos]])</f>
        <v>1</v>
      </c>
      <c r="U2054" s="1">
        <f>IF(OR(Tabela2[[#This Row],[MTRANS]]="Walking",Tabela2[[#This Row],[MTRANS]]="Bike"),Tabela2[[#This Row],[FAF_atividade_fisica_frequente_em_horas]]+1,M2054)</f>
        <v>1.5622130000000001</v>
      </c>
      <c r="V2054">
        <f>(Tabela2[[#This Row],[SMOKE]]+Tabela2[[#This Row],[CALC_bebe_alcool_frequentemente]])</f>
        <v>1</v>
      </c>
      <c r="W2054" s="8">
        <f>(Tabela2[[#This Row],[Weight]]/(Tabela2[[#This Row],[Height]] ^2))</f>
        <v>43.607494089124621</v>
      </c>
    </row>
    <row r="2055" spans="1:23" x14ac:dyDescent="0.25">
      <c r="A2055" t="s">
        <v>13</v>
      </c>
      <c r="B2055" s="7">
        <v>21.232659000000002</v>
      </c>
      <c r="C2055" s="4">
        <v>1.719913</v>
      </c>
      <c r="D2055" s="7">
        <v>131.56748099999999</v>
      </c>
      <c r="E2055">
        <v>1</v>
      </c>
      <c r="F2055">
        <v>1</v>
      </c>
      <c r="G2055" s="2">
        <v>3</v>
      </c>
      <c r="H2055" s="2">
        <v>3</v>
      </c>
      <c r="I2055">
        <v>1</v>
      </c>
      <c r="J2055">
        <v>0</v>
      </c>
      <c r="K2055" s="2">
        <v>1.651462</v>
      </c>
      <c r="L2055">
        <v>0</v>
      </c>
      <c r="M2055" s="7">
        <v>1.655993</v>
      </c>
      <c r="N2055" s="7">
        <v>0.93998199999999998</v>
      </c>
      <c r="O2055">
        <v>1</v>
      </c>
      <c r="P2055" t="s">
        <v>14</v>
      </c>
      <c r="Q2055">
        <v>6</v>
      </c>
      <c r="R2055" s="8">
        <f>(Tabela2[[#This Row],[FAF_atividade_fisica_frequente_em_horas]]+ 0.1)</f>
        <v>1.7559930000000001</v>
      </c>
      <c r="S2055" s="1">
        <f>(Tabela2[[#This Row],[TUE_tempo_uso_aparelhos_em_horas]]/Tabela2[[#This Row],[FAF_Var]])</f>
        <v>0.53529940039624302</v>
      </c>
      <c r="T2055">
        <f>(Tabela2[[#This Row],[CAEC_lanche_entre_refeicoes]]*Tabela2[[#This Row],[FAVC_consumo_frequente_de_alimentos_mt_caloricos]])</f>
        <v>1</v>
      </c>
      <c r="U2055" s="1">
        <f>IF(OR(Tabela2[[#This Row],[MTRANS]]="Walking",Tabela2[[#This Row],[MTRANS]]="Bike"),Tabela2[[#This Row],[FAF_atividade_fisica_frequente_em_horas]]+1,M2055)</f>
        <v>1.655993</v>
      </c>
      <c r="V2055">
        <f>(Tabela2[[#This Row],[SMOKE]]+Tabela2[[#This Row],[CALC_bebe_alcool_frequentemente]])</f>
        <v>1</v>
      </c>
      <c r="W2055" s="8">
        <f>(Tabela2[[#This Row],[Weight]]/(Tabela2[[#This Row],[Height]] ^2))</f>
        <v>44.477011811603724</v>
      </c>
    </row>
    <row r="2056" spans="1:23" x14ac:dyDescent="0.25">
      <c r="A2056" t="s">
        <v>13</v>
      </c>
      <c r="B2056" s="7">
        <v>21.008296999999999</v>
      </c>
      <c r="C2056" s="4">
        <v>1.723587</v>
      </c>
      <c r="D2056" s="7">
        <v>131.92971199999999</v>
      </c>
      <c r="E2056">
        <v>1</v>
      </c>
      <c r="F2056">
        <v>1</v>
      </c>
      <c r="G2056" s="2">
        <v>3</v>
      </c>
      <c r="H2056" s="2">
        <v>3</v>
      </c>
      <c r="I2056">
        <v>1</v>
      </c>
      <c r="J2056">
        <v>0</v>
      </c>
      <c r="K2056" s="2">
        <v>1.6834480000000001</v>
      </c>
      <c r="L2056">
        <v>0</v>
      </c>
      <c r="M2056" s="7">
        <v>1.645532</v>
      </c>
      <c r="N2056" s="7">
        <v>0.85805900000000002</v>
      </c>
      <c r="O2056">
        <v>1</v>
      </c>
      <c r="P2056" t="s">
        <v>14</v>
      </c>
      <c r="Q2056">
        <v>6</v>
      </c>
      <c r="R2056" s="8">
        <f>(Tabela2[[#This Row],[FAF_atividade_fisica_frequente_em_horas]]+ 0.1)</f>
        <v>1.7455320000000001</v>
      </c>
      <c r="S2056" s="1">
        <f>(Tabela2[[#This Row],[TUE_tempo_uso_aparelhos_em_horas]]/Tabela2[[#This Row],[FAF_Var]])</f>
        <v>0.49157448846540769</v>
      </c>
      <c r="T2056">
        <f>(Tabela2[[#This Row],[CAEC_lanche_entre_refeicoes]]*Tabela2[[#This Row],[FAVC_consumo_frequente_de_alimentos_mt_caloricos]])</f>
        <v>1</v>
      </c>
      <c r="U2056" s="1">
        <f>IF(OR(Tabela2[[#This Row],[MTRANS]]="Walking",Tabela2[[#This Row],[MTRANS]]="Bike"),Tabela2[[#This Row],[FAF_atividade_fisica_frequente_em_horas]]+1,M2056)</f>
        <v>1.645532</v>
      </c>
      <c r="V2056">
        <f>(Tabela2[[#This Row],[SMOKE]]+Tabela2[[#This Row],[CALC_bebe_alcool_frequentemente]])</f>
        <v>1</v>
      </c>
      <c r="W2056" s="8">
        <f>(Tabela2[[#This Row],[Weight]]/(Tabela2[[#This Row],[Height]] ^2))</f>
        <v>44.409531825928021</v>
      </c>
    </row>
    <row r="2057" spans="1:23" x14ac:dyDescent="0.25">
      <c r="A2057" t="s">
        <v>13</v>
      </c>
      <c r="B2057" s="7">
        <v>25.962948999999998</v>
      </c>
      <c r="C2057" s="4">
        <v>1.623812</v>
      </c>
      <c r="D2057" s="7">
        <v>109.996742</v>
      </c>
      <c r="E2057">
        <v>1</v>
      </c>
      <c r="F2057">
        <v>1</v>
      </c>
      <c r="G2057" s="2">
        <v>3</v>
      </c>
      <c r="H2057" s="2">
        <v>3</v>
      </c>
      <c r="I2057">
        <v>1</v>
      </c>
      <c r="J2057">
        <v>0</v>
      </c>
      <c r="K2057" s="2">
        <v>2.3953869999999999</v>
      </c>
      <c r="L2057">
        <v>0</v>
      </c>
      <c r="M2057" s="7">
        <v>2.72E-4</v>
      </c>
      <c r="N2057" s="7">
        <v>0.461532</v>
      </c>
      <c r="O2057">
        <v>1</v>
      </c>
      <c r="P2057" t="s">
        <v>14</v>
      </c>
      <c r="Q2057">
        <v>6</v>
      </c>
      <c r="R2057" s="8">
        <f>(Tabela2[[#This Row],[FAF_atividade_fisica_frequente_em_horas]]+ 0.1)</f>
        <v>0.100272</v>
      </c>
      <c r="S2057" s="1">
        <f>(Tabela2[[#This Row],[TUE_tempo_uso_aparelhos_em_horas]]/Tabela2[[#This Row],[FAF_Var]])</f>
        <v>4.6028003829583533</v>
      </c>
      <c r="T2057">
        <f>(Tabela2[[#This Row],[CAEC_lanche_entre_refeicoes]]*Tabela2[[#This Row],[FAVC_consumo_frequente_de_alimentos_mt_caloricos]])</f>
        <v>1</v>
      </c>
      <c r="U2057" s="1">
        <f>IF(OR(Tabela2[[#This Row],[MTRANS]]="Walking",Tabela2[[#This Row],[MTRANS]]="Bike"),Tabela2[[#This Row],[FAF_atividade_fisica_frequente_em_horas]]+1,M2057)</f>
        <v>2.72E-4</v>
      </c>
      <c r="V2057">
        <f>(Tabela2[[#This Row],[SMOKE]]+Tabela2[[#This Row],[CALC_bebe_alcool_frequentemente]])</f>
        <v>1</v>
      </c>
      <c r="W2057" s="8">
        <f>(Tabela2[[#This Row],[Weight]]/(Tabela2[[#This Row],[Height]] ^2))</f>
        <v>41.716544644725502</v>
      </c>
    </row>
    <row r="2058" spans="1:23" x14ac:dyDescent="0.25">
      <c r="A2058" t="s">
        <v>13</v>
      </c>
      <c r="B2058" s="7">
        <v>26</v>
      </c>
      <c r="C2058" s="4">
        <v>1.624099</v>
      </c>
      <c r="D2058" s="7">
        <v>109.978402</v>
      </c>
      <c r="E2058">
        <v>1</v>
      </c>
      <c r="F2058">
        <v>1</v>
      </c>
      <c r="G2058" s="2">
        <v>3</v>
      </c>
      <c r="H2058" s="2">
        <v>3</v>
      </c>
      <c r="I2058">
        <v>1</v>
      </c>
      <c r="J2058">
        <v>0</v>
      </c>
      <c r="K2058" s="2">
        <v>2.523793</v>
      </c>
      <c r="L2058">
        <v>0</v>
      </c>
      <c r="M2058" s="7">
        <v>0</v>
      </c>
      <c r="N2058" s="7">
        <v>0.38395299999999999</v>
      </c>
      <c r="O2058">
        <v>1</v>
      </c>
      <c r="P2058" t="s">
        <v>14</v>
      </c>
      <c r="Q2058">
        <v>6</v>
      </c>
      <c r="R2058" s="8">
        <f>(Tabela2[[#This Row],[FAF_atividade_fisica_frequente_em_horas]]+ 0.1)</f>
        <v>0.1</v>
      </c>
      <c r="S2058" s="1">
        <f>(Tabela2[[#This Row],[TUE_tempo_uso_aparelhos_em_horas]]/Tabela2[[#This Row],[FAF_Var]])</f>
        <v>3.8395299999999999</v>
      </c>
      <c r="T2058">
        <f>(Tabela2[[#This Row],[CAEC_lanche_entre_refeicoes]]*Tabela2[[#This Row],[FAVC_consumo_frequente_de_alimentos_mt_caloricos]])</f>
        <v>1</v>
      </c>
      <c r="U2058" s="1">
        <f>IF(OR(Tabela2[[#This Row],[MTRANS]]="Walking",Tabela2[[#This Row],[MTRANS]]="Bike"),Tabela2[[#This Row],[FAF_atividade_fisica_frequente_em_horas]]+1,M2058)</f>
        <v>0</v>
      </c>
      <c r="V2058">
        <f>(Tabela2[[#This Row],[SMOKE]]+Tabela2[[#This Row],[CALC_bebe_alcool_frequentemente]])</f>
        <v>1</v>
      </c>
      <c r="W2058" s="8">
        <f>(Tabela2[[#This Row],[Weight]]/(Tabela2[[#This Row],[Height]] ^2))</f>
        <v>41.694849171755536</v>
      </c>
    </row>
    <row r="2059" spans="1:23" x14ac:dyDescent="0.25">
      <c r="A2059" t="s">
        <v>13</v>
      </c>
      <c r="B2059" s="7">
        <v>26</v>
      </c>
      <c r="C2059" s="4">
        <v>1.6329830000000001</v>
      </c>
      <c r="D2059" s="7">
        <v>111.157811</v>
      </c>
      <c r="E2059">
        <v>1</v>
      </c>
      <c r="F2059">
        <v>1</v>
      </c>
      <c r="G2059" s="2">
        <v>3</v>
      </c>
      <c r="H2059" s="2">
        <v>3</v>
      </c>
      <c r="I2059">
        <v>1</v>
      </c>
      <c r="J2059">
        <v>0</v>
      </c>
      <c r="K2059" s="2">
        <v>2.6388959999999999</v>
      </c>
      <c r="L2059">
        <v>0</v>
      </c>
      <c r="M2059" s="7">
        <v>0</v>
      </c>
      <c r="N2059" s="7">
        <v>0.22455900000000001</v>
      </c>
      <c r="O2059">
        <v>1</v>
      </c>
      <c r="P2059" t="s">
        <v>14</v>
      </c>
      <c r="Q2059">
        <v>6</v>
      </c>
      <c r="R2059" s="8">
        <f>(Tabela2[[#This Row],[FAF_atividade_fisica_frequente_em_horas]]+ 0.1)</f>
        <v>0.1</v>
      </c>
      <c r="S2059" s="1">
        <f>(Tabela2[[#This Row],[TUE_tempo_uso_aparelhos_em_horas]]/Tabela2[[#This Row],[FAF_Var]])</f>
        <v>2.24559</v>
      </c>
      <c r="T2059">
        <f>(Tabela2[[#This Row],[CAEC_lanche_entre_refeicoes]]*Tabela2[[#This Row],[FAVC_consumo_frequente_de_alimentos_mt_caloricos]])</f>
        <v>1</v>
      </c>
      <c r="U2059" s="1">
        <f>IF(OR(Tabela2[[#This Row],[MTRANS]]="Walking",Tabela2[[#This Row],[MTRANS]]="Bike"),Tabela2[[#This Row],[FAF_atividade_fisica_frequente_em_horas]]+1,M2059)</f>
        <v>0</v>
      </c>
      <c r="V2059">
        <f>(Tabela2[[#This Row],[SMOKE]]+Tabela2[[#This Row],[CALC_bebe_alcool_frequentemente]])</f>
        <v>1</v>
      </c>
      <c r="W2059" s="8">
        <f>(Tabela2[[#This Row],[Weight]]/(Tabela2[[#This Row],[Height]] ^2))</f>
        <v>41.684697917811526</v>
      </c>
    </row>
    <row r="2060" spans="1:23" x14ac:dyDescent="0.25">
      <c r="A2060" t="s">
        <v>13</v>
      </c>
      <c r="B2060" s="7">
        <v>26</v>
      </c>
      <c r="C2060" s="4">
        <v>1.6407449999999999</v>
      </c>
      <c r="D2060" s="7">
        <v>110.919646</v>
      </c>
      <c r="E2060">
        <v>1</v>
      </c>
      <c r="F2060">
        <v>1</v>
      </c>
      <c r="G2060" s="2">
        <v>3</v>
      </c>
      <c r="H2060" s="2">
        <v>3</v>
      </c>
      <c r="I2060">
        <v>1</v>
      </c>
      <c r="J2060">
        <v>0</v>
      </c>
      <c r="K2060" s="2">
        <v>2.6661779999999999</v>
      </c>
      <c r="L2060">
        <v>0</v>
      </c>
      <c r="M2060" s="7">
        <v>0</v>
      </c>
      <c r="N2060" s="7">
        <v>0.27690700000000001</v>
      </c>
      <c r="O2060">
        <v>1</v>
      </c>
      <c r="P2060" t="s">
        <v>14</v>
      </c>
      <c r="Q2060">
        <v>6</v>
      </c>
      <c r="R2060" s="8">
        <f>(Tabela2[[#This Row],[FAF_atividade_fisica_frequente_em_horas]]+ 0.1)</f>
        <v>0.1</v>
      </c>
      <c r="S2060" s="1">
        <f>(Tabela2[[#This Row],[TUE_tempo_uso_aparelhos_em_horas]]/Tabela2[[#This Row],[FAF_Var]])</f>
        <v>2.7690700000000001</v>
      </c>
      <c r="T2060">
        <f>(Tabela2[[#This Row],[CAEC_lanche_entre_refeicoes]]*Tabela2[[#This Row],[FAVC_consumo_frequente_de_alimentos_mt_caloricos]])</f>
        <v>1</v>
      </c>
      <c r="U2060" s="1">
        <f>IF(OR(Tabela2[[#This Row],[MTRANS]]="Walking",Tabela2[[#This Row],[MTRANS]]="Bike"),Tabela2[[#This Row],[FAF_atividade_fisica_frequente_em_horas]]+1,M2060)</f>
        <v>0</v>
      </c>
      <c r="V2060">
        <f>(Tabela2[[#This Row],[SMOKE]]+Tabela2[[#This Row],[CALC_bebe_alcool_frequentemente]])</f>
        <v>1</v>
      </c>
      <c r="W2060" s="8">
        <f>(Tabela2[[#This Row],[Weight]]/(Tabela2[[#This Row],[Height]] ^2))</f>
        <v>41.202758800577676</v>
      </c>
    </row>
    <row r="2061" spans="1:23" x14ac:dyDescent="0.25">
      <c r="A2061" t="s">
        <v>13</v>
      </c>
      <c r="B2061" s="7">
        <v>26</v>
      </c>
      <c r="C2061" s="4">
        <v>1.6297269999999999</v>
      </c>
      <c r="D2061" s="7">
        <v>111.27564599999999</v>
      </c>
      <c r="E2061">
        <v>1</v>
      </c>
      <c r="F2061">
        <v>1</v>
      </c>
      <c r="G2061" s="2">
        <v>3</v>
      </c>
      <c r="H2061" s="2">
        <v>3</v>
      </c>
      <c r="I2061">
        <v>1</v>
      </c>
      <c r="J2061">
        <v>0</v>
      </c>
      <c r="K2061" s="2">
        <v>2.495851</v>
      </c>
      <c r="L2061">
        <v>0</v>
      </c>
      <c r="M2061" s="7">
        <v>0</v>
      </c>
      <c r="N2061" s="7">
        <v>0.21864500000000001</v>
      </c>
      <c r="O2061">
        <v>1</v>
      </c>
      <c r="P2061" t="s">
        <v>14</v>
      </c>
      <c r="Q2061">
        <v>6</v>
      </c>
      <c r="R2061" s="8">
        <f>(Tabela2[[#This Row],[FAF_atividade_fisica_frequente_em_horas]]+ 0.1)</f>
        <v>0.1</v>
      </c>
      <c r="S2061" s="1">
        <f>(Tabela2[[#This Row],[TUE_tempo_uso_aparelhos_em_horas]]/Tabela2[[#This Row],[FAF_Var]])</f>
        <v>2.1864499999999998</v>
      </c>
      <c r="T2061">
        <f>(Tabela2[[#This Row],[CAEC_lanche_entre_refeicoes]]*Tabela2[[#This Row],[FAVC_consumo_frequente_de_alimentos_mt_caloricos]])</f>
        <v>1</v>
      </c>
      <c r="U2061" s="1">
        <f>IF(OR(Tabela2[[#This Row],[MTRANS]]="Walking",Tabela2[[#This Row],[MTRANS]]="Bike"),Tabela2[[#This Row],[FAF_atividade_fisica_frequente_em_horas]]+1,M2061)</f>
        <v>0</v>
      </c>
      <c r="V2061">
        <f>(Tabela2[[#This Row],[SMOKE]]+Tabela2[[#This Row],[CALC_bebe_alcool_frequentemente]])</f>
        <v>1</v>
      </c>
      <c r="W2061" s="8">
        <f>(Tabela2[[#This Row],[Weight]]/(Tabela2[[#This Row],[Height]] ^2))</f>
        <v>41.895791822934662</v>
      </c>
    </row>
    <row r="2062" spans="1:23" x14ac:dyDescent="0.25">
      <c r="A2062" t="s">
        <v>13</v>
      </c>
      <c r="B2062" s="7">
        <v>26</v>
      </c>
      <c r="C2062" s="4">
        <v>1.624134</v>
      </c>
      <c r="D2062" s="7">
        <v>111.53120800000001</v>
      </c>
      <c r="E2062">
        <v>1</v>
      </c>
      <c r="F2062">
        <v>1</v>
      </c>
      <c r="G2062" s="2">
        <v>3</v>
      </c>
      <c r="H2062" s="2">
        <v>3</v>
      </c>
      <c r="I2062">
        <v>1</v>
      </c>
      <c r="J2062">
        <v>0</v>
      </c>
      <c r="K2062" s="2">
        <v>2.6091880000000001</v>
      </c>
      <c r="L2062">
        <v>0</v>
      </c>
      <c r="M2062" s="7">
        <v>0</v>
      </c>
      <c r="N2062" s="7">
        <v>0.17402999999999999</v>
      </c>
      <c r="O2062">
        <v>1</v>
      </c>
      <c r="P2062" t="s">
        <v>14</v>
      </c>
      <c r="Q2062">
        <v>6</v>
      </c>
      <c r="R2062" s="8">
        <f>(Tabela2[[#This Row],[FAF_atividade_fisica_frequente_em_horas]]+ 0.1)</f>
        <v>0.1</v>
      </c>
      <c r="S2062" s="1">
        <f>(Tabela2[[#This Row],[TUE_tempo_uso_aparelhos_em_horas]]/Tabela2[[#This Row],[FAF_Var]])</f>
        <v>1.7402999999999997</v>
      </c>
      <c r="T2062">
        <f>(Tabela2[[#This Row],[CAEC_lanche_entre_refeicoes]]*Tabela2[[#This Row],[FAVC_consumo_frequente_de_alimentos_mt_caloricos]])</f>
        <v>1</v>
      </c>
      <c r="U2062" s="1">
        <f>IF(OR(Tabela2[[#This Row],[MTRANS]]="Walking",Tabela2[[#This Row],[MTRANS]]="Bike"),Tabela2[[#This Row],[FAF_atividade_fisica_frequente_em_horas]]+1,M2062)</f>
        <v>0</v>
      </c>
      <c r="V2062">
        <f>(Tabela2[[#This Row],[SMOKE]]+Tabela2[[#This Row],[CALC_bebe_alcool_frequentemente]])</f>
        <v>1</v>
      </c>
      <c r="W2062" s="8">
        <f>(Tabela2[[#This Row],[Weight]]/(Tabela2[[#This Row],[Height]] ^2))</f>
        <v>42.281724290113786</v>
      </c>
    </row>
    <row r="2063" spans="1:23" x14ac:dyDescent="0.25">
      <c r="A2063" t="s">
        <v>13</v>
      </c>
      <c r="B2063" s="7">
        <v>25.964787999999999</v>
      </c>
      <c r="C2063" s="4">
        <v>1.6239380000000001</v>
      </c>
      <c r="D2063" s="7">
        <v>109.984263</v>
      </c>
      <c r="E2063">
        <v>1</v>
      </c>
      <c r="F2063">
        <v>1</v>
      </c>
      <c r="G2063" s="2">
        <v>3</v>
      </c>
      <c r="H2063" s="2">
        <v>3</v>
      </c>
      <c r="I2063">
        <v>1</v>
      </c>
      <c r="J2063">
        <v>0</v>
      </c>
      <c r="K2063" s="2">
        <v>2.4717210000000001</v>
      </c>
      <c r="L2063">
        <v>0</v>
      </c>
      <c r="M2063" s="7">
        <v>9.6000000000000002E-5</v>
      </c>
      <c r="N2063" s="7">
        <v>0.43346299999999999</v>
      </c>
      <c r="O2063">
        <v>1</v>
      </c>
      <c r="P2063" t="s">
        <v>14</v>
      </c>
      <c r="Q2063">
        <v>6</v>
      </c>
      <c r="R2063" s="8">
        <f>(Tabela2[[#This Row],[FAF_atividade_fisica_frequente_em_horas]]+ 0.1)</f>
        <v>0.100096</v>
      </c>
      <c r="S2063" s="1">
        <f>(Tabela2[[#This Row],[TUE_tempo_uso_aparelhos_em_horas]]/Tabela2[[#This Row],[FAF_Var]])</f>
        <v>4.3304727461636823</v>
      </c>
      <c r="T2063">
        <f>(Tabela2[[#This Row],[CAEC_lanche_entre_refeicoes]]*Tabela2[[#This Row],[FAVC_consumo_frequente_de_alimentos_mt_caloricos]])</f>
        <v>1</v>
      </c>
      <c r="U2063" s="1">
        <f>IF(OR(Tabela2[[#This Row],[MTRANS]]="Walking",Tabela2[[#This Row],[MTRANS]]="Bike"),Tabela2[[#This Row],[FAF_atividade_fisica_frequente_em_horas]]+1,M2063)</f>
        <v>9.6000000000000002E-5</v>
      </c>
      <c r="V2063">
        <f>(Tabela2[[#This Row],[SMOKE]]+Tabela2[[#This Row],[CALC_bebe_alcool_frequentemente]])</f>
        <v>1</v>
      </c>
      <c r="W2063" s="8">
        <f>(Tabela2[[#This Row],[Weight]]/(Tabela2[[#This Row],[Height]] ^2))</f>
        <v>41.705339433633448</v>
      </c>
    </row>
    <row r="2064" spans="1:23" x14ac:dyDescent="0.25">
      <c r="A2064" t="s">
        <v>13</v>
      </c>
      <c r="B2064" s="7">
        <v>25.994948999999998</v>
      </c>
      <c r="C2064" s="4">
        <v>1.593321</v>
      </c>
      <c r="D2064" s="7">
        <v>110.168166</v>
      </c>
      <c r="E2064">
        <v>1</v>
      </c>
      <c r="F2064">
        <v>1</v>
      </c>
      <c r="G2064" s="2">
        <v>3</v>
      </c>
      <c r="H2064" s="2">
        <v>3</v>
      </c>
      <c r="I2064">
        <v>1</v>
      </c>
      <c r="J2064">
        <v>0</v>
      </c>
      <c r="K2064" s="2">
        <v>2.4473060000000002</v>
      </c>
      <c r="L2064">
        <v>0</v>
      </c>
      <c r="M2064" s="7">
        <v>4.5399999999999998E-4</v>
      </c>
      <c r="N2064" s="7">
        <v>0.48655799999999999</v>
      </c>
      <c r="O2064">
        <v>1</v>
      </c>
      <c r="P2064" t="s">
        <v>14</v>
      </c>
      <c r="Q2064">
        <v>6</v>
      </c>
      <c r="R2064" s="8">
        <f>(Tabela2[[#This Row],[FAF_atividade_fisica_frequente_em_horas]]+ 0.1)</f>
        <v>0.100454</v>
      </c>
      <c r="S2064" s="1">
        <f>(Tabela2[[#This Row],[TUE_tempo_uso_aparelhos_em_horas]]/Tabela2[[#This Row],[FAF_Var]])</f>
        <v>4.8435901009417242</v>
      </c>
      <c r="T2064">
        <f>(Tabela2[[#This Row],[CAEC_lanche_entre_refeicoes]]*Tabela2[[#This Row],[FAVC_consumo_frequente_de_alimentos_mt_caloricos]])</f>
        <v>1</v>
      </c>
      <c r="U2064" s="1">
        <f>IF(OR(Tabela2[[#This Row],[MTRANS]]="Walking",Tabela2[[#This Row],[MTRANS]]="Bike"),Tabela2[[#This Row],[FAF_atividade_fisica_frequente_em_horas]]+1,M2064)</f>
        <v>4.5399999999999998E-4</v>
      </c>
      <c r="V2064">
        <f>(Tabela2[[#This Row],[SMOKE]]+Tabela2[[#This Row],[CALC_bebe_alcool_frequentemente]])</f>
        <v>1</v>
      </c>
      <c r="W2064" s="8">
        <f>(Tabela2[[#This Row],[Weight]]/(Tabela2[[#This Row],[Height]] ^2))</f>
        <v>43.395985888233717</v>
      </c>
    </row>
    <row r="2065" spans="1:23" x14ac:dyDescent="0.25">
      <c r="A2065" t="s">
        <v>13</v>
      </c>
      <c r="B2065" s="7">
        <v>20.952736999999999</v>
      </c>
      <c r="C2065" s="4">
        <v>1.7303329999999999</v>
      </c>
      <c r="D2065" s="7">
        <v>132.116491</v>
      </c>
      <c r="E2065">
        <v>1</v>
      </c>
      <c r="F2065">
        <v>1</v>
      </c>
      <c r="G2065" s="2">
        <v>3</v>
      </c>
      <c r="H2065" s="2">
        <v>3</v>
      </c>
      <c r="I2065">
        <v>1</v>
      </c>
      <c r="J2065">
        <v>0</v>
      </c>
      <c r="K2065" s="2">
        <v>1.674061</v>
      </c>
      <c r="L2065">
        <v>0</v>
      </c>
      <c r="M2065" s="7">
        <v>1.683497</v>
      </c>
      <c r="N2065" s="7">
        <v>0.78019899999999998</v>
      </c>
      <c r="O2065">
        <v>1</v>
      </c>
      <c r="P2065" t="s">
        <v>14</v>
      </c>
      <c r="Q2065">
        <v>6</v>
      </c>
      <c r="R2065" s="8">
        <f>(Tabela2[[#This Row],[FAF_atividade_fisica_frequente_em_horas]]+ 0.1)</f>
        <v>1.7834970000000001</v>
      </c>
      <c r="S2065" s="1">
        <f>(Tabela2[[#This Row],[TUE_tempo_uso_aparelhos_em_horas]]/Tabela2[[#This Row],[FAF_Var]])</f>
        <v>0.43745461865088642</v>
      </c>
      <c r="T2065">
        <f>(Tabela2[[#This Row],[CAEC_lanche_entre_refeicoes]]*Tabela2[[#This Row],[FAVC_consumo_frequente_de_alimentos_mt_caloricos]])</f>
        <v>1</v>
      </c>
      <c r="U2065" s="1">
        <f>IF(OR(Tabela2[[#This Row],[MTRANS]]="Walking",Tabela2[[#This Row],[MTRANS]]="Bike"),Tabela2[[#This Row],[FAF_atividade_fisica_frequente_em_horas]]+1,M2065)</f>
        <v>1.683497</v>
      </c>
      <c r="V2065">
        <f>(Tabela2[[#This Row],[SMOKE]]+Tabela2[[#This Row],[CALC_bebe_alcool_frequentemente]])</f>
        <v>1</v>
      </c>
      <c r="W2065" s="8">
        <f>(Tabela2[[#This Row],[Weight]]/(Tabela2[[#This Row],[Height]] ^2))</f>
        <v>44.126313826259768</v>
      </c>
    </row>
    <row r="2066" spans="1:23" x14ac:dyDescent="0.25">
      <c r="A2066" t="s">
        <v>13</v>
      </c>
      <c r="B2066" s="7">
        <v>20.978166000000002</v>
      </c>
      <c r="C2066" s="4">
        <v>1.7210570000000001</v>
      </c>
      <c r="D2066" s="7">
        <v>132.05479299999999</v>
      </c>
      <c r="E2066">
        <v>1</v>
      </c>
      <c r="F2066">
        <v>1</v>
      </c>
      <c r="G2066" s="2">
        <v>3</v>
      </c>
      <c r="H2066" s="2">
        <v>3</v>
      </c>
      <c r="I2066">
        <v>1</v>
      </c>
      <c r="J2066">
        <v>0</v>
      </c>
      <c r="K2066" s="2">
        <v>1.6787909999999999</v>
      </c>
      <c r="L2066">
        <v>0</v>
      </c>
      <c r="M2066" s="7">
        <v>1.68249</v>
      </c>
      <c r="N2066" s="7">
        <v>0.81887100000000002</v>
      </c>
      <c r="O2066">
        <v>1</v>
      </c>
      <c r="P2066" t="s">
        <v>14</v>
      </c>
      <c r="Q2066">
        <v>6</v>
      </c>
      <c r="R2066" s="8">
        <f>(Tabela2[[#This Row],[FAF_atividade_fisica_frequente_em_horas]]+ 0.1)</f>
        <v>1.7824900000000001</v>
      </c>
      <c r="S2066" s="1">
        <f>(Tabela2[[#This Row],[TUE_tempo_uso_aparelhos_em_horas]]/Tabela2[[#This Row],[FAF_Var]])</f>
        <v>0.45939724767039364</v>
      </c>
      <c r="T2066">
        <f>(Tabela2[[#This Row],[CAEC_lanche_entre_refeicoes]]*Tabela2[[#This Row],[FAVC_consumo_frequente_de_alimentos_mt_caloricos]])</f>
        <v>1</v>
      </c>
      <c r="U2066" s="1">
        <f>IF(OR(Tabela2[[#This Row],[MTRANS]]="Walking",Tabela2[[#This Row],[MTRANS]]="Bike"),Tabela2[[#This Row],[FAF_atividade_fisica_frequente_em_horas]]+1,M2066)</f>
        <v>1.68249</v>
      </c>
      <c r="V2066">
        <f>(Tabela2[[#This Row],[SMOKE]]+Tabela2[[#This Row],[CALC_bebe_alcool_frequentemente]])</f>
        <v>1</v>
      </c>
      <c r="W2066" s="8">
        <f>(Tabela2[[#This Row],[Weight]]/(Tabela2[[#This Row],[Height]] ^2))</f>
        <v>44.582422233807939</v>
      </c>
    </row>
    <row r="2067" spans="1:23" x14ac:dyDescent="0.25">
      <c r="A2067" t="s">
        <v>13</v>
      </c>
      <c r="B2067" s="7">
        <v>21.674469999999999</v>
      </c>
      <c r="C2067" s="4">
        <v>1.7197800000000001</v>
      </c>
      <c r="D2067" s="7">
        <v>132.26255800000001</v>
      </c>
      <c r="E2067">
        <v>1</v>
      </c>
      <c r="F2067">
        <v>1</v>
      </c>
      <c r="G2067" s="2">
        <v>3</v>
      </c>
      <c r="H2067" s="2">
        <v>3</v>
      </c>
      <c r="I2067">
        <v>1</v>
      </c>
      <c r="J2067">
        <v>0</v>
      </c>
      <c r="K2067" s="2">
        <v>1.7778050000000001</v>
      </c>
      <c r="L2067">
        <v>0</v>
      </c>
      <c r="M2067" s="7">
        <v>1.584716</v>
      </c>
      <c r="N2067" s="7">
        <v>0.92734099999999997</v>
      </c>
      <c r="O2067">
        <v>1</v>
      </c>
      <c r="P2067" t="s">
        <v>14</v>
      </c>
      <c r="Q2067">
        <v>6</v>
      </c>
      <c r="R2067" s="8">
        <f>(Tabela2[[#This Row],[FAF_atividade_fisica_frequente_em_horas]]+ 0.1)</f>
        <v>1.6847160000000001</v>
      </c>
      <c r="S2067" s="1">
        <f>(Tabela2[[#This Row],[TUE_tempo_uso_aparelhos_em_horas]]/Tabela2[[#This Row],[FAF_Var]])</f>
        <v>0.55044351688949344</v>
      </c>
      <c r="T2067">
        <f>(Tabela2[[#This Row],[CAEC_lanche_entre_refeicoes]]*Tabela2[[#This Row],[FAVC_consumo_frequente_de_alimentos_mt_caloricos]])</f>
        <v>1</v>
      </c>
      <c r="U2067" s="1">
        <f>IF(OR(Tabela2[[#This Row],[MTRANS]]="Walking",Tabela2[[#This Row],[MTRANS]]="Bike"),Tabela2[[#This Row],[FAF_atividade_fisica_frequente_em_horas]]+1,M2067)</f>
        <v>1.584716</v>
      </c>
      <c r="V2067">
        <f>(Tabela2[[#This Row],[SMOKE]]+Tabela2[[#This Row],[CALC_bebe_alcool_frequentemente]])</f>
        <v>1</v>
      </c>
      <c r="W2067" s="8">
        <f>(Tabela2[[#This Row],[Weight]]/(Tabela2[[#This Row],[Height]] ^2))</f>
        <v>44.718901805195827</v>
      </c>
    </row>
    <row r="2068" spans="1:23" x14ac:dyDescent="0.25">
      <c r="A2068" t="s">
        <v>13</v>
      </c>
      <c r="B2068" s="7">
        <v>21.568950999999998</v>
      </c>
      <c r="C2068" s="4">
        <v>1.6993149999999999</v>
      </c>
      <c r="D2068" s="7">
        <v>133.10760999999999</v>
      </c>
      <c r="E2068">
        <v>1</v>
      </c>
      <c r="F2068">
        <v>1</v>
      </c>
      <c r="G2068" s="2">
        <v>3</v>
      </c>
      <c r="H2068" s="2">
        <v>3</v>
      </c>
      <c r="I2068">
        <v>1</v>
      </c>
      <c r="J2068">
        <v>0</v>
      </c>
      <c r="K2068" s="2">
        <v>1.733306</v>
      </c>
      <c r="L2068">
        <v>0</v>
      </c>
      <c r="M2068" s="7">
        <v>1.773304</v>
      </c>
      <c r="N2068" s="7">
        <v>0.92113599999999995</v>
      </c>
      <c r="O2068">
        <v>1</v>
      </c>
      <c r="P2068" t="s">
        <v>14</v>
      </c>
      <c r="Q2068">
        <v>6</v>
      </c>
      <c r="R2068" s="8">
        <f>(Tabela2[[#This Row],[FAF_atividade_fisica_frequente_em_horas]]+ 0.1)</f>
        <v>1.8733040000000001</v>
      </c>
      <c r="S2068" s="1">
        <f>(Tabela2[[#This Row],[TUE_tempo_uso_aparelhos_em_horas]]/Tabela2[[#This Row],[FAF_Var]])</f>
        <v>0.49171730802902247</v>
      </c>
      <c r="T2068">
        <f>(Tabela2[[#This Row],[CAEC_lanche_entre_refeicoes]]*Tabela2[[#This Row],[FAVC_consumo_frequente_de_alimentos_mt_caloricos]])</f>
        <v>1</v>
      </c>
      <c r="U2068" s="1">
        <f>IF(OR(Tabela2[[#This Row],[MTRANS]]="Walking",Tabela2[[#This Row],[MTRANS]]="Bike"),Tabela2[[#This Row],[FAF_atividade_fisica_frequente_em_horas]]+1,M2068)</f>
        <v>1.773304</v>
      </c>
      <c r="V2068">
        <f>(Tabela2[[#This Row],[SMOKE]]+Tabela2[[#This Row],[CALC_bebe_alcool_frequentemente]])</f>
        <v>1</v>
      </c>
      <c r="W2068" s="8">
        <f>(Tabela2[[#This Row],[Weight]]/(Tabela2[[#This Row],[Height]] ^2))</f>
        <v>46.095136312623445</v>
      </c>
    </row>
    <row r="2069" spans="1:23" x14ac:dyDescent="0.25">
      <c r="A2069" t="s">
        <v>13</v>
      </c>
      <c r="B2069" s="7">
        <v>23.647935</v>
      </c>
      <c r="C2069" s="4">
        <v>1.6813940000000001</v>
      </c>
      <c r="D2069" s="7">
        <v>114.47945900000001</v>
      </c>
      <c r="E2069">
        <v>1</v>
      </c>
      <c r="F2069">
        <v>1</v>
      </c>
      <c r="G2069" s="2">
        <v>3</v>
      </c>
      <c r="H2069" s="2">
        <v>3</v>
      </c>
      <c r="I2069">
        <v>1</v>
      </c>
      <c r="J2069">
        <v>0</v>
      </c>
      <c r="K2069" s="2">
        <v>2.435978</v>
      </c>
      <c r="L2069">
        <v>0</v>
      </c>
      <c r="M2069" s="7">
        <v>0.232742</v>
      </c>
      <c r="N2069" s="7">
        <v>0.692608</v>
      </c>
      <c r="O2069">
        <v>1</v>
      </c>
      <c r="P2069" t="s">
        <v>14</v>
      </c>
      <c r="Q2069">
        <v>6</v>
      </c>
      <c r="R2069" s="8">
        <f>(Tabela2[[#This Row],[FAF_atividade_fisica_frequente_em_horas]]+ 0.1)</f>
        <v>0.33274199999999998</v>
      </c>
      <c r="S2069" s="1">
        <f>(Tabela2[[#This Row],[TUE_tempo_uso_aparelhos_em_horas]]/Tabela2[[#This Row],[FAF_Var]])</f>
        <v>2.0815166104669687</v>
      </c>
      <c r="T2069">
        <f>(Tabela2[[#This Row],[CAEC_lanche_entre_refeicoes]]*Tabela2[[#This Row],[FAVC_consumo_frequente_de_alimentos_mt_caloricos]])</f>
        <v>1</v>
      </c>
      <c r="U2069" s="1">
        <f>IF(OR(Tabela2[[#This Row],[MTRANS]]="Walking",Tabela2[[#This Row],[MTRANS]]="Bike"),Tabela2[[#This Row],[FAF_atividade_fisica_frequente_em_horas]]+1,M2069)</f>
        <v>0.232742</v>
      </c>
      <c r="V2069">
        <f>(Tabela2[[#This Row],[SMOKE]]+Tabela2[[#This Row],[CALC_bebe_alcool_frequentemente]])</f>
        <v>1</v>
      </c>
      <c r="W2069" s="8">
        <f>(Tabela2[[#This Row],[Weight]]/(Tabela2[[#This Row],[Height]] ^2))</f>
        <v>40.493804496077949</v>
      </c>
    </row>
    <row r="2070" spans="1:23" x14ac:dyDescent="0.25">
      <c r="A2070" t="s">
        <v>13</v>
      </c>
      <c r="B2070" s="7">
        <v>24.196366999999999</v>
      </c>
      <c r="C2070" s="4">
        <v>1.6974210000000001</v>
      </c>
      <c r="D2070" s="7">
        <v>114.48238600000001</v>
      </c>
      <c r="E2070">
        <v>1</v>
      </c>
      <c r="F2070">
        <v>1</v>
      </c>
      <c r="G2070" s="2">
        <v>3</v>
      </c>
      <c r="H2070" s="2">
        <v>3</v>
      </c>
      <c r="I2070">
        <v>1</v>
      </c>
      <c r="J2070">
        <v>0</v>
      </c>
      <c r="K2070" s="2">
        <v>2.909675</v>
      </c>
      <c r="L2070">
        <v>0</v>
      </c>
      <c r="M2070" s="7">
        <v>0.36090800000000001</v>
      </c>
      <c r="N2070" s="7">
        <v>0.57388700000000004</v>
      </c>
      <c r="O2070">
        <v>1</v>
      </c>
      <c r="P2070" t="s">
        <v>14</v>
      </c>
      <c r="Q2070">
        <v>6</v>
      </c>
      <c r="R2070" s="8">
        <f>(Tabela2[[#This Row],[FAF_atividade_fisica_frequente_em_horas]]+ 0.1)</f>
        <v>0.46090799999999998</v>
      </c>
      <c r="S2070" s="1">
        <f>(Tabela2[[#This Row],[TUE_tempo_uso_aparelhos_em_horas]]/Tabela2[[#This Row],[FAF_Var]])</f>
        <v>1.2451226709017853</v>
      </c>
      <c r="T2070">
        <f>(Tabela2[[#This Row],[CAEC_lanche_entre_refeicoes]]*Tabela2[[#This Row],[FAVC_consumo_frequente_de_alimentos_mt_caloricos]])</f>
        <v>1</v>
      </c>
      <c r="U2070" s="1">
        <f>IF(OR(Tabela2[[#This Row],[MTRANS]]="Walking",Tabela2[[#This Row],[MTRANS]]="Bike"),Tabela2[[#This Row],[FAF_atividade_fisica_frequente_em_horas]]+1,M2070)</f>
        <v>0.36090800000000001</v>
      </c>
      <c r="V2070">
        <f>(Tabela2[[#This Row],[SMOKE]]+Tabela2[[#This Row],[CALC_bebe_alcool_frequentemente]])</f>
        <v>1</v>
      </c>
      <c r="W2070" s="8">
        <f>(Tabela2[[#This Row],[Weight]]/(Tabela2[[#This Row],[Height]] ^2))</f>
        <v>39.733747772312817</v>
      </c>
    </row>
    <row r="2071" spans="1:23" x14ac:dyDescent="0.25">
      <c r="A2071" t="s">
        <v>13</v>
      </c>
      <c r="B2071" s="7">
        <v>24.284832999999999</v>
      </c>
      <c r="C2071" s="4">
        <v>1.6507259999999999</v>
      </c>
      <c r="D2071" s="7">
        <v>113.774198</v>
      </c>
      <c r="E2071">
        <v>1</v>
      </c>
      <c r="F2071">
        <v>1</v>
      </c>
      <c r="G2071" s="2">
        <v>3</v>
      </c>
      <c r="H2071" s="2">
        <v>3</v>
      </c>
      <c r="I2071">
        <v>1</v>
      </c>
      <c r="J2071">
        <v>0</v>
      </c>
      <c r="K2071" s="2">
        <v>2.7513700000000001</v>
      </c>
      <c r="L2071">
        <v>0</v>
      </c>
      <c r="M2071" s="7">
        <v>0.32491300000000001</v>
      </c>
      <c r="N2071" s="7">
        <v>0.516764</v>
      </c>
      <c r="O2071">
        <v>1</v>
      </c>
      <c r="P2071" t="s">
        <v>14</v>
      </c>
      <c r="Q2071">
        <v>6</v>
      </c>
      <c r="R2071" s="8">
        <f>(Tabela2[[#This Row],[FAF_atividade_fisica_frequente_em_horas]]+ 0.1)</f>
        <v>0.42491299999999999</v>
      </c>
      <c r="S2071" s="1">
        <f>(Tabela2[[#This Row],[TUE_tempo_uso_aparelhos_em_horas]]/Tabela2[[#This Row],[FAF_Var]])</f>
        <v>1.2161642500935486</v>
      </c>
      <c r="T2071">
        <f>(Tabela2[[#This Row],[CAEC_lanche_entre_refeicoes]]*Tabela2[[#This Row],[FAVC_consumo_frequente_de_alimentos_mt_caloricos]])</f>
        <v>1</v>
      </c>
      <c r="U2071" s="1">
        <f>IF(OR(Tabela2[[#This Row],[MTRANS]]="Walking",Tabela2[[#This Row],[MTRANS]]="Bike"),Tabela2[[#This Row],[FAF_atividade_fisica_frequente_em_horas]]+1,M2071)</f>
        <v>0.32491300000000001</v>
      </c>
      <c r="V2071">
        <f>(Tabela2[[#This Row],[SMOKE]]+Tabela2[[#This Row],[CALC_bebe_alcool_frequentemente]])</f>
        <v>1</v>
      </c>
      <c r="W2071" s="8">
        <f>(Tabela2[[#This Row],[Weight]]/(Tabela2[[#This Row],[Height]] ^2))</f>
        <v>41.753587785883767</v>
      </c>
    </row>
    <row r="2072" spans="1:23" x14ac:dyDescent="0.25">
      <c r="A2072" t="s">
        <v>13</v>
      </c>
      <c r="B2072" s="7">
        <v>24.693107999999999</v>
      </c>
      <c r="C2072" s="4">
        <v>1.6673830000000001</v>
      </c>
      <c r="D2072" s="7">
        <v>112.98254900000001</v>
      </c>
      <c r="E2072">
        <v>1</v>
      </c>
      <c r="F2072">
        <v>1</v>
      </c>
      <c r="G2072" s="2">
        <v>3</v>
      </c>
      <c r="H2072" s="2">
        <v>3</v>
      </c>
      <c r="I2072">
        <v>1</v>
      </c>
      <c r="J2072">
        <v>0</v>
      </c>
      <c r="K2072" s="2">
        <v>2.8879090000000001</v>
      </c>
      <c r="L2072">
        <v>0</v>
      </c>
      <c r="M2072" s="7">
        <v>0.31292300000000001</v>
      </c>
      <c r="N2072" s="7">
        <v>0.21099699999999999</v>
      </c>
      <c r="O2072">
        <v>1</v>
      </c>
      <c r="P2072" t="s">
        <v>14</v>
      </c>
      <c r="Q2072">
        <v>6</v>
      </c>
      <c r="R2072" s="8">
        <f>(Tabela2[[#This Row],[FAF_atividade_fisica_frequente_em_horas]]+ 0.1)</f>
        <v>0.41292300000000004</v>
      </c>
      <c r="S2072" s="1">
        <f>(Tabela2[[#This Row],[TUE_tempo_uso_aparelhos_em_horas]]/Tabela2[[#This Row],[FAF_Var]])</f>
        <v>0.51098388803723693</v>
      </c>
      <c r="T2072">
        <f>(Tabela2[[#This Row],[CAEC_lanche_entre_refeicoes]]*Tabela2[[#This Row],[FAVC_consumo_frequente_de_alimentos_mt_caloricos]])</f>
        <v>1</v>
      </c>
      <c r="U2072" s="1">
        <f>IF(OR(Tabela2[[#This Row],[MTRANS]]="Walking",Tabela2[[#This Row],[MTRANS]]="Bike"),Tabela2[[#This Row],[FAF_atividade_fisica_frequente_em_horas]]+1,M2072)</f>
        <v>0.31292300000000001</v>
      </c>
      <c r="V2072">
        <f>(Tabela2[[#This Row],[SMOKE]]+Tabela2[[#This Row],[CALC_bebe_alcool_frequentemente]])</f>
        <v>1</v>
      </c>
      <c r="W2072" s="8">
        <f>(Tabela2[[#This Row],[Weight]]/(Tabela2[[#This Row],[Height]] ^2))</f>
        <v>40.63877704013467</v>
      </c>
    </row>
    <row r="2073" spans="1:23" x14ac:dyDescent="0.25">
      <c r="A2073" t="s">
        <v>13</v>
      </c>
      <c r="B2073" s="7">
        <v>18.862264</v>
      </c>
      <c r="C2073" s="4">
        <v>1.7462770000000001</v>
      </c>
      <c r="D2073" s="7">
        <v>128.705761</v>
      </c>
      <c r="E2073">
        <v>1</v>
      </c>
      <c r="F2073">
        <v>1</v>
      </c>
      <c r="G2073" s="2">
        <v>3</v>
      </c>
      <c r="H2073" s="2">
        <v>3</v>
      </c>
      <c r="I2073">
        <v>1</v>
      </c>
      <c r="J2073">
        <v>0</v>
      </c>
      <c r="K2073" s="2">
        <v>2.4115820000000001</v>
      </c>
      <c r="L2073">
        <v>0</v>
      </c>
      <c r="M2073" s="7">
        <v>0.98528700000000002</v>
      </c>
      <c r="N2073" s="7">
        <v>0.67507600000000001</v>
      </c>
      <c r="O2073">
        <v>1</v>
      </c>
      <c r="P2073" t="s">
        <v>14</v>
      </c>
      <c r="Q2073">
        <v>6</v>
      </c>
      <c r="R2073" s="8">
        <f>(Tabela2[[#This Row],[FAF_atividade_fisica_frequente_em_horas]]+ 0.1)</f>
        <v>1.0852870000000001</v>
      </c>
      <c r="S2073" s="1">
        <f>(Tabela2[[#This Row],[TUE_tempo_uso_aparelhos_em_horas]]/Tabela2[[#This Row],[FAF_Var]])</f>
        <v>0.62202532601975324</v>
      </c>
      <c r="T2073">
        <f>(Tabela2[[#This Row],[CAEC_lanche_entre_refeicoes]]*Tabela2[[#This Row],[FAVC_consumo_frequente_de_alimentos_mt_caloricos]])</f>
        <v>1</v>
      </c>
      <c r="U2073" s="1">
        <f>IF(OR(Tabela2[[#This Row],[MTRANS]]="Walking",Tabela2[[#This Row],[MTRANS]]="Bike"),Tabela2[[#This Row],[FAF_atividade_fisica_frequente_em_horas]]+1,M2073)</f>
        <v>0.98528700000000002</v>
      </c>
      <c r="V2073">
        <f>(Tabela2[[#This Row],[SMOKE]]+Tabela2[[#This Row],[CALC_bebe_alcool_frequentemente]])</f>
        <v>1</v>
      </c>
      <c r="W2073" s="8">
        <f>(Tabela2[[#This Row],[Weight]]/(Tabela2[[#This Row],[Height]] ^2))</f>
        <v>42.205759394349336</v>
      </c>
    </row>
    <row r="2074" spans="1:23" x14ac:dyDescent="0.25">
      <c r="A2074" t="s">
        <v>13</v>
      </c>
      <c r="B2074" s="7">
        <v>18.423482</v>
      </c>
      <c r="C2074" s="4">
        <v>1.7354609999999999</v>
      </c>
      <c r="D2074" s="7">
        <v>126.79817300000001</v>
      </c>
      <c r="E2074">
        <v>1</v>
      </c>
      <c r="F2074">
        <v>1</v>
      </c>
      <c r="G2074" s="2">
        <v>3</v>
      </c>
      <c r="H2074" s="2">
        <v>3</v>
      </c>
      <c r="I2074">
        <v>1</v>
      </c>
      <c r="J2074">
        <v>0</v>
      </c>
      <c r="K2074" s="2">
        <v>2.38639</v>
      </c>
      <c r="L2074">
        <v>0</v>
      </c>
      <c r="M2074" s="7">
        <v>1.544632</v>
      </c>
      <c r="N2074" s="7">
        <v>0.90006699999999995</v>
      </c>
      <c r="O2074">
        <v>1</v>
      </c>
      <c r="P2074" t="s">
        <v>14</v>
      </c>
      <c r="Q2074">
        <v>6</v>
      </c>
      <c r="R2074" s="8">
        <f>(Tabela2[[#This Row],[FAF_atividade_fisica_frequente_em_horas]]+ 0.1)</f>
        <v>1.6446320000000001</v>
      </c>
      <c r="S2074" s="1">
        <f>(Tabela2[[#This Row],[TUE_tempo_uso_aparelhos_em_horas]]/Tabela2[[#This Row],[FAF_Var]])</f>
        <v>0.5472756215372192</v>
      </c>
      <c r="T2074">
        <f>(Tabela2[[#This Row],[CAEC_lanche_entre_refeicoes]]*Tabela2[[#This Row],[FAVC_consumo_frequente_de_alimentos_mt_caloricos]])</f>
        <v>1</v>
      </c>
      <c r="U2074" s="1">
        <f>IF(OR(Tabela2[[#This Row],[MTRANS]]="Walking",Tabela2[[#This Row],[MTRANS]]="Bike"),Tabela2[[#This Row],[FAF_atividade_fisica_frequente_em_horas]]+1,M2074)</f>
        <v>1.544632</v>
      </c>
      <c r="V2074">
        <f>(Tabela2[[#This Row],[SMOKE]]+Tabela2[[#This Row],[CALC_bebe_alcool_frequentemente]])</f>
        <v>1</v>
      </c>
      <c r="W2074" s="8">
        <f>(Tabela2[[#This Row],[Weight]]/(Tabela2[[#This Row],[Height]] ^2))</f>
        <v>42.100114696530973</v>
      </c>
    </row>
    <row r="2075" spans="1:23" x14ac:dyDescent="0.25">
      <c r="A2075" t="s">
        <v>13</v>
      </c>
      <c r="B2075" s="7">
        <v>20.394082000000001</v>
      </c>
      <c r="C2075" s="4">
        <v>1.747714</v>
      </c>
      <c r="D2075" s="7">
        <v>128.14810800000001</v>
      </c>
      <c r="E2075">
        <v>1</v>
      </c>
      <c r="F2075">
        <v>1</v>
      </c>
      <c r="G2075" s="2">
        <v>3</v>
      </c>
      <c r="H2075" s="2">
        <v>3</v>
      </c>
      <c r="I2075">
        <v>1</v>
      </c>
      <c r="J2075">
        <v>0</v>
      </c>
      <c r="K2075" s="2">
        <v>2.2326009999999998</v>
      </c>
      <c r="L2075">
        <v>0</v>
      </c>
      <c r="M2075" s="7">
        <v>0.55432300000000001</v>
      </c>
      <c r="N2075" s="7">
        <v>0.83615099999999998</v>
      </c>
      <c r="O2075">
        <v>1</v>
      </c>
      <c r="P2075" t="s">
        <v>14</v>
      </c>
      <c r="Q2075">
        <v>6</v>
      </c>
      <c r="R2075" s="8">
        <f>(Tabela2[[#This Row],[FAF_atividade_fisica_frequente_em_horas]]+ 0.1)</f>
        <v>0.65432299999999999</v>
      </c>
      <c r="S2075" s="1">
        <f>(Tabela2[[#This Row],[TUE_tempo_uso_aparelhos_em_horas]]/Tabela2[[#This Row],[FAF_Var]])</f>
        <v>1.2778872208374152</v>
      </c>
      <c r="T2075">
        <f>(Tabela2[[#This Row],[CAEC_lanche_entre_refeicoes]]*Tabela2[[#This Row],[FAVC_consumo_frequente_de_alimentos_mt_caloricos]])</f>
        <v>1</v>
      </c>
      <c r="U2075" s="1">
        <f>IF(OR(Tabela2[[#This Row],[MTRANS]]="Walking",Tabela2[[#This Row],[MTRANS]]="Bike"),Tabela2[[#This Row],[FAF_atividade_fisica_frequente_em_horas]]+1,M2075)</f>
        <v>0.55432300000000001</v>
      </c>
      <c r="V2075">
        <f>(Tabela2[[#This Row],[SMOKE]]+Tabela2[[#This Row],[CALC_bebe_alcool_frequentemente]])</f>
        <v>1</v>
      </c>
      <c r="W2075" s="8">
        <f>(Tabela2[[#This Row],[Weight]]/(Tabela2[[#This Row],[Height]] ^2))</f>
        <v>41.953815914792123</v>
      </c>
    </row>
    <row r="2076" spans="1:23" x14ac:dyDescent="0.25">
      <c r="A2076" t="s">
        <v>13</v>
      </c>
      <c r="B2076" s="7">
        <v>20.217015</v>
      </c>
      <c r="C2076" s="4">
        <v>1.7158199999999999</v>
      </c>
      <c r="D2076" s="7">
        <v>129.46654100000001</v>
      </c>
      <c r="E2076">
        <v>1</v>
      </c>
      <c r="F2076">
        <v>1</v>
      </c>
      <c r="G2076" s="2">
        <v>3</v>
      </c>
      <c r="H2076" s="2">
        <v>3</v>
      </c>
      <c r="I2076">
        <v>1</v>
      </c>
      <c r="J2076">
        <v>0</v>
      </c>
      <c r="K2076" s="2">
        <v>1.7559070000000001</v>
      </c>
      <c r="L2076">
        <v>0</v>
      </c>
      <c r="M2076" s="7">
        <v>1.4880899999999999</v>
      </c>
      <c r="N2076" s="7">
        <v>0.85771799999999998</v>
      </c>
      <c r="O2076">
        <v>1</v>
      </c>
      <c r="P2076" t="s">
        <v>14</v>
      </c>
      <c r="Q2076">
        <v>6</v>
      </c>
      <c r="R2076" s="8">
        <f>(Tabela2[[#This Row],[FAF_atividade_fisica_frequente_em_horas]]+ 0.1)</f>
        <v>1.58809</v>
      </c>
      <c r="S2076" s="1">
        <f>(Tabela2[[#This Row],[TUE_tempo_uso_aparelhos_em_horas]]/Tabela2[[#This Row],[FAF_Var]])</f>
        <v>0.54009407527281195</v>
      </c>
      <c r="T2076">
        <f>(Tabela2[[#This Row],[CAEC_lanche_entre_refeicoes]]*Tabela2[[#This Row],[FAVC_consumo_frequente_de_alimentos_mt_caloricos]])</f>
        <v>1</v>
      </c>
      <c r="U2076" s="1">
        <f>IF(OR(Tabela2[[#This Row],[MTRANS]]="Walking",Tabela2[[#This Row],[MTRANS]]="Bike"),Tabela2[[#This Row],[FAF_atividade_fisica_frequente_em_horas]]+1,M2076)</f>
        <v>1.4880899999999999</v>
      </c>
      <c r="V2076">
        <f>(Tabela2[[#This Row],[SMOKE]]+Tabela2[[#This Row],[CALC_bebe_alcool_frequentemente]])</f>
        <v>1</v>
      </c>
      <c r="W2076" s="8">
        <f>(Tabela2[[#This Row],[Weight]]/(Tabela2[[#This Row],[Height]] ^2))</f>
        <v>43.975834897845267</v>
      </c>
    </row>
    <row r="2077" spans="1:23" x14ac:dyDescent="0.25">
      <c r="A2077" t="s">
        <v>13</v>
      </c>
      <c r="B2077" s="7">
        <v>21.330178</v>
      </c>
      <c r="C2077" s="4">
        <v>1.747987</v>
      </c>
      <c r="D2077" s="7">
        <v>147.29618600000001</v>
      </c>
      <c r="E2077">
        <v>1</v>
      </c>
      <c r="F2077">
        <v>1</v>
      </c>
      <c r="G2077" s="2">
        <v>3</v>
      </c>
      <c r="H2077" s="2">
        <v>3</v>
      </c>
      <c r="I2077">
        <v>1</v>
      </c>
      <c r="J2077">
        <v>0</v>
      </c>
      <c r="K2077" s="2">
        <v>2.3363489999999998</v>
      </c>
      <c r="L2077">
        <v>0</v>
      </c>
      <c r="M2077" s="7">
        <v>1.4164000000000001</v>
      </c>
      <c r="N2077" s="7">
        <v>0.71172400000000002</v>
      </c>
      <c r="O2077">
        <v>1</v>
      </c>
      <c r="P2077" t="s">
        <v>14</v>
      </c>
      <c r="Q2077">
        <v>6</v>
      </c>
      <c r="R2077" s="8">
        <f>(Tabela2[[#This Row],[FAF_atividade_fisica_frequente_em_horas]]+ 0.1)</f>
        <v>1.5164000000000002</v>
      </c>
      <c r="S2077" s="1">
        <f>(Tabela2[[#This Row],[TUE_tempo_uso_aparelhos_em_horas]]/Tabela2[[#This Row],[FAF_Var]])</f>
        <v>0.46935109469796882</v>
      </c>
      <c r="T2077">
        <f>(Tabela2[[#This Row],[CAEC_lanche_entre_refeicoes]]*Tabela2[[#This Row],[FAVC_consumo_frequente_de_alimentos_mt_caloricos]])</f>
        <v>1</v>
      </c>
      <c r="U2077" s="1">
        <f>IF(OR(Tabela2[[#This Row],[MTRANS]]="Walking",Tabela2[[#This Row],[MTRANS]]="Bike"),Tabela2[[#This Row],[FAF_atividade_fisica_frequente_em_horas]]+1,M2077)</f>
        <v>1.4164000000000001</v>
      </c>
      <c r="V2077">
        <f>(Tabela2[[#This Row],[SMOKE]]+Tabela2[[#This Row],[CALC_bebe_alcool_frequentemente]])</f>
        <v>1</v>
      </c>
      <c r="W2077" s="8">
        <f>(Tabela2[[#This Row],[Weight]]/(Tabela2[[#This Row],[Height]] ^2))</f>
        <v>48.207554933264547</v>
      </c>
    </row>
    <row r="2078" spans="1:23" x14ac:dyDescent="0.25">
      <c r="A2078" t="s">
        <v>13</v>
      </c>
      <c r="B2078" s="7">
        <v>19.528936000000002</v>
      </c>
      <c r="C2078" s="4">
        <v>1.817917</v>
      </c>
      <c r="D2078" s="7">
        <v>142.55916099999999</v>
      </c>
      <c r="E2078">
        <v>1</v>
      </c>
      <c r="F2078">
        <v>1</v>
      </c>
      <c r="G2078" s="2">
        <v>3</v>
      </c>
      <c r="H2078" s="2">
        <v>3</v>
      </c>
      <c r="I2078">
        <v>1</v>
      </c>
      <c r="J2078">
        <v>0</v>
      </c>
      <c r="K2078" s="2">
        <v>2.5620020000000001</v>
      </c>
      <c r="L2078">
        <v>0</v>
      </c>
      <c r="M2078" s="7">
        <v>1.9764269999999999</v>
      </c>
      <c r="N2078" s="7">
        <v>0.74033099999999996</v>
      </c>
      <c r="O2078">
        <v>1</v>
      </c>
      <c r="P2078" t="s">
        <v>14</v>
      </c>
      <c r="Q2078">
        <v>6</v>
      </c>
      <c r="R2078" s="8">
        <f>(Tabela2[[#This Row],[FAF_atividade_fisica_frequente_em_horas]]+ 0.1)</f>
        <v>2.0764269999999998</v>
      </c>
      <c r="S2078" s="1">
        <f>(Tabela2[[#This Row],[TUE_tempo_uso_aparelhos_em_horas]]/Tabela2[[#This Row],[FAF_Var]])</f>
        <v>0.35654082710348112</v>
      </c>
      <c r="T2078">
        <f>(Tabela2[[#This Row],[CAEC_lanche_entre_refeicoes]]*Tabela2[[#This Row],[FAVC_consumo_frequente_de_alimentos_mt_caloricos]])</f>
        <v>1</v>
      </c>
      <c r="U2078" s="1">
        <f>IF(OR(Tabela2[[#This Row],[MTRANS]]="Walking",Tabela2[[#This Row],[MTRANS]]="Bike"),Tabela2[[#This Row],[FAF_atividade_fisica_frequente_em_horas]]+1,M2078)</f>
        <v>1.9764269999999999</v>
      </c>
      <c r="V2078">
        <f>(Tabela2[[#This Row],[SMOKE]]+Tabela2[[#This Row],[CALC_bebe_alcool_frequentemente]])</f>
        <v>1</v>
      </c>
      <c r="W2078" s="8">
        <f>(Tabela2[[#This Row],[Weight]]/(Tabela2[[#This Row],[Height]] ^2))</f>
        <v>43.136711011318752</v>
      </c>
    </row>
    <row r="2079" spans="1:23" x14ac:dyDescent="0.25">
      <c r="A2079" t="s">
        <v>13</v>
      </c>
      <c r="B2079" s="7">
        <v>19.364339000000001</v>
      </c>
      <c r="C2079" s="4">
        <v>1.8083499999999999</v>
      </c>
      <c r="D2079" s="7">
        <v>150.51648</v>
      </c>
      <c r="E2079">
        <v>1</v>
      </c>
      <c r="F2079">
        <v>1</v>
      </c>
      <c r="G2079" s="2">
        <v>3</v>
      </c>
      <c r="H2079" s="2">
        <v>3</v>
      </c>
      <c r="I2079">
        <v>1</v>
      </c>
      <c r="J2079">
        <v>0</v>
      </c>
      <c r="K2079" s="2">
        <v>2.305574</v>
      </c>
      <c r="L2079">
        <v>0</v>
      </c>
      <c r="M2079" s="7">
        <v>1.734424</v>
      </c>
      <c r="N2079" s="7">
        <v>0.863043</v>
      </c>
      <c r="O2079">
        <v>1</v>
      </c>
      <c r="P2079" t="s">
        <v>14</v>
      </c>
      <c r="Q2079">
        <v>6</v>
      </c>
      <c r="R2079" s="8">
        <f>(Tabela2[[#This Row],[FAF_atividade_fisica_frequente_em_horas]]+ 0.1)</f>
        <v>1.8344240000000001</v>
      </c>
      <c r="S2079" s="1">
        <f>(Tabela2[[#This Row],[TUE_tempo_uso_aparelhos_em_horas]]/Tabela2[[#This Row],[FAF_Var]])</f>
        <v>0.47047083989306726</v>
      </c>
      <c r="T2079">
        <f>(Tabela2[[#This Row],[CAEC_lanche_entre_refeicoes]]*Tabela2[[#This Row],[FAVC_consumo_frequente_de_alimentos_mt_caloricos]])</f>
        <v>1</v>
      </c>
      <c r="U2079" s="1">
        <f>IF(OR(Tabela2[[#This Row],[MTRANS]]="Walking",Tabela2[[#This Row],[MTRANS]]="Bike"),Tabela2[[#This Row],[FAF_atividade_fisica_frequente_em_horas]]+1,M2079)</f>
        <v>1.734424</v>
      </c>
      <c r="V2079">
        <f>(Tabela2[[#This Row],[SMOKE]]+Tabela2[[#This Row],[CALC_bebe_alcool_frequentemente]])</f>
        <v>1</v>
      </c>
      <c r="W2079" s="8">
        <f>(Tabela2[[#This Row],[Weight]]/(Tabela2[[#This Row],[Height]] ^2))</f>
        <v>46.027678646622867</v>
      </c>
    </row>
    <row r="2080" spans="1:23" x14ac:dyDescent="0.25">
      <c r="A2080" t="s">
        <v>13</v>
      </c>
      <c r="B2080" s="7">
        <v>21.131526000000001</v>
      </c>
      <c r="C2080" s="4">
        <v>1.739457</v>
      </c>
      <c r="D2080" s="7">
        <v>150.37756999999999</v>
      </c>
      <c r="E2080">
        <v>1</v>
      </c>
      <c r="F2080">
        <v>1</v>
      </c>
      <c r="G2080" s="2">
        <v>3</v>
      </c>
      <c r="H2080" s="2">
        <v>3</v>
      </c>
      <c r="I2080">
        <v>1</v>
      </c>
      <c r="J2080">
        <v>0</v>
      </c>
      <c r="K2080" s="2">
        <v>2.319912</v>
      </c>
      <c r="L2080">
        <v>0</v>
      </c>
      <c r="M2080" s="7">
        <v>1.5826750000000001</v>
      </c>
      <c r="N2080" s="7">
        <v>0.68074599999999996</v>
      </c>
      <c r="O2080">
        <v>1</v>
      </c>
      <c r="P2080" t="s">
        <v>14</v>
      </c>
      <c r="Q2080">
        <v>6</v>
      </c>
      <c r="R2080" s="8">
        <f>(Tabela2[[#This Row],[FAF_atividade_fisica_frequente_em_horas]]+ 0.1)</f>
        <v>1.6826750000000001</v>
      </c>
      <c r="S2080" s="1">
        <f>(Tabela2[[#This Row],[TUE_tempo_uso_aparelhos_em_horas]]/Tabela2[[#This Row],[FAF_Var]])</f>
        <v>0.40456178406406462</v>
      </c>
      <c r="T2080">
        <f>(Tabela2[[#This Row],[CAEC_lanche_entre_refeicoes]]*Tabela2[[#This Row],[FAVC_consumo_frequente_de_alimentos_mt_caloricos]])</f>
        <v>1</v>
      </c>
      <c r="U2080" s="1">
        <f>IF(OR(Tabela2[[#This Row],[MTRANS]]="Walking",Tabela2[[#This Row],[MTRANS]]="Bike"),Tabela2[[#This Row],[FAF_atividade_fisica_frequente_em_horas]]+1,M2080)</f>
        <v>1.5826750000000001</v>
      </c>
      <c r="V2080">
        <f>(Tabela2[[#This Row],[SMOKE]]+Tabela2[[#This Row],[CALC_bebe_alcool_frequentemente]])</f>
        <v>1</v>
      </c>
      <c r="W2080" s="8">
        <f>(Tabela2[[#This Row],[Weight]]/(Tabela2[[#This Row],[Height]] ^2))</f>
        <v>49.699917524831761</v>
      </c>
    </row>
    <row r="2081" spans="1:23" x14ac:dyDescent="0.25">
      <c r="A2081" t="s">
        <v>13</v>
      </c>
      <c r="B2081" s="7">
        <v>19.012872000000002</v>
      </c>
      <c r="C2081" s="4">
        <v>1.742062</v>
      </c>
      <c r="D2081" s="7">
        <v>133.77991900000001</v>
      </c>
      <c r="E2081">
        <v>1</v>
      </c>
      <c r="F2081">
        <v>1</v>
      </c>
      <c r="G2081" s="2">
        <v>3</v>
      </c>
      <c r="H2081" s="2">
        <v>3</v>
      </c>
      <c r="I2081">
        <v>1</v>
      </c>
      <c r="J2081">
        <v>0</v>
      </c>
      <c r="K2081" s="2">
        <v>2.7019600000000001</v>
      </c>
      <c r="L2081">
        <v>0</v>
      </c>
      <c r="M2081" s="7">
        <v>1.4659089999999999</v>
      </c>
      <c r="N2081" s="7">
        <v>0.81323500000000004</v>
      </c>
      <c r="O2081">
        <v>1</v>
      </c>
      <c r="P2081" t="s">
        <v>14</v>
      </c>
      <c r="Q2081">
        <v>6</v>
      </c>
      <c r="R2081" s="8">
        <f>(Tabela2[[#This Row],[FAF_atividade_fisica_frequente_em_horas]]+ 0.1)</f>
        <v>1.565909</v>
      </c>
      <c r="S2081" s="1">
        <f>(Tabela2[[#This Row],[TUE_tempo_uso_aparelhos_em_horas]]/Tabela2[[#This Row],[FAF_Var]])</f>
        <v>0.51933733058562159</v>
      </c>
      <c r="T2081">
        <f>(Tabela2[[#This Row],[CAEC_lanche_entre_refeicoes]]*Tabela2[[#This Row],[FAVC_consumo_frequente_de_alimentos_mt_caloricos]])</f>
        <v>1</v>
      </c>
      <c r="U2081" s="1">
        <f>IF(OR(Tabela2[[#This Row],[MTRANS]]="Walking",Tabela2[[#This Row],[MTRANS]]="Bike"),Tabela2[[#This Row],[FAF_atividade_fisica_frequente_em_horas]]+1,M2081)</f>
        <v>1.4659089999999999</v>
      </c>
      <c r="V2081">
        <f>(Tabela2[[#This Row],[SMOKE]]+Tabela2[[#This Row],[CALC_bebe_alcool_frequentemente]])</f>
        <v>1</v>
      </c>
      <c r="W2081" s="8">
        <f>(Tabela2[[#This Row],[Weight]]/(Tabela2[[#This Row],[Height]] ^2))</f>
        <v>44.082245987481755</v>
      </c>
    </row>
    <row r="2082" spans="1:23" x14ac:dyDescent="0.25">
      <c r="A2082" t="s">
        <v>13</v>
      </c>
      <c r="B2082" s="7">
        <v>18.469086000000001</v>
      </c>
      <c r="C2082" s="4">
        <v>1.7419249999999999</v>
      </c>
      <c r="D2082" s="7">
        <v>133.01710499999999</v>
      </c>
      <c r="E2082">
        <v>1</v>
      </c>
      <c r="F2082">
        <v>1</v>
      </c>
      <c r="G2082" s="2">
        <v>3</v>
      </c>
      <c r="H2082" s="2">
        <v>3</v>
      </c>
      <c r="I2082">
        <v>1</v>
      </c>
      <c r="J2082">
        <v>0</v>
      </c>
      <c r="K2082" s="2">
        <v>2.4745180000000002</v>
      </c>
      <c r="L2082">
        <v>0</v>
      </c>
      <c r="M2082" s="7">
        <v>1.5602609999999999</v>
      </c>
      <c r="N2082" s="7">
        <v>0.66248899999999999</v>
      </c>
      <c r="O2082">
        <v>1</v>
      </c>
      <c r="P2082" t="s">
        <v>14</v>
      </c>
      <c r="Q2082">
        <v>6</v>
      </c>
      <c r="R2082" s="8">
        <f>(Tabela2[[#This Row],[FAF_atividade_fisica_frequente_em_horas]]+ 0.1)</f>
        <v>1.660261</v>
      </c>
      <c r="S2082" s="1">
        <f>(Tabela2[[#This Row],[TUE_tempo_uso_aparelhos_em_horas]]/Tabela2[[#This Row],[FAF_Var]])</f>
        <v>0.39902702045039906</v>
      </c>
      <c r="T2082">
        <f>(Tabela2[[#This Row],[CAEC_lanche_entre_refeicoes]]*Tabela2[[#This Row],[FAVC_consumo_frequente_de_alimentos_mt_caloricos]])</f>
        <v>1</v>
      </c>
      <c r="U2082" s="1">
        <f>IF(OR(Tabela2[[#This Row],[MTRANS]]="Walking",Tabela2[[#This Row],[MTRANS]]="Bike"),Tabela2[[#This Row],[FAF_atividade_fisica_frequente_em_horas]]+1,M2082)</f>
        <v>1.5602609999999999</v>
      </c>
      <c r="V2082">
        <f>(Tabela2[[#This Row],[SMOKE]]+Tabela2[[#This Row],[CALC_bebe_alcool_frequentemente]])</f>
        <v>1</v>
      </c>
      <c r="W2082" s="8">
        <f>(Tabela2[[#This Row],[Weight]]/(Tabela2[[#This Row],[Height]] ^2))</f>
        <v>43.837783472760471</v>
      </c>
    </row>
    <row r="2083" spans="1:23" x14ac:dyDescent="0.25">
      <c r="A2083" t="s">
        <v>13</v>
      </c>
      <c r="B2083" s="7">
        <v>21.572113999999999</v>
      </c>
      <c r="C2083" s="4">
        <v>1.7510669999999999</v>
      </c>
      <c r="D2083" s="7">
        <v>133.84506400000001</v>
      </c>
      <c r="E2083">
        <v>1</v>
      </c>
      <c r="F2083">
        <v>1</v>
      </c>
      <c r="G2083" s="2">
        <v>3</v>
      </c>
      <c r="H2083" s="2">
        <v>3</v>
      </c>
      <c r="I2083">
        <v>1</v>
      </c>
      <c r="J2083">
        <v>0</v>
      </c>
      <c r="K2083" s="2">
        <v>2.7485689999999998</v>
      </c>
      <c r="L2083">
        <v>0</v>
      </c>
      <c r="M2083" s="7">
        <v>1.4270370000000001</v>
      </c>
      <c r="N2083" s="7">
        <v>0.90282499999999999</v>
      </c>
      <c r="O2083">
        <v>1</v>
      </c>
      <c r="P2083" t="s">
        <v>14</v>
      </c>
      <c r="Q2083">
        <v>6</v>
      </c>
      <c r="R2083" s="8">
        <f>(Tabela2[[#This Row],[FAF_atividade_fisica_frequente_em_horas]]+ 0.1)</f>
        <v>1.5270370000000002</v>
      </c>
      <c r="S2083" s="1">
        <f>(Tabela2[[#This Row],[TUE_tempo_uso_aparelhos_em_horas]]/Tabela2[[#This Row],[FAF_Var]])</f>
        <v>0.59122666968776783</v>
      </c>
      <c r="T2083">
        <f>(Tabela2[[#This Row],[CAEC_lanche_entre_refeicoes]]*Tabela2[[#This Row],[FAVC_consumo_frequente_de_alimentos_mt_caloricos]])</f>
        <v>1</v>
      </c>
      <c r="U2083" s="1">
        <f>IF(OR(Tabela2[[#This Row],[MTRANS]]="Walking",Tabela2[[#This Row],[MTRANS]]="Bike"),Tabela2[[#This Row],[FAF_atividade_fisica_frequente_em_horas]]+1,M2083)</f>
        <v>1.4270370000000001</v>
      </c>
      <c r="V2083">
        <f>(Tabela2[[#This Row],[SMOKE]]+Tabela2[[#This Row],[CALC_bebe_alcool_frequentemente]])</f>
        <v>1</v>
      </c>
      <c r="W2083" s="8">
        <f>(Tabela2[[#This Row],[Weight]]/(Tabela2[[#This Row],[Height]] ^2))</f>
        <v>43.651264866896234</v>
      </c>
    </row>
    <row r="2084" spans="1:23" x14ac:dyDescent="0.25">
      <c r="A2084" t="s">
        <v>13</v>
      </c>
      <c r="B2084" s="7">
        <v>21.680122999999998</v>
      </c>
      <c r="C2084" s="4">
        <v>1.749118</v>
      </c>
      <c r="D2084" s="7">
        <v>133.95509100000001</v>
      </c>
      <c r="E2084">
        <v>1</v>
      </c>
      <c r="F2084">
        <v>1</v>
      </c>
      <c r="G2084" s="2">
        <v>3</v>
      </c>
      <c r="H2084" s="2">
        <v>3</v>
      </c>
      <c r="I2084">
        <v>1</v>
      </c>
      <c r="J2084">
        <v>0</v>
      </c>
      <c r="K2084" s="2">
        <v>2.8277730000000001</v>
      </c>
      <c r="L2084">
        <v>0</v>
      </c>
      <c r="M2084" s="7">
        <v>1.4123570000000001</v>
      </c>
      <c r="N2084" s="7">
        <v>0.90107099999999996</v>
      </c>
      <c r="O2084">
        <v>1</v>
      </c>
      <c r="P2084" t="s">
        <v>14</v>
      </c>
      <c r="Q2084">
        <v>6</v>
      </c>
      <c r="R2084" s="8">
        <f>(Tabela2[[#This Row],[FAF_atividade_fisica_frequente_em_horas]]+ 0.1)</f>
        <v>1.5123570000000002</v>
      </c>
      <c r="S2084" s="1">
        <f>(Tabela2[[#This Row],[TUE_tempo_uso_aparelhos_em_horas]]/Tabela2[[#This Row],[FAF_Var]])</f>
        <v>0.59580575221326704</v>
      </c>
      <c r="T2084">
        <f>(Tabela2[[#This Row],[CAEC_lanche_entre_refeicoes]]*Tabela2[[#This Row],[FAVC_consumo_frequente_de_alimentos_mt_caloricos]])</f>
        <v>1</v>
      </c>
      <c r="U2084" s="1">
        <f>IF(OR(Tabela2[[#This Row],[MTRANS]]="Walking",Tabela2[[#This Row],[MTRANS]]="Bike"),Tabela2[[#This Row],[FAF_atividade_fisica_frequente_em_horas]]+1,M2084)</f>
        <v>1.4123570000000001</v>
      </c>
      <c r="V2084">
        <f>(Tabela2[[#This Row],[SMOKE]]+Tabela2[[#This Row],[CALC_bebe_alcool_frequentemente]])</f>
        <v>1</v>
      </c>
      <c r="W2084" s="8">
        <f>(Tabela2[[#This Row],[Weight]]/(Tabela2[[#This Row],[Height]] ^2))</f>
        <v>43.784561593658232</v>
      </c>
    </row>
    <row r="2085" spans="1:23" x14ac:dyDescent="0.25">
      <c r="A2085" t="s">
        <v>13</v>
      </c>
      <c r="B2085" s="7">
        <v>24.469756</v>
      </c>
      <c r="C2085" s="4">
        <v>1.663341</v>
      </c>
      <c r="D2085" s="7">
        <v>113.077187</v>
      </c>
      <c r="E2085">
        <v>1</v>
      </c>
      <c r="F2085">
        <v>1</v>
      </c>
      <c r="G2085" s="2">
        <v>3</v>
      </c>
      <c r="H2085" s="2">
        <v>3</v>
      </c>
      <c r="I2085">
        <v>1</v>
      </c>
      <c r="J2085">
        <v>0</v>
      </c>
      <c r="K2085" s="2">
        <v>2.6322239999999999</v>
      </c>
      <c r="L2085">
        <v>0</v>
      </c>
      <c r="M2085" s="7">
        <v>0.30096400000000001</v>
      </c>
      <c r="N2085" s="7">
        <v>0.26956000000000002</v>
      </c>
      <c r="O2085">
        <v>1</v>
      </c>
      <c r="P2085" t="s">
        <v>14</v>
      </c>
      <c r="Q2085">
        <v>6</v>
      </c>
      <c r="R2085" s="8">
        <f>(Tabela2[[#This Row],[FAF_atividade_fisica_frequente_em_horas]]+ 0.1)</f>
        <v>0.40096399999999999</v>
      </c>
      <c r="S2085" s="1">
        <f>(Tabela2[[#This Row],[TUE_tempo_uso_aparelhos_em_horas]]/Tabela2[[#This Row],[FAF_Var]])</f>
        <v>0.67227980566833934</v>
      </c>
      <c r="T2085">
        <f>(Tabela2[[#This Row],[CAEC_lanche_entre_refeicoes]]*Tabela2[[#This Row],[FAVC_consumo_frequente_de_alimentos_mt_caloricos]])</f>
        <v>1</v>
      </c>
      <c r="U2085" s="1">
        <f>IF(OR(Tabela2[[#This Row],[MTRANS]]="Walking",Tabela2[[#This Row],[MTRANS]]="Bike"),Tabela2[[#This Row],[FAF_atividade_fisica_frequente_em_horas]]+1,M2085)</f>
        <v>0.30096400000000001</v>
      </c>
      <c r="V2085">
        <f>(Tabela2[[#This Row],[SMOKE]]+Tabela2[[#This Row],[CALC_bebe_alcool_frequentemente]])</f>
        <v>1</v>
      </c>
      <c r="W2085" s="8">
        <f>(Tabela2[[#This Row],[Weight]]/(Tabela2[[#This Row],[Height]] ^2))</f>
        <v>40.870731503514847</v>
      </c>
    </row>
    <row r="2086" spans="1:23" x14ac:dyDescent="0.25">
      <c r="A2086" t="s">
        <v>13</v>
      </c>
      <c r="B2086" s="7">
        <v>25.12791</v>
      </c>
      <c r="C2086" s="4">
        <v>1.6685369999999999</v>
      </c>
      <c r="D2086" s="7">
        <v>112.55545600000001</v>
      </c>
      <c r="E2086">
        <v>1</v>
      </c>
      <c r="F2086">
        <v>1</v>
      </c>
      <c r="G2086" s="2">
        <v>3</v>
      </c>
      <c r="H2086" s="2">
        <v>3</v>
      </c>
      <c r="I2086">
        <v>1</v>
      </c>
      <c r="J2086">
        <v>0</v>
      </c>
      <c r="K2086" s="2">
        <v>2.8686790000000002</v>
      </c>
      <c r="L2086">
        <v>0</v>
      </c>
      <c r="M2086" s="7">
        <v>0.115369</v>
      </c>
      <c r="N2086" s="7">
        <v>2.8583000000000001E-2</v>
      </c>
      <c r="O2086">
        <v>1</v>
      </c>
      <c r="P2086" t="s">
        <v>14</v>
      </c>
      <c r="Q2086">
        <v>6</v>
      </c>
      <c r="R2086" s="8">
        <f>(Tabela2[[#This Row],[FAF_atividade_fisica_frequente_em_horas]]+ 0.1)</f>
        <v>0.215369</v>
      </c>
      <c r="S2086" s="1">
        <f>(Tabela2[[#This Row],[TUE_tempo_uso_aparelhos_em_horas]]/Tabela2[[#This Row],[FAF_Var]])</f>
        <v>0.13271640765384063</v>
      </c>
      <c r="T2086">
        <f>(Tabela2[[#This Row],[CAEC_lanche_entre_refeicoes]]*Tabela2[[#This Row],[FAVC_consumo_frequente_de_alimentos_mt_caloricos]])</f>
        <v>1</v>
      </c>
      <c r="U2086" s="1">
        <f>IF(OR(Tabela2[[#This Row],[MTRANS]]="Walking",Tabela2[[#This Row],[MTRANS]]="Bike"),Tabela2[[#This Row],[FAF_atividade_fisica_frequente_em_horas]]+1,M2086)</f>
        <v>0.115369</v>
      </c>
      <c r="V2086">
        <f>(Tabela2[[#This Row],[SMOKE]]+Tabela2[[#This Row],[CALC_bebe_alcool_frequentemente]])</f>
        <v>1</v>
      </c>
      <c r="W2086" s="8">
        <f>(Tabela2[[#This Row],[Weight]]/(Tabela2[[#This Row],[Height]] ^2))</f>
        <v>40.429174008069772</v>
      </c>
    </row>
    <row r="2087" spans="1:23" x14ac:dyDescent="0.25">
      <c r="A2087" t="s">
        <v>13</v>
      </c>
      <c r="B2087" s="7">
        <v>25.986367999999999</v>
      </c>
      <c r="C2087" s="4">
        <v>1.6689510000000001</v>
      </c>
      <c r="D2087" s="7">
        <v>112.24969900000001</v>
      </c>
      <c r="E2087">
        <v>1</v>
      </c>
      <c r="F2087">
        <v>1</v>
      </c>
      <c r="G2087" s="2">
        <v>3</v>
      </c>
      <c r="H2087" s="2">
        <v>3</v>
      </c>
      <c r="I2087">
        <v>1</v>
      </c>
      <c r="J2087">
        <v>0</v>
      </c>
      <c r="K2087" s="2">
        <v>2.9301370000000002</v>
      </c>
      <c r="L2087">
        <v>0</v>
      </c>
      <c r="M2087" s="7">
        <v>4.3101E-2</v>
      </c>
      <c r="N2087" s="7">
        <v>0.138629</v>
      </c>
      <c r="O2087">
        <v>1</v>
      </c>
      <c r="P2087" t="s">
        <v>14</v>
      </c>
      <c r="Q2087">
        <v>6</v>
      </c>
      <c r="R2087" s="8">
        <f>(Tabela2[[#This Row],[FAF_atividade_fisica_frequente_em_horas]]+ 0.1)</f>
        <v>0.14310100000000001</v>
      </c>
      <c r="S2087" s="1">
        <f>(Tabela2[[#This Row],[TUE_tempo_uso_aparelhos_em_horas]]/Tabela2[[#This Row],[FAF_Var]])</f>
        <v>0.96874934486830977</v>
      </c>
      <c r="T2087">
        <f>(Tabela2[[#This Row],[CAEC_lanche_entre_refeicoes]]*Tabela2[[#This Row],[FAVC_consumo_frequente_de_alimentos_mt_caloricos]])</f>
        <v>1</v>
      </c>
      <c r="U2087" s="1">
        <f>IF(OR(Tabela2[[#This Row],[MTRANS]]="Walking",Tabela2[[#This Row],[MTRANS]]="Bike"),Tabela2[[#This Row],[FAF_atividade_fisica_frequente_em_horas]]+1,M2087)</f>
        <v>4.3101E-2</v>
      </c>
      <c r="V2087">
        <f>(Tabela2[[#This Row],[SMOKE]]+Tabela2[[#This Row],[CALC_bebe_alcool_frequentemente]])</f>
        <v>1</v>
      </c>
      <c r="W2087" s="8">
        <f>(Tabela2[[#This Row],[Weight]]/(Tabela2[[#This Row],[Height]] ^2))</f>
        <v>40.299347364891652</v>
      </c>
    </row>
    <row r="2088" spans="1:23" x14ac:dyDescent="0.25">
      <c r="A2088" t="s">
        <v>13</v>
      </c>
      <c r="B2088" s="7">
        <v>25.951979000000001</v>
      </c>
      <c r="C2088" s="4">
        <v>1.6617120000000001</v>
      </c>
      <c r="D2088" s="7">
        <v>112.09861600000001</v>
      </c>
      <c r="E2088">
        <v>1</v>
      </c>
      <c r="F2088">
        <v>1</v>
      </c>
      <c r="G2088" s="2">
        <v>3</v>
      </c>
      <c r="H2088" s="2">
        <v>3</v>
      </c>
      <c r="I2088">
        <v>1</v>
      </c>
      <c r="J2088">
        <v>0</v>
      </c>
      <c r="K2088" s="2">
        <v>2.9618989999999998</v>
      </c>
      <c r="L2088">
        <v>0</v>
      </c>
      <c r="M2088" s="7">
        <v>0.25942399999999999</v>
      </c>
      <c r="N2088" s="7">
        <v>8.0128000000000005E-2</v>
      </c>
      <c r="O2088">
        <v>1</v>
      </c>
      <c r="P2088" t="s">
        <v>14</v>
      </c>
      <c r="Q2088">
        <v>6</v>
      </c>
      <c r="R2088" s="8">
        <f>(Tabela2[[#This Row],[FAF_atividade_fisica_frequente_em_horas]]+ 0.1)</f>
        <v>0.35942399999999997</v>
      </c>
      <c r="S2088" s="1">
        <f>(Tabela2[[#This Row],[TUE_tempo_uso_aparelhos_em_horas]]/Tabela2[[#This Row],[FAF_Var]])</f>
        <v>0.22293447293447297</v>
      </c>
      <c r="T2088">
        <f>(Tabela2[[#This Row],[CAEC_lanche_entre_refeicoes]]*Tabela2[[#This Row],[FAVC_consumo_frequente_de_alimentos_mt_caloricos]])</f>
        <v>1</v>
      </c>
      <c r="U2088" s="1">
        <f>IF(OR(Tabela2[[#This Row],[MTRANS]]="Walking",Tabela2[[#This Row],[MTRANS]]="Bike"),Tabela2[[#This Row],[FAF_atividade_fisica_frequente_em_horas]]+1,M2088)</f>
        <v>0.25942399999999999</v>
      </c>
      <c r="V2088">
        <f>(Tabela2[[#This Row],[SMOKE]]+Tabela2[[#This Row],[CALC_bebe_alcool_frequentemente]])</f>
        <v>1</v>
      </c>
      <c r="W2088" s="8">
        <f>(Tabela2[[#This Row],[Weight]]/(Tabela2[[#This Row],[Height]] ^2))</f>
        <v>40.596513618061074</v>
      </c>
    </row>
    <row r="2089" spans="1:23" x14ac:dyDescent="0.25">
      <c r="A2089" t="s">
        <v>13</v>
      </c>
      <c r="B2089" s="7">
        <v>26</v>
      </c>
      <c r="C2089" s="4">
        <v>1.6334420000000001</v>
      </c>
      <c r="D2089" s="7">
        <v>111.821817</v>
      </c>
      <c r="E2089">
        <v>1</v>
      </c>
      <c r="F2089">
        <v>1</v>
      </c>
      <c r="G2089" s="2">
        <v>3</v>
      </c>
      <c r="H2089" s="2">
        <v>3</v>
      </c>
      <c r="I2089">
        <v>1</v>
      </c>
      <c r="J2089">
        <v>0</v>
      </c>
      <c r="K2089" s="2">
        <v>2.5506720000000001</v>
      </c>
      <c r="L2089">
        <v>0</v>
      </c>
      <c r="M2089" s="7">
        <v>0</v>
      </c>
      <c r="N2089" s="7">
        <v>0.22465499999999999</v>
      </c>
      <c r="O2089">
        <v>1</v>
      </c>
      <c r="P2089" t="s">
        <v>14</v>
      </c>
      <c r="Q2089">
        <v>6</v>
      </c>
      <c r="R2089" s="8">
        <f>(Tabela2[[#This Row],[FAF_atividade_fisica_frequente_em_horas]]+ 0.1)</f>
        <v>0.1</v>
      </c>
      <c r="S2089" s="1">
        <f>(Tabela2[[#This Row],[TUE_tempo_uso_aparelhos_em_horas]]/Tabela2[[#This Row],[FAF_Var]])</f>
        <v>2.2465499999999996</v>
      </c>
      <c r="T2089">
        <f>(Tabela2[[#This Row],[CAEC_lanche_entre_refeicoes]]*Tabela2[[#This Row],[FAVC_consumo_frequente_de_alimentos_mt_caloricos]])</f>
        <v>1</v>
      </c>
      <c r="U2089" s="1">
        <f>IF(OR(Tabela2[[#This Row],[MTRANS]]="Walking",Tabela2[[#This Row],[MTRANS]]="Bike"),Tabela2[[#This Row],[FAF_atividade_fisica_frequente_em_horas]]+1,M2089)</f>
        <v>0</v>
      </c>
      <c r="V2089">
        <f>(Tabela2[[#This Row],[SMOKE]]+Tabela2[[#This Row],[CALC_bebe_alcool_frequentemente]])</f>
        <v>1</v>
      </c>
      <c r="W2089" s="8">
        <f>(Tabela2[[#This Row],[Weight]]/(Tabela2[[#This Row],[Height]] ^2))</f>
        <v>41.910139693113962</v>
      </c>
    </row>
    <row r="2090" spans="1:23" x14ac:dyDescent="0.25">
      <c r="A2090" t="s">
        <v>13</v>
      </c>
      <c r="B2090" s="7">
        <v>26</v>
      </c>
      <c r="C2090" s="4">
        <v>1.6330199999999999</v>
      </c>
      <c r="D2090" s="7">
        <v>111.863186</v>
      </c>
      <c r="E2090">
        <v>1</v>
      </c>
      <c r="F2090">
        <v>1</v>
      </c>
      <c r="G2090" s="2">
        <v>3</v>
      </c>
      <c r="H2090" s="2">
        <v>3</v>
      </c>
      <c r="I2090">
        <v>1</v>
      </c>
      <c r="J2090">
        <v>0</v>
      </c>
      <c r="K2090" s="2">
        <v>2.5843050000000001</v>
      </c>
      <c r="L2090">
        <v>0</v>
      </c>
      <c r="M2090" s="7">
        <v>0</v>
      </c>
      <c r="N2090" s="7">
        <v>0.23210800000000001</v>
      </c>
      <c r="O2090">
        <v>1</v>
      </c>
      <c r="P2090" t="s">
        <v>14</v>
      </c>
      <c r="Q2090">
        <v>6</v>
      </c>
      <c r="R2090" s="8">
        <f>(Tabela2[[#This Row],[FAF_atividade_fisica_frequente_em_horas]]+ 0.1)</f>
        <v>0.1</v>
      </c>
      <c r="S2090" s="1">
        <f>(Tabela2[[#This Row],[TUE_tempo_uso_aparelhos_em_horas]]/Tabela2[[#This Row],[FAF_Var]])</f>
        <v>2.3210799999999998</v>
      </c>
      <c r="T2090">
        <f>(Tabela2[[#This Row],[CAEC_lanche_entre_refeicoes]]*Tabela2[[#This Row],[FAVC_consumo_frequente_de_alimentos_mt_caloricos]])</f>
        <v>1</v>
      </c>
      <c r="U2090" s="1">
        <f>IF(OR(Tabela2[[#This Row],[MTRANS]]="Walking",Tabela2[[#This Row],[MTRANS]]="Bike"),Tabela2[[#This Row],[FAF_atividade_fisica_frequente_em_horas]]+1,M2090)</f>
        <v>0</v>
      </c>
      <c r="V2090">
        <f>(Tabela2[[#This Row],[SMOKE]]+Tabela2[[#This Row],[CALC_bebe_alcool_frequentemente]])</f>
        <v>1</v>
      </c>
      <c r="W2090" s="8">
        <f>(Tabela2[[#This Row],[Weight]]/(Tabela2[[#This Row],[Height]] ^2))</f>
        <v>41.947315935433103</v>
      </c>
    </row>
    <row r="2091" spans="1:23" x14ac:dyDescent="0.25">
      <c r="A2091" t="s">
        <v>13</v>
      </c>
      <c r="B2091" s="7">
        <v>26</v>
      </c>
      <c r="C2091" s="4">
        <v>1.6338870000000001</v>
      </c>
      <c r="D2091" s="7">
        <v>111.87813199999999</v>
      </c>
      <c r="E2091">
        <v>1</v>
      </c>
      <c r="F2091">
        <v>1</v>
      </c>
      <c r="G2091" s="2">
        <v>3</v>
      </c>
      <c r="H2091" s="2">
        <v>3</v>
      </c>
      <c r="I2091">
        <v>1</v>
      </c>
      <c r="J2091">
        <v>0</v>
      </c>
      <c r="K2091" s="2">
        <v>2.6219760000000001</v>
      </c>
      <c r="L2091">
        <v>0</v>
      </c>
      <c r="M2091" s="7">
        <v>0</v>
      </c>
      <c r="N2091" s="7">
        <v>0.123861</v>
      </c>
      <c r="O2091">
        <v>1</v>
      </c>
      <c r="P2091" t="s">
        <v>14</v>
      </c>
      <c r="Q2091">
        <v>6</v>
      </c>
      <c r="R2091" s="8">
        <f>(Tabela2[[#This Row],[FAF_atividade_fisica_frequente_em_horas]]+ 0.1)</f>
        <v>0.1</v>
      </c>
      <c r="S2091" s="1">
        <f>(Tabela2[[#This Row],[TUE_tempo_uso_aparelhos_em_horas]]/Tabela2[[#This Row],[FAF_Var]])</f>
        <v>1.23861</v>
      </c>
      <c r="T2091">
        <f>(Tabela2[[#This Row],[CAEC_lanche_entre_refeicoes]]*Tabela2[[#This Row],[FAVC_consumo_frequente_de_alimentos_mt_caloricos]])</f>
        <v>1</v>
      </c>
      <c r="U2091" s="1">
        <f>IF(OR(Tabela2[[#This Row],[MTRANS]]="Walking",Tabela2[[#This Row],[MTRANS]]="Bike"),Tabela2[[#This Row],[FAF_atividade_fisica_frequente_em_horas]]+1,M2091)</f>
        <v>0</v>
      </c>
      <c r="V2091">
        <f>(Tabela2[[#This Row],[SMOKE]]+Tabela2[[#This Row],[CALC_bebe_alcool_frequentemente]])</f>
        <v>1</v>
      </c>
      <c r="W2091" s="8">
        <f>(Tabela2[[#This Row],[Weight]]/(Tabela2[[#This Row],[Height]] ^2))</f>
        <v>41.908408816367327</v>
      </c>
    </row>
    <row r="2092" spans="1:23" x14ac:dyDescent="0.25">
      <c r="A2092" t="s">
        <v>13</v>
      </c>
      <c r="B2092" s="7">
        <v>26</v>
      </c>
      <c r="C2092" s="4">
        <v>1.643421</v>
      </c>
      <c r="D2092" s="7">
        <v>111.939983</v>
      </c>
      <c r="E2092">
        <v>1</v>
      </c>
      <c r="F2092">
        <v>1</v>
      </c>
      <c r="G2092" s="2">
        <v>3</v>
      </c>
      <c r="H2092" s="2">
        <v>3</v>
      </c>
      <c r="I2092">
        <v>1</v>
      </c>
      <c r="J2092">
        <v>0</v>
      </c>
      <c r="K2092" s="2">
        <v>2.7222759999999999</v>
      </c>
      <c r="L2092">
        <v>0</v>
      </c>
      <c r="M2092" s="7">
        <v>0</v>
      </c>
      <c r="N2092" s="7">
        <v>9.1711000000000001E-2</v>
      </c>
      <c r="O2092">
        <v>1</v>
      </c>
      <c r="P2092" t="s">
        <v>14</v>
      </c>
      <c r="Q2092">
        <v>6</v>
      </c>
      <c r="R2092" s="8">
        <f>(Tabela2[[#This Row],[FAF_atividade_fisica_frequente_em_horas]]+ 0.1)</f>
        <v>0.1</v>
      </c>
      <c r="S2092" s="1">
        <f>(Tabela2[[#This Row],[TUE_tempo_uso_aparelhos_em_horas]]/Tabela2[[#This Row],[FAF_Var]])</f>
        <v>0.91710999999999998</v>
      </c>
      <c r="T2092">
        <f>(Tabela2[[#This Row],[CAEC_lanche_entre_refeicoes]]*Tabela2[[#This Row],[FAVC_consumo_frequente_de_alimentos_mt_caloricos]])</f>
        <v>1</v>
      </c>
      <c r="U2092" s="1">
        <f>IF(OR(Tabela2[[#This Row],[MTRANS]]="Walking",Tabela2[[#This Row],[MTRANS]]="Bike"),Tabela2[[#This Row],[FAF_atividade_fisica_frequente_em_horas]]+1,M2092)</f>
        <v>0</v>
      </c>
      <c r="V2092">
        <f>(Tabela2[[#This Row],[SMOKE]]+Tabela2[[#This Row],[CALC_bebe_alcool_frequentemente]])</f>
        <v>1</v>
      </c>
      <c r="W2092" s="8">
        <f>(Tabela2[[#This Row],[Weight]]/(Tabela2[[#This Row],[Height]] ^2))</f>
        <v>41.446472356191727</v>
      </c>
    </row>
    <row r="2093" spans="1:23" x14ac:dyDescent="0.25">
      <c r="A2093" t="s">
        <v>13</v>
      </c>
      <c r="B2093" s="7">
        <v>26</v>
      </c>
      <c r="C2093" s="4">
        <v>1.6405350000000001</v>
      </c>
      <c r="D2093" s="7">
        <v>111.555967</v>
      </c>
      <c r="E2093">
        <v>1</v>
      </c>
      <c r="F2093">
        <v>1</v>
      </c>
      <c r="G2093" s="2">
        <v>3</v>
      </c>
      <c r="H2093" s="2">
        <v>3</v>
      </c>
      <c r="I2093">
        <v>1</v>
      </c>
      <c r="J2093">
        <v>0</v>
      </c>
      <c r="K2093" s="2">
        <v>2.6343420000000002</v>
      </c>
      <c r="L2093">
        <v>0</v>
      </c>
      <c r="M2093" s="7">
        <v>0</v>
      </c>
      <c r="N2093" s="7">
        <v>0.17830099999999999</v>
      </c>
      <c r="O2093">
        <v>1</v>
      </c>
      <c r="P2093" t="s">
        <v>14</v>
      </c>
      <c r="Q2093">
        <v>6</v>
      </c>
      <c r="R2093" s="8">
        <f>(Tabela2[[#This Row],[FAF_atividade_fisica_frequente_em_horas]]+ 0.1)</f>
        <v>0.1</v>
      </c>
      <c r="S2093" s="1">
        <f>(Tabela2[[#This Row],[TUE_tempo_uso_aparelhos_em_horas]]/Tabela2[[#This Row],[FAF_Var]])</f>
        <v>1.7830099999999998</v>
      </c>
      <c r="T2093">
        <f>(Tabela2[[#This Row],[CAEC_lanche_entre_refeicoes]]*Tabela2[[#This Row],[FAVC_consumo_frequente_de_alimentos_mt_caloricos]])</f>
        <v>1</v>
      </c>
      <c r="U2093" s="1">
        <f>IF(OR(Tabela2[[#This Row],[MTRANS]]="Walking",Tabela2[[#This Row],[MTRANS]]="Bike"),Tabela2[[#This Row],[FAF_atividade_fisica_frequente_em_horas]]+1,M2093)</f>
        <v>0</v>
      </c>
      <c r="V2093">
        <f>(Tabela2[[#This Row],[SMOKE]]+Tabela2[[#This Row],[CALC_bebe_alcool_frequentemente]])</f>
        <v>1</v>
      </c>
      <c r="W2093" s="8">
        <f>(Tabela2[[#This Row],[Weight]]/(Tabela2[[#This Row],[Height]] ^2))</f>
        <v>41.449739416017657</v>
      </c>
    </row>
    <row r="2094" spans="1:23" x14ac:dyDescent="0.25">
      <c r="A2094" t="s">
        <v>13</v>
      </c>
      <c r="B2094" s="7">
        <v>26</v>
      </c>
      <c r="C2094" s="4">
        <v>1.6264829999999999</v>
      </c>
      <c r="D2094" s="7">
        <v>111.357062</v>
      </c>
      <c r="E2094">
        <v>1</v>
      </c>
      <c r="F2094">
        <v>1</v>
      </c>
      <c r="G2094" s="2">
        <v>3</v>
      </c>
      <c r="H2094" s="2">
        <v>3</v>
      </c>
      <c r="I2094">
        <v>1</v>
      </c>
      <c r="J2094">
        <v>0</v>
      </c>
      <c r="K2094" s="2">
        <v>2.6193900000000001</v>
      </c>
      <c r="L2094">
        <v>0</v>
      </c>
      <c r="M2094" s="7">
        <v>0</v>
      </c>
      <c r="N2094" s="7">
        <v>0.17103399999999999</v>
      </c>
      <c r="O2094">
        <v>1</v>
      </c>
      <c r="P2094" t="s">
        <v>14</v>
      </c>
      <c r="Q2094">
        <v>6</v>
      </c>
      <c r="R2094" s="8">
        <f>(Tabela2[[#This Row],[FAF_atividade_fisica_frequente_em_horas]]+ 0.1)</f>
        <v>0.1</v>
      </c>
      <c r="S2094" s="1">
        <f>(Tabela2[[#This Row],[TUE_tempo_uso_aparelhos_em_horas]]/Tabela2[[#This Row],[FAF_Var]])</f>
        <v>1.7103399999999997</v>
      </c>
      <c r="T2094">
        <f>(Tabela2[[#This Row],[CAEC_lanche_entre_refeicoes]]*Tabela2[[#This Row],[FAVC_consumo_frequente_de_alimentos_mt_caloricos]])</f>
        <v>1</v>
      </c>
      <c r="U2094" s="1">
        <f>IF(OR(Tabela2[[#This Row],[MTRANS]]="Walking",Tabela2[[#This Row],[MTRANS]]="Bike"),Tabela2[[#This Row],[FAF_atividade_fisica_frequente_em_horas]]+1,M2094)</f>
        <v>0</v>
      </c>
      <c r="V2094">
        <f>(Tabela2[[#This Row],[SMOKE]]+Tabela2[[#This Row],[CALC_bebe_alcool_frequentemente]])</f>
        <v>1</v>
      </c>
      <c r="W2094" s="8">
        <f>(Tabela2[[#This Row],[Weight]]/(Tabela2[[#This Row],[Height]] ^2))</f>
        <v>42.093855645046574</v>
      </c>
    </row>
    <row r="2095" spans="1:23" x14ac:dyDescent="0.25">
      <c r="A2095" t="s">
        <v>13</v>
      </c>
      <c r="B2095" s="7">
        <v>26</v>
      </c>
      <c r="C2095" s="4">
        <v>1.6459900000000001</v>
      </c>
      <c r="D2095" s="7">
        <v>111.92249099999999</v>
      </c>
      <c r="E2095">
        <v>1</v>
      </c>
      <c r="F2095">
        <v>1</v>
      </c>
      <c r="G2095" s="2">
        <v>3</v>
      </c>
      <c r="H2095" s="2">
        <v>3</v>
      </c>
      <c r="I2095">
        <v>1</v>
      </c>
      <c r="J2095">
        <v>0</v>
      </c>
      <c r="K2095" s="2">
        <v>2.7867799999999998</v>
      </c>
      <c r="L2095">
        <v>0</v>
      </c>
      <c r="M2095" s="7">
        <v>0</v>
      </c>
      <c r="N2095" s="7">
        <v>9.776E-2</v>
      </c>
      <c r="O2095">
        <v>1</v>
      </c>
      <c r="P2095" t="s">
        <v>14</v>
      </c>
      <c r="Q2095">
        <v>6</v>
      </c>
      <c r="R2095" s="8">
        <f>(Tabela2[[#This Row],[FAF_atividade_fisica_frequente_em_horas]]+ 0.1)</f>
        <v>0.1</v>
      </c>
      <c r="S2095" s="1">
        <f>(Tabela2[[#This Row],[TUE_tempo_uso_aparelhos_em_horas]]/Tabela2[[#This Row],[FAF_Var]])</f>
        <v>0.97759999999999991</v>
      </c>
      <c r="T2095">
        <f>(Tabela2[[#This Row],[CAEC_lanche_entre_refeicoes]]*Tabela2[[#This Row],[FAVC_consumo_frequente_de_alimentos_mt_caloricos]])</f>
        <v>1</v>
      </c>
      <c r="U2095" s="1">
        <f>IF(OR(Tabela2[[#This Row],[MTRANS]]="Walking",Tabela2[[#This Row],[MTRANS]]="Bike"),Tabela2[[#This Row],[FAF_atividade_fisica_frequente_em_horas]]+1,M2095)</f>
        <v>0</v>
      </c>
      <c r="V2095">
        <f>(Tabela2[[#This Row],[SMOKE]]+Tabela2[[#This Row],[CALC_bebe_alcool_frequentemente]])</f>
        <v>1</v>
      </c>
      <c r="W2095" s="8">
        <f>(Tabela2[[#This Row],[Weight]]/(Tabela2[[#This Row],[Height]] ^2))</f>
        <v>41.310740772008558</v>
      </c>
    </row>
    <row r="2096" spans="1:23" x14ac:dyDescent="0.25">
      <c r="A2096" t="s">
        <v>13</v>
      </c>
      <c r="B2096" s="7">
        <v>26</v>
      </c>
      <c r="C2096" s="4">
        <v>1.6438919999999999</v>
      </c>
      <c r="D2096" s="7">
        <v>111.884535</v>
      </c>
      <c r="E2096">
        <v>1</v>
      </c>
      <c r="F2096">
        <v>1</v>
      </c>
      <c r="G2096" s="2">
        <v>3</v>
      </c>
      <c r="H2096" s="2">
        <v>3</v>
      </c>
      <c r="I2096">
        <v>1</v>
      </c>
      <c r="J2096">
        <v>0</v>
      </c>
      <c r="K2096" s="2">
        <v>2.768141</v>
      </c>
      <c r="L2096">
        <v>0</v>
      </c>
      <c r="M2096" s="7">
        <v>0</v>
      </c>
      <c r="N2096" s="7">
        <v>9.4213000000000005E-2</v>
      </c>
      <c r="O2096">
        <v>1</v>
      </c>
      <c r="P2096" t="s">
        <v>14</v>
      </c>
      <c r="Q2096">
        <v>6</v>
      </c>
      <c r="R2096" s="8">
        <f>(Tabela2[[#This Row],[FAF_atividade_fisica_frequente_em_horas]]+ 0.1)</f>
        <v>0.1</v>
      </c>
      <c r="S2096" s="1">
        <f>(Tabela2[[#This Row],[TUE_tempo_uso_aparelhos_em_horas]]/Tabela2[[#This Row],[FAF_Var]])</f>
        <v>0.94213000000000002</v>
      </c>
      <c r="T2096">
        <f>(Tabela2[[#This Row],[CAEC_lanche_entre_refeicoes]]*Tabela2[[#This Row],[FAVC_consumo_frequente_de_alimentos_mt_caloricos]])</f>
        <v>1</v>
      </c>
      <c r="U2096" s="1">
        <f>IF(OR(Tabela2[[#This Row],[MTRANS]]="Walking",Tabela2[[#This Row],[MTRANS]]="Bike"),Tabela2[[#This Row],[FAF_atividade_fisica_frequente_em_horas]]+1,M2096)</f>
        <v>0</v>
      </c>
      <c r="V2096">
        <f>(Tabela2[[#This Row],[SMOKE]]+Tabela2[[#This Row],[CALC_bebe_alcool_frequentemente]])</f>
        <v>1</v>
      </c>
      <c r="W2096" s="8">
        <f>(Tabela2[[#This Row],[Weight]]/(Tabela2[[#This Row],[Height]] ^2))</f>
        <v>41.402207469233332</v>
      </c>
    </row>
    <row r="2097" spans="1:23" x14ac:dyDescent="0.25">
      <c r="A2097" t="s">
        <v>13</v>
      </c>
      <c r="B2097" s="7">
        <v>25.977309999999999</v>
      </c>
      <c r="C2097" s="4">
        <v>1.6178170000000001</v>
      </c>
      <c r="D2097" s="7">
        <v>104.950776</v>
      </c>
      <c r="E2097">
        <v>1</v>
      </c>
      <c r="F2097">
        <v>1</v>
      </c>
      <c r="G2097" s="2">
        <v>3</v>
      </c>
      <c r="H2097" s="2">
        <v>3</v>
      </c>
      <c r="I2097">
        <v>1</v>
      </c>
      <c r="J2097">
        <v>0</v>
      </c>
      <c r="K2097" s="2">
        <v>1.7165900000000001</v>
      </c>
      <c r="L2097">
        <v>0</v>
      </c>
      <c r="M2097" s="7">
        <v>1.2719999999999999E-3</v>
      </c>
      <c r="N2097" s="7">
        <v>0.54599299999999995</v>
      </c>
      <c r="O2097">
        <v>1</v>
      </c>
      <c r="P2097" t="s">
        <v>14</v>
      </c>
      <c r="Q2097">
        <v>6</v>
      </c>
      <c r="R2097" s="8">
        <f>(Tabela2[[#This Row],[FAF_atividade_fisica_frequente_em_horas]]+ 0.1)</f>
        <v>0.101272</v>
      </c>
      <c r="S2097" s="1">
        <f>(Tabela2[[#This Row],[TUE_tempo_uso_aparelhos_em_horas]]/Tabela2[[#This Row],[FAF_Var]])</f>
        <v>5.391352002527845</v>
      </c>
      <c r="T2097">
        <f>(Tabela2[[#This Row],[CAEC_lanche_entre_refeicoes]]*Tabela2[[#This Row],[FAVC_consumo_frequente_de_alimentos_mt_caloricos]])</f>
        <v>1</v>
      </c>
      <c r="U2097" s="1">
        <f>IF(OR(Tabela2[[#This Row],[MTRANS]]="Walking",Tabela2[[#This Row],[MTRANS]]="Bike"),Tabela2[[#This Row],[FAF_atividade_fisica_frequente_em_horas]]+1,M2097)</f>
        <v>1.2719999999999999E-3</v>
      </c>
      <c r="V2097">
        <f>(Tabela2[[#This Row],[SMOKE]]+Tabela2[[#This Row],[CALC_bebe_alcool_frequentemente]])</f>
        <v>1</v>
      </c>
      <c r="W2097" s="8">
        <f>(Tabela2[[#This Row],[Weight]]/(Tabela2[[#This Row],[Height]] ^2))</f>
        <v>40.098383466691011</v>
      </c>
    </row>
    <row r="2098" spans="1:23" x14ac:dyDescent="0.25">
      <c r="A2098" t="s">
        <v>13</v>
      </c>
      <c r="B2098" s="7">
        <v>25.955013999999998</v>
      </c>
      <c r="C2098" s="4">
        <v>1.626449</v>
      </c>
      <c r="D2098" s="7">
        <v>104.87960200000001</v>
      </c>
      <c r="E2098">
        <v>1</v>
      </c>
      <c r="F2098">
        <v>1</v>
      </c>
      <c r="G2098" s="2">
        <v>3</v>
      </c>
      <c r="H2098" s="2">
        <v>3</v>
      </c>
      <c r="I2098">
        <v>1</v>
      </c>
      <c r="J2098">
        <v>0</v>
      </c>
      <c r="K2098" s="2">
        <v>2.0949010000000001</v>
      </c>
      <c r="L2098">
        <v>0</v>
      </c>
      <c r="M2098" s="7">
        <v>7.0889999999999995E-2</v>
      </c>
      <c r="N2098" s="7">
        <v>0.599441</v>
      </c>
      <c r="O2098">
        <v>1</v>
      </c>
      <c r="P2098" t="s">
        <v>14</v>
      </c>
      <c r="Q2098">
        <v>6</v>
      </c>
      <c r="R2098" s="8">
        <f>(Tabela2[[#This Row],[FAF_atividade_fisica_frequente_em_horas]]+ 0.1)</f>
        <v>0.17088999999999999</v>
      </c>
      <c r="S2098" s="1">
        <f>(Tabela2[[#This Row],[TUE_tempo_uso_aparelhos_em_horas]]/Tabela2[[#This Row],[FAF_Var]])</f>
        <v>3.5077593773772606</v>
      </c>
      <c r="T2098">
        <f>(Tabela2[[#This Row],[CAEC_lanche_entre_refeicoes]]*Tabela2[[#This Row],[FAVC_consumo_frequente_de_alimentos_mt_caloricos]])</f>
        <v>1</v>
      </c>
      <c r="U2098" s="1">
        <f>IF(OR(Tabela2[[#This Row],[MTRANS]]="Walking",Tabela2[[#This Row],[MTRANS]]="Bike"),Tabela2[[#This Row],[FAF_atividade_fisica_frequente_em_horas]]+1,M2098)</f>
        <v>7.0889999999999995E-2</v>
      </c>
      <c r="V2098">
        <f>(Tabela2[[#This Row],[SMOKE]]+Tabela2[[#This Row],[CALC_bebe_alcool_frequentemente]])</f>
        <v>1</v>
      </c>
      <c r="W2098" s="8">
        <f>(Tabela2[[#This Row],[Weight]]/(Tabela2[[#This Row],[Height]] ^2))</f>
        <v>39.646981759358937</v>
      </c>
    </row>
    <row r="2099" spans="1:23" x14ac:dyDescent="0.25">
      <c r="A2099" t="s">
        <v>13</v>
      </c>
      <c r="B2099" s="7">
        <v>25.996715999999999</v>
      </c>
      <c r="C2099" s="4">
        <v>1.6265799999999999</v>
      </c>
      <c r="D2099" s="7">
        <v>105.03720300000001</v>
      </c>
      <c r="E2099">
        <v>1</v>
      </c>
      <c r="F2099">
        <v>1</v>
      </c>
      <c r="G2099" s="2">
        <v>3</v>
      </c>
      <c r="H2099" s="2">
        <v>3</v>
      </c>
      <c r="I2099">
        <v>1</v>
      </c>
      <c r="J2099">
        <v>0</v>
      </c>
      <c r="K2099" s="2">
        <v>2.3473220000000001</v>
      </c>
      <c r="L2099">
        <v>0</v>
      </c>
      <c r="M2099" s="7">
        <v>8.0129999999999993E-3</v>
      </c>
      <c r="N2099" s="7">
        <v>0.50389600000000001</v>
      </c>
      <c r="O2099">
        <v>1</v>
      </c>
      <c r="P2099" t="s">
        <v>14</v>
      </c>
      <c r="Q2099">
        <v>6</v>
      </c>
      <c r="R2099" s="8">
        <f>(Tabela2[[#This Row],[FAF_atividade_fisica_frequente_em_horas]]+ 0.1)</f>
        <v>0.108013</v>
      </c>
      <c r="S2099" s="1">
        <f>(Tabela2[[#This Row],[TUE_tempo_uso_aparelhos_em_horas]]/Tabela2[[#This Row],[FAF_Var]])</f>
        <v>4.6651421588142172</v>
      </c>
      <c r="T2099">
        <f>(Tabela2[[#This Row],[CAEC_lanche_entre_refeicoes]]*Tabela2[[#This Row],[FAVC_consumo_frequente_de_alimentos_mt_caloricos]])</f>
        <v>1</v>
      </c>
      <c r="U2099" s="1">
        <f>IF(OR(Tabela2[[#This Row],[MTRANS]]="Walking",Tabela2[[#This Row],[MTRANS]]="Bike"),Tabela2[[#This Row],[FAF_atividade_fisica_frequente_em_horas]]+1,M2099)</f>
        <v>8.0129999999999993E-3</v>
      </c>
      <c r="V2099">
        <f>(Tabela2[[#This Row],[SMOKE]]+Tabela2[[#This Row],[CALC_bebe_alcool_frequentemente]])</f>
        <v>1</v>
      </c>
      <c r="W2099" s="8">
        <f>(Tabela2[[#This Row],[Weight]]/(Tabela2[[#This Row],[Height]] ^2))</f>
        <v>39.70016323948979</v>
      </c>
    </row>
    <row r="2100" spans="1:23" x14ac:dyDescent="0.25">
      <c r="A2100" t="s">
        <v>13</v>
      </c>
      <c r="B2100" s="7">
        <v>25.992348</v>
      </c>
      <c r="C2100" s="4">
        <v>1.606474</v>
      </c>
      <c r="D2100" s="7">
        <v>104.954291</v>
      </c>
      <c r="E2100">
        <v>1</v>
      </c>
      <c r="F2100">
        <v>1</v>
      </c>
      <c r="G2100" s="2">
        <v>3</v>
      </c>
      <c r="H2100" s="2">
        <v>3</v>
      </c>
      <c r="I2100">
        <v>1</v>
      </c>
      <c r="J2100">
        <v>0</v>
      </c>
      <c r="K2100" s="2">
        <v>2.3311229999999998</v>
      </c>
      <c r="L2100">
        <v>0</v>
      </c>
      <c r="M2100" s="7">
        <v>6.3382999999999995E-2</v>
      </c>
      <c r="N2100" s="7">
        <v>0.56166099999999997</v>
      </c>
      <c r="O2100">
        <v>1</v>
      </c>
      <c r="P2100" t="s">
        <v>14</v>
      </c>
      <c r="Q2100">
        <v>6</v>
      </c>
      <c r="R2100" s="8">
        <f>(Tabela2[[#This Row],[FAF_atividade_fisica_frequente_em_horas]]+ 0.1)</f>
        <v>0.163383</v>
      </c>
      <c r="S2100" s="1">
        <f>(Tabela2[[#This Row],[TUE_tempo_uso_aparelhos_em_horas]]/Tabela2[[#This Row],[FAF_Var]])</f>
        <v>3.4376954762735412</v>
      </c>
      <c r="T2100">
        <f>(Tabela2[[#This Row],[CAEC_lanche_entre_refeicoes]]*Tabela2[[#This Row],[FAVC_consumo_frequente_de_alimentos_mt_caloricos]])</f>
        <v>1</v>
      </c>
      <c r="U2100" s="1">
        <f>IF(OR(Tabela2[[#This Row],[MTRANS]]="Walking",Tabela2[[#This Row],[MTRANS]]="Bike"),Tabela2[[#This Row],[FAF_atividade_fisica_frequente_em_horas]]+1,M2100)</f>
        <v>6.3382999999999995E-2</v>
      </c>
      <c r="V2100">
        <f>(Tabela2[[#This Row],[SMOKE]]+Tabela2[[#This Row],[CALC_bebe_alcool_frequentemente]])</f>
        <v>1</v>
      </c>
      <c r="W2100" s="8">
        <f>(Tabela2[[#This Row],[Weight]]/(Tabela2[[#This Row],[Height]] ^2))</f>
        <v>40.667998323319594</v>
      </c>
    </row>
    <row r="2101" spans="1:23" x14ac:dyDescent="0.25">
      <c r="A2101" t="s">
        <v>13</v>
      </c>
      <c r="B2101" s="7">
        <v>25.974446</v>
      </c>
      <c r="C2101" s="4">
        <v>1.6288549999999999</v>
      </c>
      <c r="D2101" s="7">
        <v>108.090006</v>
      </c>
      <c r="E2101">
        <v>1</v>
      </c>
      <c r="F2101">
        <v>1</v>
      </c>
      <c r="G2101" s="2">
        <v>3</v>
      </c>
      <c r="H2101" s="2">
        <v>3</v>
      </c>
      <c r="I2101">
        <v>1</v>
      </c>
      <c r="J2101">
        <v>0</v>
      </c>
      <c r="K2101" s="2">
        <v>1.7571049999999999</v>
      </c>
      <c r="L2101">
        <v>0</v>
      </c>
      <c r="M2101" s="7">
        <v>8.5119E-2</v>
      </c>
      <c r="N2101" s="7">
        <v>0.46544400000000002</v>
      </c>
      <c r="O2101">
        <v>1</v>
      </c>
      <c r="P2101" t="s">
        <v>14</v>
      </c>
      <c r="Q2101">
        <v>6</v>
      </c>
      <c r="R2101" s="8">
        <f>(Tabela2[[#This Row],[FAF_atividade_fisica_frequente_em_horas]]+ 0.1)</f>
        <v>0.18511900000000001</v>
      </c>
      <c r="S2101" s="1">
        <f>(Tabela2[[#This Row],[TUE_tempo_uso_aparelhos_em_horas]]/Tabela2[[#This Row],[FAF_Var]])</f>
        <v>2.5142962094652628</v>
      </c>
      <c r="T2101">
        <f>(Tabela2[[#This Row],[CAEC_lanche_entre_refeicoes]]*Tabela2[[#This Row],[FAVC_consumo_frequente_de_alimentos_mt_caloricos]])</f>
        <v>1</v>
      </c>
      <c r="U2101" s="1">
        <f>IF(OR(Tabela2[[#This Row],[MTRANS]]="Walking",Tabela2[[#This Row],[MTRANS]]="Bike"),Tabela2[[#This Row],[FAF_atividade_fisica_frequente_em_horas]]+1,M2101)</f>
        <v>8.5119E-2</v>
      </c>
      <c r="V2101">
        <f>(Tabela2[[#This Row],[SMOKE]]+Tabela2[[#This Row],[CALC_bebe_alcool_frequentemente]])</f>
        <v>1</v>
      </c>
      <c r="W2101" s="8">
        <f>(Tabela2[[#This Row],[Weight]]/(Tabela2[[#This Row],[Height]] ^2))</f>
        <v>40.739968636309754</v>
      </c>
    </row>
    <row r="2102" spans="1:23" x14ac:dyDescent="0.25">
      <c r="A2102" t="s">
        <v>13</v>
      </c>
      <c r="B2102" s="7">
        <v>25.777564999999999</v>
      </c>
      <c r="C2102" s="4">
        <v>1.6282049999999999</v>
      </c>
      <c r="D2102" s="7">
        <v>107.378702</v>
      </c>
      <c r="E2102">
        <v>1</v>
      </c>
      <c r="F2102">
        <v>1</v>
      </c>
      <c r="G2102" s="2">
        <v>3</v>
      </c>
      <c r="H2102" s="2">
        <v>3</v>
      </c>
      <c r="I2102">
        <v>1</v>
      </c>
      <c r="J2102">
        <v>0</v>
      </c>
      <c r="K2102" s="2">
        <v>2.5066310000000001</v>
      </c>
      <c r="L2102">
        <v>0</v>
      </c>
      <c r="M2102" s="7">
        <v>2.5787000000000001E-2</v>
      </c>
      <c r="N2102" s="7">
        <v>0.48416500000000001</v>
      </c>
      <c r="O2102">
        <v>1</v>
      </c>
      <c r="P2102" t="s">
        <v>14</v>
      </c>
      <c r="Q2102">
        <v>6</v>
      </c>
      <c r="R2102" s="8">
        <f>(Tabela2[[#This Row],[FAF_atividade_fisica_frequente_em_horas]]+ 0.1)</f>
        <v>0.12578700000000001</v>
      </c>
      <c r="S2102" s="1">
        <f>(Tabela2[[#This Row],[TUE_tempo_uso_aparelhos_em_horas]]/Tabela2[[#This Row],[FAF_Var]])</f>
        <v>3.8490861535770784</v>
      </c>
      <c r="T2102">
        <f>(Tabela2[[#This Row],[CAEC_lanche_entre_refeicoes]]*Tabela2[[#This Row],[FAVC_consumo_frequente_de_alimentos_mt_caloricos]])</f>
        <v>1</v>
      </c>
      <c r="U2102" s="1">
        <f>IF(OR(Tabela2[[#This Row],[MTRANS]]="Walking",Tabela2[[#This Row],[MTRANS]]="Bike"),Tabela2[[#This Row],[FAF_atividade_fisica_frequente_em_horas]]+1,M2102)</f>
        <v>2.5787000000000001E-2</v>
      </c>
      <c r="V2102">
        <f>(Tabela2[[#This Row],[SMOKE]]+Tabela2[[#This Row],[CALC_bebe_alcool_frequentemente]])</f>
        <v>1</v>
      </c>
      <c r="W2102" s="8">
        <f>(Tabela2[[#This Row],[Weight]]/(Tabela2[[#This Row],[Height]] ^2))</f>
        <v>40.504192811001666</v>
      </c>
    </row>
    <row r="2103" spans="1:23" x14ac:dyDescent="0.25">
      <c r="A2103" t="s">
        <v>13</v>
      </c>
      <c r="B2103" s="7">
        <v>25.722003999999998</v>
      </c>
      <c r="C2103" s="4">
        <v>1.6284700000000001</v>
      </c>
      <c r="D2103" s="7">
        <v>107.21894899999999</v>
      </c>
      <c r="E2103">
        <v>1</v>
      </c>
      <c r="F2103">
        <v>1</v>
      </c>
      <c r="G2103" s="2">
        <v>3</v>
      </c>
      <c r="H2103" s="2">
        <v>3</v>
      </c>
      <c r="I2103">
        <v>1</v>
      </c>
      <c r="J2103">
        <v>0</v>
      </c>
      <c r="K2103" s="2">
        <v>2.4870700000000001</v>
      </c>
      <c r="L2103">
        <v>0</v>
      </c>
      <c r="M2103" s="7">
        <v>6.7329E-2</v>
      </c>
      <c r="N2103" s="7">
        <v>0.45582299999999998</v>
      </c>
      <c r="O2103">
        <v>1</v>
      </c>
      <c r="P2103" t="s">
        <v>14</v>
      </c>
      <c r="Q2103">
        <v>6</v>
      </c>
      <c r="R2103" s="8">
        <f>(Tabela2[[#This Row],[FAF_atividade_fisica_frequente_em_horas]]+ 0.1)</f>
        <v>0.16732900000000001</v>
      </c>
      <c r="S2103" s="1">
        <f>(Tabela2[[#This Row],[TUE_tempo_uso_aparelhos_em_horas]]/Tabela2[[#This Row],[FAF_Var]])</f>
        <v>2.7241123774121641</v>
      </c>
      <c r="T2103">
        <f>(Tabela2[[#This Row],[CAEC_lanche_entre_refeicoes]]*Tabela2[[#This Row],[FAVC_consumo_frequente_de_alimentos_mt_caloricos]])</f>
        <v>1</v>
      </c>
      <c r="U2103" s="1">
        <f>IF(OR(Tabela2[[#This Row],[MTRANS]]="Walking",Tabela2[[#This Row],[MTRANS]]="Bike"),Tabela2[[#This Row],[FAF_atividade_fisica_frequente_em_horas]]+1,M2103)</f>
        <v>6.7329E-2</v>
      </c>
      <c r="V2103">
        <f>(Tabela2[[#This Row],[SMOKE]]+Tabela2[[#This Row],[CALC_bebe_alcool_frequentemente]])</f>
        <v>1</v>
      </c>
      <c r="W2103" s="8">
        <f>(Tabela2[[#This Row],[Weight]]/(Tabela2[[#This Row],[Height]] ^2))</f>
        <v>40.430770805914541</v>
      </c>
    </row>
    <row r="2104" spans="1:23" x14ac:dyDescent="0.25">
      <c r="A2104" t="s">
        <v>13</v>
      </c>
      <c r="B2104" s="7">
        <v>25.765628</v>
      </c>
      <c r="C2104" s="4">
        <v>1.627839</v>
      </c>
      <c r="D2104" s="7">
        <v>108.10736</v>
      </c>
      <c r="E2104">
        <v>1</v>
      </c>
      <c r="F2104">
        <v>1</v>
      </c>
      <c r="G2104" s="2">
        <v>3</v>
      </c>
      <c r="H2104" s="2">
        <v>3</v>
      </c>
      <c r="I2104">
        <v>1</v>
      </c>
      <c r="J2104">
        <v>0</v>
      </c>
      <c r="K2104" s="2">
        <v>2.320068</v>
      </c>
      <c r="L2104">
        <v>0</v>
      </c>
      <c r="M2104" s="7">
        <v>4.5246000000000001E-2</v>
      </c>
      <c r="N2104" s="7">
        <v>0.41310599999999997</v>
      </c>
      <c r="O2104">
        <v>1</v>
      </c>
      <c r="P2104" t="s">
        <v>14</v>
      </c>
      <c r="Q2104">
        <v>6</v>
      </c>
      <c r="R2104" s="8">
        <f>(Tabela2[[#This Row],[FAF_atividade_fisica_frequente_em_horas]]+ 0.1)</f>
        <v>0.14524600000000001</v>
      </c>
      <c r="S2104" s="1">
        <f>(Tabela2[[#This Row],[TUE_tempo_uso_aparelhos_em_horas]]/Tabela2[[#This Row],[FAF_Var]])</f>
        <v>2.8441815953623504</v>
      </c>
      <c r="T2104">
        <f>(Tabela2[[#This Row],[CAEC_lanche_entre_refeicoes]]*Tabela2[[#This Row],[FAVC_consumo_frequente_de_alimentos_mt_caloricos]])</f>
        <v>1</v>
      </c>
      <c r="U2104" s="1">
        <f>IF(OR(Tabela2[[#This Row],[MTRANS]]="Walking",Tabela2[[#This Row],[MTRANS]]="Bike"),Tabela2[[#This Row],[FAF_atividade_fisica_frequente_em_horas]]+1,M2104)</f>
        <v>4.5246000000000001E-2</v>
      </c>
      <c r="V2104">
        <f>(Tabela2[[#This Row],[SMOKE]]+Tabela2[[#This Row],[CALC_bebe_alcool_frequentemente]])</f>
        <v>1</v>
      </c>
      <c r="W2104" s="8">
        <f>(Tabela2[[#This Row],[Weight]]/(Tabela2[[#This Row],[Height]] ^2))</f>
        <v>40.797388448720611</v>
      </c>
    </row>
    <row r="2105" spans="1:23" x14ac:dyDescent="0.25">
      <c r="A2105" t="s">
        <v>13</v>
      </c>
      <c r="B2105" s="7">
        <v>21.016849000000001</v>
      </c>
      <c r="C2105" s="4">
        <v>1.7242679999999999</v>
      </c>
      <c r="D2105" s="7">
        <v>133.033523</v>
      </c>
      <c r="E2105">
        <v>1</v>
      </c>
      <c r="F2105">
        <v>1</v>
      </c>
      <c r="G2105" s="2">
        <v>3</v>
      </c>
      <c r="H2105" s="2">
        <v>3</v>
      </c>
      <c r="I2105">
        <v>1</v>
      </c>
      <c r="J2105">
        <v>0</v>
      </c>
      <c r="K2105" s="2">
        <v>1.650612</v>
      </c>
      <c r="L2105">
        <v>0</v>
      </c>
      <c r="M2105" s="7">
        <v>1.537639</v>
      </c>
      <c r="N2105" s="7">
        <v>0.91245699999999996</v>
      </c>
      <c r="O2105">
        <v>1</v>
      </c>
      <c r="P2105" t="s">
        <v>14</v>
      </c>
      <c r="Q2105">
        <v>6</v>
      </c>
      <c r="R2105" s="8">
        <f>(Tabela2[[#This Row],[FAF_atividade_fisica_frequente_em_horas]]+ 0.1)</f>
        <v>1.6376390000000001</v>
      </c>
      <c r="S2105" s="1">
        <f>(Tabela2[[#This Row],[TUE_tempo_uso_aparelhos_em_horas]]/Tabela2[[#This Row],[FAF_Var]])</f>
        <v>0.55717835249404779</v>
      </c>
      <c r="T2105">
        <f>(Tabela2[[#This Row],[CAEC_lanche_entre_refeicoes]]*Tabela2[[#This Row],[FAVC_consumo_frequente_de_alimentos_mt_caloricos]])</f>
        <v>1</v>
      </c>
      <c r="U2105" s="1">
        <f>IF(OR(Tabela2[[#This Row],[MTRANS]]="Walking",Tabela2[[#This Row],[MTRANS]]="Bike"),Tabela2[[#This Row],[FAF_atividade_fisica_frequente_em_horas]]+1,M2105)</f>
        <v>1.537639</v>
      </c>
      <c r="V2105">
        <f>(Tabela2[[#This Row],[SMOKE]]+Tabela2[[#This Row],[CALC_bebe_alcool_frequentemente]])</f>
        <v>1</v>
      </c>
      <c r="W2105" s="8">
        <f>(Tabela2[[#This Row],[Weight]]/(Tabela2[[#This Row],[Height]] ^2))</f>
        <v>44.745725647457732</v>
      </c>
    </row>
    <row r="2106" spans="1:23" x14ac:dyDescent="0.25">
      <c r="A2106" t="s">
        <v>13</v>
      </c>
      <c r="B2106" s="7">
        <v>21.682366999999999</v>
      </c>
      <c r="C2106" s="4">
        <v>1.732383</v>
      </c>
      <c r="D2106" s="7">
        <v>133.04394099999999</v>
      </c>
      <c r="E2106">
        <v>1</v>
      </c>
      <c r="F2106">
        <v>1</v>
      </c>
      <c r="G2106" s="2">
        <v>3</v>
      </c>
      <c r="H2106" s="2">
        <v>3</v>
      </c>
      <c r="I2106">
        <v>1</v>
      </c>
      <c r="J2106">
        <v>0</v>
      </c>
      <c r="K2106" s="2">
        <v>1.610768</v>
      </c>
      <c r="L2106">
        <v>0</v>
      </c>
      <c r="M2106" s="7">
        <v>1.5103979999999999</v>
      </c>
      <c r="N2106" s="7">
        <v>0.93145500000000003</v>
      </c>
      <c r="O2106">
        <v>1</v>
      </c>
      <c r="P2106" t="s">
        <v>14</v>
      </c>
      <c r="Q2106">
        <v>6</v>
      </c>
      <c r="R2106" s="8">
        <f>(Tabela2[[#This Row],[FAF_atividade_fisica_frequente_em_horas]]+ 0.1)</f>
        <v>1.610398</v>
      </c>
      <c r="S2106" s="1">
        <f>(Tabela2[[#This Row],[TUE_tempo_uso_aparelhos_em_horas]]/Tabela2[[#This Row],[FAF_Var]])</f>
        <v>0.57840049478451916</v>
      </c>
      <c r="T2106">
        <f>(Tabela2[[#This Row],[CAEC_lanche_entre_refeicoes]]*Tabela2[[#This Row],[FAVC_consumo_frequente_de_alimentos_mt_caloricos]])</f>
        <v>1</v>
      </c>
      <c r="U2106" s="1">
        <f>IF(OR(Tabela2[[#This Row],[MTRANS]]="Walking",Tabela2[[#This Row],[MTRANS]]="Bike"),Tabela2[[#This Row],[FAF_atividade_fisica_frequente_em_horas]]+1,M2106)</f>
        <v>1.5103979999999999</v>
      </c>
      <c r="V2106">
        <f>(Tabela2[[#This Row],[SMOKE]]+Tabela2[[#This Row],[CALC_bebe_alcool_frequentemente]])</f>
        <v>1</v>
      </c>
      <c r="W2106" s="8">
        <f>(Tabela2[[#This Row],[Weight]]/(Tabela2[[#This Row],[Height]] ^2))</f>
        <v>44.330974104420029</v>
      </c>
    </row>
    <row r="2107" spans="1:23" x14ac:dyDescent="0.25">
      <c r="A2107" t="s">
        <v>13</v>
      </c>
      <c r="B2107" s="7">
        <v>21.285965000000001</v>
      </c>
      <c r="C2107" s="4">
        <v>1.72692</v>
      </c>
      <c r="D2107" s="7">
        <v>131.33578600000001</v>
      </c>
      <c r="E2107">
        <v>1</v>
      </c>
      <c r="F2107">
        <v>1</v>
      </c>
      <c r="G2107" s="2">
        <v>3</v>
      </c>
      <c r="H2107" s="2">
        <v>3</v>
      </c>
      <c r="I2107">
        <v>1</v>
      </c>
      <c r="J2107">
        <v>0</v>
      </c>
      <c r="K2107" s="2">
        <v>1.7962670000000001</v>
      </c>
      <c r="L2107">
        <v>0</v>
      </c>
      <c r="M2107" s="7">
        <v>1.728332</v>
      </c>
      <c r="N2107" s="7">
        <v>0.89792400000000006</v>
      </c>
      <c r="O2107">
        <v>1</v>
      </c>
      <c r="P2107" t="s">
        <v>14</v>
      </c>
      <c r="Q2107">
        <v>6</v>
      </c>
      <c r="R2107" s="8">
        <f>(Tabela2[[#This Row],[FAF_atividade_fisica_frequente_em_horas]]+ 0.1)</f>
        <v>1.8283320000000001</v>
      </c>
      <c r="S2107" s="1">
        <f>(Tabela2[[#This Row],[TUE_tempo_uso_aparelhos_em_horas]]/Tabela2[[#This Row],[FAF_Var]])</f>
        <v>0.49111649306581084</v>
      </c>
      <c r="T2107">
        <f>(Tabela2[[#This Row],[CAEC_lanche_entre_refeicoes]]*Tabela2[[#This Row],[FAVC_consumo_frequente_de_alimentos_mt_caloricos]])</f>
        <v>1</v>
      </c>
      <c r="U2107" s="1">
        <f>IF(OR(Tabela2[[#This Row],[MTRANS]]="Walking",Tabela2[[#This Row],[MTRANS]]="Bike"),Tabela2[[#This Row],[FAF_atividade_fisica_frequente_em_horas]]+1,M2107)</f>
        <v>1.728332</v>
      </c>
      <c r="V2107">
        <f>(Tabela2[[#This Row],[SMOKE]]+Tabela2[[#This Row],[CALC_bebe_alcool_frequentemente]])</f>
        <v>1</v>
      </c>
      <c r="W2107" s="8">
        <f>(Tabela2[[#This Row],[Weight]]/(Tabela2[[#This Row],[Height]] ^2))</f>
        <v>44.039120695215416</v>
      </c>
    </row>
    <row r="2108" spans="1:23" x14ac:dyDescent="0.25">
      <c r="A2108" t="s">
        <v>13</v>
      </c>
      <c r="B2108" s="7">
        <v>20.976842000000001</v>
      </c>
      <c r="C2108" s="4">
        <v>1.7107300000000001</v>
      </c>
      <c r="D2108" s="7">
        <v>131.40852799999999</v>
      </c>
      <c r="E2108">
        <v>1</v>
      </c>
      <c r="F2108">
        <v>1</v>
      </c>
      <c r="G2108" s="2">
        <v>3</v>
      </c>
      <c r="H2108" s="2">
        <v>3</v>
      </c>
      <c r="I2108">
        <v>1</v>
      </c>
      <c r="J2108">
        <v>0</v>
      </c>
      <c r="K2108" s="2">
        <v>1.7281390000000001</v>
      </c>
      <c r="L2108">
        <v>0</v>
      </c>
      <c r="M2108" s="7">
        <v>1.676269</v>
      </c>
      <c r="N2108" s="7">
        <v>0.90624700000000002</v>
      </c>
      <c r="O2108">
        <v>1</v>
      </c>
      <c r="P2108" t="s">
        <v>14</v>
      </c>
      <c r="Q2108">
        <v>6</v>
      </c>
      <c r="R2108" s="8">
        <f>(Tabela2[[#This Row],[FAF_atividade_fisica_frequente_em_horas]]+ 0.1)</f>
        <v>1.7762690000000001</v>
      </c>
      <c r="S2108" s="1">
        <f>(Tabela2[[#This Row],[TUE_tempo_uso_aparelhos_em_horas]]/Tabela2[[#This Row],[FAF_Var]])</f>
        <v>0.51019693526149468</v>
      </c>
      <c r="T2108">
        <f>(Tabela2[[#This Row],[CAEC_lanche_entre_refeicoes]]*Tabela2[[#This Row],[FAVC_consumo_frequente_de_alimentos_mt_caloricos]])</f>
        <v>1</v>
      </c>
      <c r="U2108" s="1">
        <f>IF(OR(Tabela2[[#This Row],[MTRANS]]="Walking",Tabela2[[#This Row],[MTRANS]]="Bike"),Tabela2[[#This Row],[FAF_atividade_fisica_frequente_em_horas]]+1,M2108)</f>
        <v>1.676269</v>
      </c>
      <c r="V2108">
        <f>(Tabela2[[#This Row],[SMOKE]]+Tabela2[[#This Row],[CALC_bebe_alcool_frequentemente]])</f>
        <v>1</v>
      </c>
      <c r="W2108" s="8">
        <f>(Tabela2[[#This Row],[Weight]]/(Tabela2[[#This Row],[Height]] ^2))</f>
        <v>44.901475000689857</v>
      </c>
    </row>
    <row r="2109" spans="1:23" x14ac:dyDescent="0.25">
      <c r="A2109" t="s">
        <v>13</v>
      </c>
      <c r="B2109" s="7">
        <v>21.982942000000001</v>
      </c>
      <c r="C2109" s="4">
        <v>1.7485839999999999</v>
      </c>
      <c r="D2109" s="7">
        <v>133.742943</v>
      </c>
      <c r="E2109">
        <v>1</v>
      </c>
      <c r="F2109">
        <v>1</v>
      </c>
      <c r="G2109" s="2">
        <v>3</v>
      </c>
      <c r="H2109" s="2">
        <v>3</v>
      </c>
      <c r="I2109">
        <v>1</v>
      </c>
      <c r="J2109">
        <v>0</v>
      </c>
      <c r="K2109" s="2">
        <v>2.0051299999999999</v>
      </c>
      <c r="L2109">
        <v>0</v>
      </c>
      <c r="M2109" s="7">
        <v>1.3413900000000001</v>
      </c>
      <c r="N2109" s="7">
        <v>0.59926999999999997</v>
      </c>
      <c r="O2109">
        <v>1</v>
      </c>
      <c r="P2109" t="s">
        <v>14</v>
      </c>
      <c r="Q2109">
        <v>6</v>
      </c>
      <c r="R2109" s="8">
        <f>(Tabela2[[#This Row],[FAF_atividade_fisica_frequente_em_horas]]+ 0.1)</f>
        <v>1.4413900000000002</v>
      </c>
      <c r="S2109" s="1">
        <f>(Tabela2[[#This Row],[TUE_tempo_uso_aparelhos_em_horas]]/Tabela2[[#This Row],[FAF_Var]])</f>
        <v>0.41575839987789559</v>
      </c>
      <c r="T2109">
        <f>(Tabela2[[#This Row],[CAEC_lanche_entre_refeicoes]]*Tabela2[[#This Row],[FAVC_consumo_frequente_de_alimentos_mt_caloricos]])</f>
        <v>1</v>
      </c>
      <c r="U2109" s="1">
        <f>IF(OR(Tabela2[[#This Row],[MTRANS]]="Walking",Tabela2[[#This Row],[MTRANS]]="Bike"),Tabela2[[#This Row],[FAF_atividade_fisica_frequente_em_horas]]+1,M2109)</f>
        <v>1.3413900000000001</v>
      </c>
      <c r="V2109">
        <f>(Tabela2[[#This Row],[SMOKE]]+Tabela2[[#This Row],[CALC_bebe_alcool_frequentemente]])</f>
        <v>1</v>
      </c>
      <c r="W2109" s="8">
        <f>(Tabela2[[#This Row],[Weight]]/(Tabela2[[#This Row],[Height]] ^2))</f>
        <v>43.741923352532012</v>
      </c>
    </row>
    <row r="2110" spans="1:23" x14ac:dyDescent="0.25">
      <c r="A2110" t="s">
        <v>13</v>
      </c>
      <c r="B2110" s="7">
        <v>22.524035999999999</v>
      </c>
      <c r="C2110" s="4">
        <v>1.7522059999999999</v>
      </c>
      <c r="D2110" s="7">
        <v>133.68935200000001</v>
      </c>
      <c r="E2110">
        <v>1</v>
      </c>
      <c r="F2110">
        <v>1</v>
      </c>
      <c r="G2110" s="2">
        <v>3</v>
      </c>
      <c r="H2110" s="2">
        <v>3</v>
      </c>
      <c r="I2110">
        <v>1</v>
      </c>
      <c r="J2110">
        <v>0</v>
      </c>
      <c r="K2110" s="2">
        <v>2.0541930000000002</v>
      </c>
      <c r="L2110">
        <v>0</v>
      </c>
      <c r="M2110" s="7">
        <v>1.414209</v>
      </c>
      <c r="N2110" s="7">
        <v>0.64628799999999997</v>
      </c>
      <c r="O2110">
        <v>1</v>
      </c>
      <c r="P2110" t="s">
        <v>14</v>
      </c>
      <c r="Q2110">
        <v>6</v>
      </c>
      <c r="R2110" s="8">
        <f>(Tabela2[[#This Row],[FAF_atividade_fisica_frequente_em_horas]]+ 0.1)</f>
        <v>1.5142090000000001</v>
      </c>
      <c r="S2110" s="1">
        <f>(Tabela2[[#This Row],[TUE_tempo_uso_aparelhos_em_horas]]/Tabela2[[#This Row],[FAF_Var]])</f>
        <v>0.42681558490274457</v>
      </c>
      <c r="T2110">
        <f>(Tabela2[[#This Row],[CAEC_lanche_entre_refeicoes]]*Tabela2[[#This Row],[FAVC_consumo_frequente_de_alimentos_mt_caloricos]])</f>
        <v>1</v>
      </c>
      <c r="U2110" s="1">
        <f>IF(OR(Tabela2[[#This Row],[MTRANS]]="Walking",Tabela2[[#This Row],[MTRANS]]="Bike"),Tabela2[[#This Row],[FAF_atividade_fisica_frequente_em_horas]]+1,M2110)</f>
        <v>1.414209</v>
      </c>
      <c r="V2110">
        <f>(Tabela2[[#This Row],[SMOKE]]+Tabela2[[#This Row],[CALC_bebe_alcool_frequentemente]])</f>
        <v>1</v>
      </c>
      <c r="W2110" s="8">
        <f>(Tabela2[[#This Row],[Weight]]/(Tabela2[[#This Row],[Height]] ^2))</f>
        <v>43.54381658414929</v>
      </c>
    </row>
    <row r="2111" spans="1:23" x14ac:dyDescent="0.25">
      <c r="A2111" t="s">
        <v>13</v>
      </c>
      <c r="B2111" s="7">
        <v>24.361936</v>
      </c>
      <c r="C2111" s="4">
        <v>1.7394499999999999</v>
      </c>
      <c r="D2111" s="7">
        <v>133.34664100000001</v>
      </c>
      <c r="E2111">
        <v>1</v>
      </c>
      <c r="F2111">
        <v>1</v>
      </c>
      <c r="G2111" s="2">
        <v>3</v>
      </c>
      <c r="H2111" s="2">
        <v>3</v>
      </c>
      <c r="I2111">
        <v>1</v>
      </c>
      <c r="J2111">
        <v>0</v>
      </c>
      <c r="K2111" s="2">
        <v>2.8523390000000002</v>
      </c>
      <c r="L2111">
        <v>0</v>
      </c>
      <c r="M2111" s="7">
        <v>1.1391070000000001</v>
      </c>
      <c r="N2111" s="7">
        <v>0.58603499999999997</v>
      </c>
      <c r="O2111">
        <v>1</v>
      </c>
      <c r="P2111" t="s">
        <v>14</v>
      </c>
      <c r="Q2111">
        <v>6</v>
      </c>
      <c r="R2111" s="8">
        <f>(Tabela2[[#This Row],[FAF_atividade_fisica_frequente_em_horas]]+ 0.1)</f>
        <v>1.2391070000000002</v>
      </c>
      <c r="S2111" s="1">
        <f>(Tabela2[[#This Row],[TUE_tempo_uso_aparelhos_em_horas]]/Tabela2[[#This Row],[FAF_Var]])</f>
        <v>0.47294947086894018</v>
      </c>
      <c r="T2111">
        <f>(Tabela2[[#This Row],[CAEC_lanche_entre_refeicoes]]*Tabela2[[#This Row],[FAVC_consumo_frequente_de_alimentos_mt_caloricos]])</f>
        <v>1</v>
      </c>
      <c r="U2111" s="1">
        <f>IF(OR(Tabela2[[#This Row],[MTRANS]]="Walking",Tabela2[[#This Row],[MTRANS]]="Bike"),Tabela2[[#This Row],[FAF_atividade_fisica_frequente_em_horas]]+1,M2111)</f>
        <v>1.1391070000000001</v>
      </c>
      <c r="V2111">
        <f>(Tabela2[[#This Row],[SMOKE]]+Tabela2[[#This Row],[CALC_bebe_alcool_frequentemente]])</f>
        <v>1</v>
      </c>
      <c r="W2111" s="8">
        <f>(Tabela2[[#This Row],[Weight]]/(Tabela2[[#This Row],[Height]] ^2))</f>
        <v>44.071535403330209</v>
      </c>
    </row>
    <row r="2112" spans="1:23" x14ac:dyDescent="0.25">
      <c r="A2112" t="s">
        <v>13</v>
      </c>
      <c r="B2112" s="7">
        <v>23.664708999999998</v>
      </c>
      <c r="C2112" s="4">
        <v>1.738836</v>
      </c>
      <c r="D2112" s="7">
        <v>133.47264100000001</v>
      </c>
      <c r="E2112">
        <v>1</v>
      </c>
      <c r="F2112">
        <v>1</v>
      </c>
      <c r="G2112" s="2">
        <v>3</v>
      </c>
      <c r="H2112" s="2">
        <v>3</v>
      </c>
      <c r="I2112">
        <v>1</v>
      </c>
      <c r="J2112">
        <v>0</v>
      </c>
      <c r="K2112" s="2">
        <v>2.8635130000000002</v>
      </c>
      <c r="L2112">
        <v>0</v>
      </c>
      <c r="M2112" s="7">
        <v>1.0264519999999999</v>
      </c>
      <c r="N2112" s="7">
        <v>0.71413700000000002</v>
      </c>
      <c r="O2112">
        <v>1</v>
      </c>
      <c r="P2112" t="s">
        <v>14</v>
      </c>
      <c r="Q2112">
        <v>6</v>
      </c>
      <c r="R2112" s="8">
        <f>(Tabela2[[#This Row],[FAF_atividade_fisica_frequente_em_horas]]+ 0.1)</f>
        <v>1.126452</v>
      </c>
      <c r="S2112" s="1">
        <f>(Tabela2[[#This Row],[TUE_tempo_uso_aparelhos_em_horas]]/Tabela2[[#This Row],[FAF_Var]])</f>
        <v>0.63397020023933559</v>
      </c>
      <c r="T2112">
        <f>(Tabela2[[#This Row],[CAEC_lanche_entre_refeicoes]]*Tabela2[[#This Row],[FAVC_consumo_frequente_de_alimentos_mt_caloricos]])</f>
        <v>1</v>
      </c>
      <c r="U2112" s="1">
        <f>IF(OR(Tabela2[[#This Row],[MTRANS]]="Walking",Tabela2[[#This Row],[MTRANS]]="Bike"),Tabela2[[#This Row],[FAF_atividade_fisica_frequente_em_horas]]+1,M2112)</f>
        <v>1.0264519999999999</v>
      </c>
      <c r="V2112">
        <f>(Tabela2[[#This Row],[SMOKE]]+Tabela2[[#This Row],[CALC_bebe_alcool_frequentemente]])</f>
        <v>1</v>
      </c>
      <c r="W2112" s="8">
        <f>(Tabela2[[#This Row],[Weight]]/(Tabela2[[#This Row],[Height]] ^2))</f>
        <v>44.14433793816422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Guilherme Valente</cp:lastModifiedBy>
  <cp:revision/>
  <dcterms:created xsi:type="dcterms:W3CDTF">2026-01-07T03:12:02Z</dcterms:created>
  <dcterms:modified xsi:type="dcterms:W3CDTF">2026-01-09T19:26:40Z</dcterms:modified>
  <cp:category/>
  <cp:contentStatus/>
</cp:coreProperties>
</file>